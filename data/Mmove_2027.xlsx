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  <sheet state="visible" name="DISPO" sheetId="2" r:id="rId5"/>
    <sheet state="hidden" name="Plopsa" sheetId="3" r:id="rId6"/>
    <sheet state="hidden" name="DB remorque" sheetId="4" r:id="rId7"/>
    <sheet state="hidden" name="DB clients" sheetId="5" r:id="rId8"/>
    <sheet state="hidden" name="ancien" sheetId="6" r:id="rId9"/>
    <sheet state="visible" name="Export Reservation" sheetId="7" r:id="rId10"/>
    <sheet state="hidden" name="Feuille 27" sheetId="8" r:id="rId11"/>
  </sheets>
  <definedNames>
    <definedName name="LocalisationRemorque">'DB remorque'!$A$1:$O$299</definedName>
    <definedName name="PlanningMois">Tableau!$E$2:$AZ$190</definedName>
    <definedName hidden="1" localSheetId="0" name="_xlnm._FilterDatabase">Tableau!$BC$1:$BC$190</definedName>
    <definedName hidden="1" localSheetId="1" name="_xlnm._FilterDatabase">DISPO!$AC$1:$AC$1000</definedName>
    <definedName hidden="1" localSheetId="2" name="_xlnm._FilterDatabase">Plopsa!$AC$1:$AC$1000</definedName>
    <definedName hidden="1" localSheetId="1" name="Z_F12B3805_9B7D_4C79_B0E3_888D22CF56BA_.wvu.FilterData">DISPO!$I$1:$J$1000</definedName>
    <definedName hidden="1" localSheetId="0" name="Z_F12B3805_9B7D_4C79_B0E3_888D22CF56BA_.wvu.FilterData">Tableau!$A$1:$AZ$190</definedName>
    <definedName hidden="1" localSheetId="2" name="Z_F12B3805_9B7D_4C79_B0E3_888D22CF56BA_.wvu.FilterData">Plopsa!$I$1:$J$1000</definedName>
    <definedName hidden="1" localSheetId="6" name="Z_F12B3805_9B7D_4C79_B0E3_888D22CF56BA_.wvu.FilterData">'Export Reservation'!$C$1:$C$4537</definedName>
    <definedName hidden="1" localSheetId="0" name="Z_4D07DEA1_7349_4DEA_A2A7_0DC742B9B501_.wvu.FilterData">Tableau!$BA$1:$BA$190</definedName>
    <definedName hidden="1" localSheetId="0" name="Z_945F0F0C_2415_4804_B30F_7BA05A574DA4_.wvu.FilterData">Tableau!$A$1:$AZ$190</definedName>
    <definedName hidden="1" localSheetId="0" name="Z_7CBE6619_63D5_4581_815A_CBA940BE4891_.wvu.FilterData">Tableau!$A$52:$AZ$54</definedName>
    <definedName hidden="1" localSheetId="0" name="Z_5D75EB2E_534B_4D09_B568_B218D761EEB9_.wvu.FilterData">Tableau!$A$1:$AZ$190</definedName>
    <definedName hidden="1" localSheetId="0" name="Z_B0124E5B_3AF3_4098_B362_06ED4CEFBBBA_.wvu.FilterData">Tableau!$BA$1:$BA$190</definedName>
    <definedName hidden="1" localSheetId="0" name="Z_6FEB8860_D84D_4BA2_97AF_28DB26136EFD_.wvu.FilterData">Tableau!$BA$1:$BA$190</definedName>
    <definedName hidden="1" localSheetId="0" name="Z_402F9EAA_9DEC_46B3_891F_1E0243156CA7_.wvu.FilterData">Tableau!$A$1:$AZ$188</definedName>
  </definedNames>
  <calcPr/>
  <customWorkbookViews>
    <customWorkbookView activeSheetId="0" maximized="1" windowHeight="0" windowWidth="0" guid="{F12B3805-9B7D-4C79-B0E3-888D22CF56BA}" name="Filtre 1"/>
    <customWorkbookView activeSheetId="0" maximized="1" windowHeight="0" windowWidth="0" guid="{4D07DEA1-7349-4DEA-A2A7-0DC742B9B501}" name="Filtre 4"/>
    <customWorkbookView activeSheetId="0" maximized="1" windowHeight="0" windowWidth="0" guid="{945F0F0C-2415-4804-B30F-7BA05A574DA4}" name="MajestyWood 2024"/>
    <customWorkbookView activeSheetId="0" maximized="1" windowHeight="0" windowWidth="0" guid="{7CBE6619-63D5-4581-815A-CBA940BE4891}" name="Chimsco"/>
    <customWorkbookView activeSheetId="0" maximized="1" windowHeight="0" windowWidth="0" guid="{5D75EB2E-534B-4D09-B568-B218D761EEB9}" name="Chimsco 2024"/>
    <customWorkbookView activeSheetId="0" maximized="1" windowHeight="0" windowWidth="0" guid="{B0124E5B-3AF3-4098-B362-06ED4CEFBBBA}" name="Filtre 2"/>
    <customWorkbookView activeSheetId="0" maximized="1" windowHeight="0" windowWidth="0" guid="{6FEB8860-D84D-4BA2-97AF-28DB26136EFD}" name="Filtre 3"/>
    <customWorkbookView activeSheetId="0" maximized="1" windowHeight="0" windowWidth="0" guid="{402F9EAA-9DEC-46B3-891F-1E0243156CA7}" name="Fintro Huy 2024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AppSheet:{"Description":"Client","IsRequired":true}</t>
      </text>
    </comment>
  </commentList>
</comments>
</file>

<file path=xl/sharedStrings.xml><?xml version="1.0" encoding="utf-8"?>
<sst xmlns="http://schemas.openxmlformats.org/spreadsheetml/2006/main" count="7265" uniqueCount="481">
  <si>
    <t>Emplacement</t>
  </si>
  <si>
    <t>Direction</t>
  </si>
  <si>
    <t>Janvier</t>
  </si>
  <si>
    <r>
      <rPr>
        <rFont val="Arial"/>
        <b/>
        <color rgb="FFFFFFFF"/>
        <sz val="10.0"/>
      </rPr>
      <t>Axe</t>
    </r>
    <r>
      <rPr>
        <rFont val="Arial"/>
        <color rgb="FFFFFFFF"/>
        <sz val="10.0"/>
      </rPr>
      <t xml:space="preserve"> (out ► in)</t>
    </r>
  </si>
  <si>
    <t>Février</t>
  </si>
  <si>
    <t>Mars</t>
  </si>
  <si>
    <t>IN</t>
  </si>
  <si>
    <t>Avril</t>
  </si>
  <si>
    <t>Mai</t>
  </si>
  <si>
    <t>OUT</t>
  </si>
  <si>
    <t>Juin</t>
  </si>
  <si>
    <t>Juillet</t>
  </si>
  <si>
    <t>Août</t>
  </si>
  <si>
    <t>Septembre</t>
  </si>
  <si>
    <t>Octobre</t>
  </si>
  <si>
    <t>Novembre</t>
  </si>
  <si>
    <t>Décembre</t>
  </si>
  <si>
    <t>Plopsa</t>
  </si>
  <si>
    <t>Stock</t>
  </si>
  <si>
    <t>Carbelle</t>
  </si>
  <si>
    <t>DEMA</t>
  </si>
  <si>
    <t>OPTION</t>
  </si>
  <si>
    <t>Usico</t>
  </si>
  <si>
    <t>Decorex</t>
  </si>
  <si>
    <t>Cond Salon</t>
  </si>
  <si>
    <t>JDW</t>
  </si>
  <si>
    <t>opt</t>
  </si>
  <si>
    <t xml:space="preserve">Schmidt cuisines- Wavre </t>
  </si>
  <si>
    <t>C</t>
  </si>
  <si>
    <t>Grottes de Han</t>
  </si>
  <si>
    <t>n</t>
  </si>
  <si>
    <t>Site:</t>
  </si>
  <si>
    <t>Lieu:</t>
  </si>
  <si>
    <t>Axe:</t>
  </si>
  <si>
    <t>Févier</t>
  </si>
  <si>
    <t>Aout</t>
  </si>
  <si>
    <t>Septem</t>
  </si>
  <si>
    <t>Novem</t>
  </si>
  <si>
    <t>Décem</t>
  </si>
  <si>
    <t>Province du Brabant W</t>
  </si>
  <si>
    <t>Ronquieres</t>
  </si>
  <si>
    <t>Ronquières Hainaut</t>
  </si>
  <si>
    <t>Nivelles-Braine-le-Comte</t>
  </si>
  <si>
    <t>Quadrus 50.000</t>
  </si>
  <si>
    <t>Majois</t>
  </si>
  <si>
    <t>Quadrus</t>
  </si>
  <si>
    <t>Majesty Wood</t>
  </si>
  <si>
    <t>Nivelles sud Thines</t>
  </si>
  <si>
    <t>Thines</t>
  </si>
  <si>
    <t>N93/N237 Nivelles-Namur</t>
  </si>
  <si>
    <t xml:space="preserve">Usico </t>
  </si>
  <si>
    <t>Carimar</t>
  </si>
  <si>
    <t>Promo sport</t>
  </si>
  <si>
    <t>Nivelles (Braine l'Alleud)</t>
  </si>
  <si>
    <t>Lillois</t>
  </si>
  <si>
    <t>N27, Chée de Bxl Nivelles-Braine l'alleud</t>
  </si>
  <si>
    <t>Nivelles</t>
  </si>
  <si>
    <t xml:space="preserve">KIds US Nivelle </t>
  </si>
  <si>
    <t>Ottignies</t>
  </si>
  <si>
    <t>Clinique</t>
  </si>
  <si>
    <t>N275 Rixensart-Court-St-Etienne</t>
  </si>
  <si>
    <t>CStE</t>
  </si>
  <si>
    <t xml:space="preserve"> L </t>
  </si>
  <si>
    <t>Clic Solar</t>
  </si>
  <si>
    <t>JARDISART</t>
  </si>
  <si>
    <t>Literie Prestige</t>
  </si>
  <si>
    <t>Solidarités</t>
  </si>
  <si>
    <t>Louvain La Neuve</t>
  </si>
  <si>
    <t>Corbais</t>
  </si>
  <si>
    <t>N4 LLN - Gembloux</t>
  </si>
  <si>
    <t>Gembloux</t>
  </si>
  <si>
    <t xml:space="preserve"> H</t>
  </si>
  <si>
    <t xml:space="preserve">Lara Ceram </t>
  </si>
  <si>
    <t>Promimo</t>
  </si>
  <si>
    <t xml:space="preserve">Fire Land </t>
  </si>
  <si>
    <t xml:space="preserve">Kid Us </t>
  </si>
  <si>
    <t>Clôtures Leblanc</t>
  </si>
  <si>
    <t>Wavre</t>
  </si>
  <si>
    <t>Grez-Doiceau</t>
  </si>
  <si>
    <t>N25 entrée Wavre vers Grez</t>
  </si>
  <si>
    <t>Grez</t>
  </si>
  <si>
    <t xml:space="preserve"> B </t>
  </si>
  <si>
    <t>N25 entrée Wavre vers Wavre</t>
  </si>
  <si>
    <t>Déco Jardin</t>
  </si>
  <si>
    <t>Fire-Land</t>
  </si>
  <si>
    <t>BasseWavre</t>
  </si>
  <si>
    <t>chée de Louvain</t>
  </si>
  <si>
    <t xml:space="preserve">Grez Doiceau </t>
  </si>
  <si>
    <t xml:space="preserve">Chaussée de Jodoigne </t>
  </si>
  <si>
    <t xml:space="preserve">N240 - Jodoigne - Grez Doiceau </t>
  </si>
  <si>
    <t>Beauvechain</t>
  </si>
  <si>
    <t>Jodoigne</t>
  </si>
  <si>
    <t>Entree Jodoigne provenant de Tirlemon</t>
  </si>
  <si>
    <t>N29</t>
  </si>
  <si>
    <t>Tirlemont</t>
  </si>
  <si>
    <t>Nodebais</t>
  </si>
  <si>
    <t>N91 Hamme Mille - Beauvechain</t>
  </si>
  <si>
    <t>Hamme</t>
  </si>
  <si>
    <t>Province de Liège</t>
  </si>
  <si>
    <t>Hannut</t>
  </si>
  <si>
    <t>Hannut-Saint Trond</t>
  </si>
  <si>
    <t>St Trond</t>
  </si>
  <si>
    <t>Braives</t>
  </si>
  <si>
    <t>Hannut-Huy</t>
  </si>
  <si>
    <t>E42</t>
  </si>
  <si>
    <t xml:space="preserve">Cap Sud </t>
  </si>
  <si>
    <t xml:space="preserve">Cap sud </t>
  </si>
  <si>
    <t>FINTRO HUY</t>
  </si>
  <si>
    <t>Huy</t>
  </si>
  <si>
    <t>Wanze</t>
  </si>
  <si>
    <t>Eghezee-Huy</t>
  </si>
  <si>
    <t>Vinalmont</t>
  </si>
  <si>
    <t>Villers-Le-Bouillet</t>
  </si>
  <si>
    <t>Waremme-Huy</t>
  </si>
  <si>
    <t>Ombret</t>
  </si>
  <si>
    <t>Huy-Liège</t>
  </si>
  <si>
    <t>Solière</t>
  </si>
  <si>
    <t>Huy-Ohey</t>
  </si>
  <si>
    <t>Tihange</t>
  </si>
  <si>
    <t>Huy-Hamoir</t>
  </si>
  <si>
    <t>Pont de bonne</t>
  </si>
  <si>
    <t>Huy-Havelange</t>
  </si>
  <si>
    <t>Nandrin</t>
  </si>
  <si>
    <t>Marche-Liège</t>
  </si>
  <si>
    <t>Liege</t>
  </si>
  <si>
    <t>Le bois au jardin</t>
  </si>
  <si>
    <t>Soheit-Tinlot excep photovol</t>
  </si>
  <si>
    <t>Paralléle</t>
  </si>
  <si>
    <t>Flemalle</t>
  </si>
  <si>
    <t>Pont dYvoz-Ramet</t>
  </si>
  <si>
    <t>N617</t>
  </si>
  <si>
    <t>Spa Italia</t>
  </si>
  <si>
    <t>Biker Festi</t>
  </si>
  <si>
    <t>6h Moto</t>
  </si>
  <si>
    <t xml:space="preserve">Spa Asia </t>
  </si>
  <si>
    <t>Fexhe le H Clocher</t>
  </si>
  <si>
    <t>Simonis</t>
  </si>
  <si>
    <t>N637 - Grand Route</t>
  </si>
  <si>
    <t>Bierset</t>
  </si>
  <si>
    <t>Château d'eau Jeneffe</t>
  </si>
  <si>
    <t>N614</t>
  </si>
  <si>
    <t>Noville</t>
  </si>
  <si>
    <t>E40</t>
  </si>
  <si>
    <t>Waremme</t>
  </si>
  <si>
    <t>Waremme dir Huy</t>
  </si>
  <si>
    <t>Rue de Huy</t>
  </si>
  <si>
    <t>Immo Cube</t>
  </si>
  <si>
    <t>Waremme 2</t>
  </si>
  <si>
    <t>Rue de Huy - Waremme</t>
  </si>
  <si>
    <t xml:space="preserve">Viemme </t>
  </si>
  <si>
    <t xml:space="preserve">Rue de Huy </t>
  </si>
  <si>
    <t xml:space="preserve">Waremme </t>
  </si>
  <si>
    <t>Oreye</t>
  </si>
  <si>
    <t>Carrefour Otrange/Vechmaal</t>
  </si>
  <si>
    <t>N69</t>
  </si>
  <si>
    <t>Veechmaal</t>
  </si>
  <si>
    <t>Spa</t>
  </si>
  <si>
    <t>Marteau</t>
  </si>
  <si>
    <t>N62 Theux</t>
  </si>
  <si>
    <t>Theux</t>
  </si>
  <si>
    <t xml:space="preserve"> Theux (ex Louveigné)</t>
  </si>
  <si>
    <t>Hautregard</t>
  </si>
  <si>
    <t>N697 Aywaille - Spa</t>
  </si>
  <si>
    <t>Theux (ex Louveigné 2)</t>
  </si>
  <si>
    <t>Hautregard 2</t>
  </si>
  <si>
    <t>La Reid</t>
  </si>
  <si>
    <t>N697 La Reid - Spa</t>
  </si>
  <si>
    <t xml:space="preserve">ATB </t>
  </si>
  <si>
    <t>Sprimont</t>
  </si>
  <si>
    <t>Sprimont - Theux</t>
  </si>
  <si>
    <t>N678 Rond point Sprimoglass</t>
  </si>
  <si>
    <t>Spa Rally</t>
  </si>
  <si>
    <t>Crisnee</t>
  </si>
  <si>
    <t>Grand Route (station Ledouble)</t>
  </si>
  <si>
    <t>N3</t>
  </si>
  <si>
    <t>Clavier</t>
  </si>
  <si>
    <t>Bois-et-Borsu</t>
  </si>
  <si>
    <t>N63 Chée de Liège</t>
  </si>
  <si>
    <t>Marche</t>
  </si>
  <si>
    <t>Chimsco</t>
  </si>
  <si>
    <t>Batimoi</t>
  </si>
  <si>
    <t>Province de Namur</t>
  </si>
  <si>
    <t>Andenne</t>
  </si>
  <si>
    <r>
      <rPr>
        <rFont val="Arial"/>
      </rPr>
      <t xml:space="preserve">Sclayn </t>
    </r>
    <r>
      <rPr>
        <rFont val="Arial"/>
        <b/>
        <color rgb="FFFF0000"/>
      </rPr>
      <t>pas de garage</t>
    </r>
  </si>
  <si>
    <r>
      <rPr>
        <rFont val="Arial"/>
      </rPr>
      <t>Namur-Andenne</t>
    </r>
    <r>
      <rPr>
        <rFont val="Arial"/>
        <color rgb="FFFF0000"/>
      </rPr>
      <t xml:space="preserve"> pas de garage</t>
    </r>
  </si>
  <si>
    <t>Namur</t>
  </si>
  <si>
    <t>Literie Massart</t>
  </si>
  <si>
    <t>Media See</t>
  </si>
  <si>
    <t>PROXIMED</t>
  </si>
  <si>
    <t>FINTRO Andenne</t>
  </si>
  <si>
    <t>Tonton tapis</t>
  </si>
  <si>
    <t>E 42</t>
  </si>
  <si>
    <t>Andenne-Eghezée</t>
  </si>
  <si>
    <t>Lumarvel</t>
  </si>
  <si>
    <t>Haute Bise</t>
  </si>
  <si>
    <t>Andenne-Ciney</t>
  </si>
  <si>
    <t>Ciney</t>
  </si>
  <si>
    <t>Créer Coller</t>
  </si>
  <si>
    <t>Ohey</t>
  </si>
  <si>
    <t>Ciney-Andenne</t>
  </si>
  <si>
    <t>Chaussures Ballaux</t>
  </si>
  <si>
    <t>Bur Locadepot</t>
  </si>
  <si>
    <t>Poils &amp; plumes</t>
  </si>
  <si>
    <t>Piscinat OP</t>
  </si>
  <si>
    <t>Bierwart</t>
  </si>
  <si>
    <t>Namur-Hannut</t>
  </si>
  <si>
    <t>Fernelmont</t>
  </si>
  <si>
    <t>Beauraing</t>
  </si>
  <si>
    <t>Focant</t>
  </si>
  <si>
    <t>Beauraing-Rochefort</t>
  </si>
  <si>
    <t>Rochefort</t>
  </si>
  <si>
    <t>Locadepot</t>
  </si>
  <si>
    <t xml:space="preserve">Rallye Soud Bel </t>
  </si>
  <si>
    <t>Hamois</t>
  </si>
  <si>
    <t>Ciney-Havelange-Liège</t>
  </si>
  <si>
    <t>Havelange</t>
  </si>
  <si>
    <t>Seos free</t>
  </si>
  <si>
    <t>Barcène</t>
  </si>
  <si>
    <t>Ciney-Rochefort (entrée Ciney)</t>
  </si>
  <si>
    <t>Lienne Bas</t>
  </si>
  <si>
    <t>Ciney-Andenne (sortie Ciney)</t>
  </si>
  <si>
    <t>Ciney Centre</t>
  </si>
  <si>
    <t>KRO</t>
  </si>
  <si>
    <t>Biron Bas</t>
  </si>
  <si>
    <t>Sortie Ciney vers N4 et Liège</t>
  </si>
  <si>
    <t>N4</t>
  </si>
  <si>
    <t>FIRR</t>
  </si>
  <si>
    <t>Nationale 4</t>
  </si>
  <si>
    <t>Namur - Marche</t>
  </si>
  <si>
    <t>Dinant</t>
  </si>
  <si>
    <t>Sorinnes Achêne</t>
  </si>
  <si>
    <t>Dinant-Ciney</t>
  </si>
  <si>
    <t>Sorinnes Zoning</t>
  </si>
  <si>
    <t>Immologgia</t>
  </si>
  <si>
    <t>Sorinnes Hopital</t>
  </si>
  <si>
    <t>Anhée</t>
  </si>
  <si>
    <t>Dinant-Namur</t>
  </si>
  <si>
    <t>PESSLEUX</t>
  </si>
  <si>
    <t>Falmignoul</t>
  </si>
  <si>
    <t>Dinant-Beauraing</t>
  </si>
  <si>
    <t>Anthée</t>
  </si>
  <si>
    <t>Dinant-Philippeville</t>
  </si>
  <si>
    <t>Philippeville</t>
  </si>
  <si>
    <t>Eghezée</t>
  </si>
  <si>
    <t>Green Robot</t>
  </si>
  <si>
    <t>Louvain (inutilisable en ce moment)</t>
  </si>
  <si>
    <t>Eghezee</t>
  </si>
  <si>
    <t xml:space="preserve">JCP Cleaning </t>
  </si>
  <si>
    <t>Longchamps N912</t>
  </si>
  <si>
    <t>Saint-Denis - Eghezée</t>
  </si>
  <si>
    <t>E411</t>
  </si>
  <si>
    <t>3 clés</t>
  </si>
  <si>
    <t>Rien</t>
  </si>
  <si>
    <t>McDonalds Gembloux</t>
  </si>
  <si>
    <t>Meux</t>
  </si>
  <si>
    <t xml:space="preserve">V RENAUX </t>
  </si>
  <si>
    <t>Corroy-le-Château</t>
  </si>
  <si>
    <t>Carrefour Didi</t>
  </si>
  <si>
    <t>Les Isnes</t>
  </si>
  <si>
    <t>Didi</t>
  </si>
  <si>
    <t>Sauvenière</t>
  </si>
  <si>
    <t>Gbx vers E411</t>
  </si>
  <si>
    <t>Ernage/Walhain</t>
  </si>
  <si>
    <t>N4 Gembloux - LLN</t>
  </si>
  <si>
    <t>LLN</t>
  </si>
  <si>
    <t>Waret-La-Chée - Leuze</t>
  </si>
  <si>
    <t>Namur-Eghezée</t>
  </si>
  <si>
    <t>Bouge</t>
  </si>
  <si>
    <t xml:space="preserve">Mobalpa  </t>
  </si>
  <si>
    <t>Flawinne</t>
  </si>
  <si>
    <t>Floreffe-Namur</t>
  </si>
  <si>
    <t>Majois free</t>
  </si>
  <si>
    <t>Malonne</t>
  </si>
  <si>
    <t>Floreffe-Namur - Tonton tapis</t>
  </si>
  <si>
    <t>Floreffe</t>
  </si>
  <si>
    <t>BD Media</t>
  </si>
  <si>
    <t>New Teck</t>
  </si>
  <si>
    <t>Rhisnes</t>
  </si>
  <si>
    <t>Gembloux-Namur (entrée Namur)</t>
  </si>
  <si>
    <t xml:space="preserve">Dovy </t>
  </si>
  <si>
    <t>Temploux</t>
  </si>
  <si>
    <t>Sombreffe-Namur (entrée Namur)</t>
  </si>
  <si>
    <t>Bois de villers</t>
  </si>
  <si>
    <t>Av les 6 bras Floreffe-Bois de Villers</t>
  </si>
  <si>
    <t>Bois de V</t>
  </si>
  <si>
    <t>Wépion Criée</t>
  </si>
  <si>
    <t>St Gerard-Namur</t>
  </si>
  <si>
    <t xml:space="preserve">PESSLEUX </t>
  </si>
  <si>
    <t>PITCHPIN op</t>
  </si>
  <si>
    <t>Floriffoux</t>
  </si>
  <si>
    <t>N958 - Suarlée - Floreffe</t>
  </si>
  <si>
    <t>Fosses la Ville</t>
  </si>
  <si>
    <t>Fosses</t>
  </si>
  <si>
    <t>Naninne</t>
  </si>
  <si>
    <t>DPS</t>
  </si>
  <si>
    <t xml:space="preserve">Mobalpa </t>
  </si>
  <si>
    <t>Courrière</t>
  </si>
  <si>
    <t>N4 - Namur-Marche</t>
  </si>
  <si>
    <t>Arville/Sart Bernard</t>
  </si>
  <si>
    <t>NAM PROP op</t>
  </si>
  <si>
    <t>Wierde</t>
  </si>
  <si>
    <t>entre sortie E411 et rond point Naninne</t>
  </si>
  <si>
    <t xml:space="preserve">Literie Massart </t>
  </si>
  <si>
    <t xml:space="preserve">COLORA </t>
  </si>
  <si>
    <t>Optic &amp; vous</t>
  </si>
  <si>
    <t xml:space="preserve">URBAINE </t>
  </si>
  <si>
    <t xml:space="preserve">Optic &amp; vous </t>
  </si>
  <si>
    <t>Marco Magazzino</t>
  </si>
  <si>
    <t xml:space="preserve">Namur </t>
  </si>
  <si>
    <t xml:space="preserve">Wierde 2 </t>
  </si>
  <si>
    <t>CAR MARKET</t>
  </si>
  <si>
    <t>CARR MARKET</t>
  </si>
  <si>
    <t>NAM PROPERTY</t>
  </si>
  <si>
    <t xml:space="preserve">PROXIMED </t>
  </si>
  <si>
    <t>COLORA op</t>
  </si>
  <si>
    <t xml:space="preserve">Ch de Marche - Erpent </t>
  </si>
  <si>
    <t xml:space="preserve">Ixina Tarc </t>
  </si>
  <si>
    <t>Mettet</t>
  </si>
  <si>
    <t>Rond point circuit</t>
  </si>
  <si>
    <t>Annevoie-Mettet</t>
  </si>
  <si>
    <t>Circuit</t>
  </si>
  <si>
    <t>AVEVE Mettet</t>
  </si>
  <si>
    <t>Aveve Doneux</t>
  </si>
  <si>
    <t>Florenne</t>
  </si>
  <si>
    <t xml:space="preserve">Mettet vers Florennes </t>
  </si>
  <si>
    <t>N5 Philippeville-Couvin</t>
  </si>
  <si>
    <t>TONTON T.op</t>
  </si>
  <si>
    <t>Neuville</t>
  </si>
  <si>
    <t>Philippeville-Couvin</t>
  </si>
  <si>
    <t>Rue de Mariembourg</t>
  </si>
  <si>
    <t>Lac de l'Eau d'Heure</t>
  </si>
  <si>
    <t>Silenrieux</t>
  </si>
  <si>
    <t>N40 Rue de Beaumont</t>
  </si>
  <si>
    <t>Couvin</t>
  </si>
  <si>
    <t>Pesche</t>
  </si>
  <si>
    <t>N99 Couvin - Chimay</t>
  </si>
  <si>
    <t>Chimay</t>
  </si>
  <si>
    <t xml:space="preserve"> + L</t>
  </si>
  <si>
    <t>Sinsin</t>
  </si>
  <si>
    <t>Namur-Marche</t>
  </si>
  <si>
    <t>Station Welcom</t>
  </si>
  <si>
    <t>Baillonville Stop Fin 2023</t>
  </si>
  <si>
    <t>Liège-Marche</t>
  </si>
  <si>
    <t>Chaussée de liège</t>
  </si>
  <si>
    <t>stock</t>
  </si>
  <si>
    <t>Wex</t>
  </si>
  <si>
    <t>N839</t>
  </si>
  <si>
    <t>Camp Roi Albert</t>
  </si>
  <si>
    <t>Poils &amp; Plumes</t>
  </si>
  <si>
    <t>Bourdon</t>
  </si>
  <si>
    <t>N86 - Entre Hotton et Marche</t>
  </si>
  <si>
    <t>Zonning</t>
  </si>
  <si>
    <t>Wavreille</t>
  </si>
  <si>
    <t>N803</t>
  </si>
  <si>
    <t>Saint-Hubert</t>
  </si>
  <si>
    <t>NEW</t>
  </si>
  <si>
    <t>Ciergnon</t>
  </si>
  <si>
    <t>N911 Rochefort - E411</t>
  </si>
  <si>
    <t>Basse Sambre</t>
  </si>
  <si>
    <t>Sambreville 1</t>
  </si>
  <si>
    <t>Sambreville-Sombreffe</t>
  </si>
  <si>
    <t>Sombreffe</t>
  </si>
  <si>
    <t>Sambreville 2</t>
  </si>
  <si>
    <t>Sombreffe-Mettet</t>
  </si>
  <si>
    <t>Moustier</t>
  </si>
  <si>
    <t>Sambreville-Floreffe/Namur</t>
  </si>
  <si>
    <t>Verlée</t>
  </si>
  <si>
    <t>Havelange - Durbuy</t>
  </si>
  <si>
    <t>Durbuy</t>
  </si>
  <si>
    <t>Province du Hainaut</t>
  </si>
  <si>
    <t>Charleroi</t>
  </si>
  <si>
    <t>Chatelet</t>
  </si>
  <si>
    <t>Rue de Namur</t>
  </si>
  <si>
    <t>Farcienne</t>
  </si>
  <si>
    <t>Basse Sambre N 90</t>
  </si>
  <si>
    <t>Nalinnes</t>
  </si>
  <si>
    <t>N5 dir Charleroi</t>
  </si>
  <si>
    <t>Gosselies aéroport</t>
  </si>
  <si>
    <t>Aeroport</t>
  </si>
  <si>
    <t xml:space="preserve">Thuin </t>
  </si>
  <si>
    <t>Thuin N59</t>
  </si>
  <si>
    <t xml:space="preserve">Thuin en venant de Gozée </t>
  </si>
  <si>
    <t xml:space="preserve">Gozée </t>
  </si>
  <si>
    <t xml:space="preserve">N53  Charleroi - Beaumont </t>
  </si>
  <si>
    <t xml:space="preserve">Entre Gozée et Thuillies </t>
  </si>
  <si>
    <t xml:space="preserve">Gosselies Nord </t>
  </si>
  <si>
    <t xml:space="preserve">Jumet </t>
  </si>
  <si>
    <t xml:space="preserve">Direct ring Charleroi </t>
  </si>
  <si>
    <t>Province de Luxembourg</t>
  </si>
  <si>
    <t>Arlon ( 2X)</t>
  </si>
  <si>
    <t>Habaye Etalle</t>
  </si>
  <si>
    <t>Habaye La Neuve</t>
  </si>
  <si>
    <t>Route d'Etale (in vers Virton, out vers Habaye) truckcenter face</t>
  </si>
  <si>
    <t>Bastogne</t>
  </si>
  <si>
    <t>Entre Foy et Noville</t>
  </si>
  <si>
    <t>N30 route Bastogne-Houffalize</t>
  </si>
  <si>
    <t>Bras 1</t>
  </si>
  <si>
    <t>N84 route Bastogne-Wiltz</t>
  </si>
  <si>
    <t xml:space="preserve"> +H</t>
  </si>
  <si>
    <t>Bras 2</t>
  </si>
  <si>
    <t>Neffe</t>
  </si>
  <si>
    <t>N874 route Bastogne-Clervaux</t>
  </si>
  <si>
    <t>Bouillon</t>
  </si>
  <si>
    <t>Noirefontaine</t>
  </si>
  <si>
    <t>N865 route Libramont-Bouillon</t>
  </si>
  <si>
    <t xml:space="preserve">La Roche en Ardenne </t>
  </si>
  <si>
    <t xml:space="preserve">Vecmont </t>
  </si>
  <si>
    <t>Vecmont N89</t>
  </si>
  <si>
    <t>Etalle</t>
  </si>
  <si>
    <t>Vance</t>
  </si>
  <si>
    <t>N83 Route d'Arlon La Brelotte</t>
  </si>
  <si>
    <t>Gouvy</t>
  </si>
  <si>
    <t>Cherain</t>
  </si>
  <si>
    <t>N82 route Houffalize-Gouvy</t>
  </si>
  <si>
    <t>Libramont</t>
  </si>
  <si>
    <t>Recogne</t>
  </si>
  <si>
    <t>N40 route Libramont-Neufchateau</t>
  </si>
  <si>
    <t>N89 route Barrière de Champlon-Libramont</t>
  </si>
  <si>
    <t>Tenneville</t>
  </si>
  <si>
    <t>Moriville</t>
  </si>
  <si>
    <t>N4 barrièe Hinck - Barrière Champlon</t>
  </si>
  <si>
    <t>N4 route Marche-Bastogne</t>
  </si>
  <si>
    <t>St Vith</t>
  </si>
  <si>
    <t>Hotel Furellenhof (In vers Schiemde))</t>
  </si>
  <si>
    <t>N62</t>
  </si>
  <si>
    <t>Burg Reuland</t>
  </si>
  <si>
    <t>East Karting (In vers St Vith)</t>
  </si>
  <si>
    <t>Delhaize</t>
  </si>
  <si>
    <t>Durler (In vers St Vith)</t>
  </si>
  <si>
    <t>Deiffelt</t>
  </si>
  <si>
    <t>Hotel Le Campagnard (In vers Schmiede)</t>
  </si>
  <si>
    <t>N68</t>
  </si>
  <si>
    <t xml:space="preserve">Knauf </t>
  </si>
  <si>
    <t>Beho</t>
  </si>
  <si>
    <t>Silot In vers Luxembourg</t>
  </si>
  <si>
    <t>Silot In vers Salm Château</t>
  </si>
  <si>
    <t>Vielsam</t>
  </si>
  <si>
    <t>Hebronval (out vers Vielsam)</t>
  </si>
  <si>
    <t>N89</t>
  </si>
  <si>
    <t>Regné (In vers Vielsam)</t>
  </si>
  <si>
    <t>Fraiture (Out vers Vielsam)</t>
  </si>
  <si>
    <t>Somme-Leuze</t>
  </si>
  <si>
    <t>Rue de Durbuy (Durbuy-Méan)</t>
  </si>
  <si>
    <t>Méan</t>
  </si>
  <si>
    <t xml:space="preserve"> </t>
  </si>
  <si>
    <t>Arlon</t>
  </si>
  <si>
    <t>Wolberg</t>
  </si>
  <si>
    <t xml:space="preserve">Route Steinfort - Arlon </t>
  </si>
  <si>
    <t>Remorque</t>
  </si>
  <si>
    <t>Période</t>
  </si>
  <si>
    <t>Client</t>
  </si>
  <si>
    <t>Face</t>
  </si>
  <si>
    <t>Remarque</t>
  </si>
  <si>
    <t>2027-01</t>
  </si>
  <si>
    <t>Hanse Meubles</t>
  </si>
  <si>
    <t>Immo Toma</t>
  </si>
  <si>
    <t xml:space="preserve">Immo Toma </t>
  </si>
  <si>
    <t>Bloqué</t>
  </si>
  <si>
    <t xml:space="preserve">Immmo Toma </t>
  </si>
  <si>
    <t>Carbelle / DEMA</t>
  </si>
  <si>
    <t>Concours Arville</t>
  </si>
  <si>
    <t>2027-02</t>
  </si>
  <si>
    <t>Urbaine</t>
  </si>
  <si>
    <t>Carbelle / Urbaine</t>
  </si>
  <si>
    <t>BP Martelange</t>
  </si>
  <si>
    <t>Maïs</t>
  </si>
  <si>
    <t>2027-03</t>
  </si>
  <si>
    <t>#</t>
  </si>
  <si>
    <t>Région</t>
  </si>
  <si>
    <t>Localité</t>
  </si>
  <si>
    <t>Axe</t>
  </si>
  <si>
    <t>Soldes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</si>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</sst>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7">
    <font>
      <sz val="10.0"/>
      <color rgb="FF000000"/>
      <name val="Arial"/>
    </font>
    <font>
      <sz val="11.0"/>
      <color rgb="FF000000"/>
      <name val="Inconsolata"/>
    </font>
    <font>
      <name val="Arial"/>
    </font>
    <font>
      <color rgb="FFFFFFFF"/>
      <name val="Arial"/>
    </font>
    <font>
      <b/>
      <sz val="24.0"/>
      <color rgb="FF000000"/>
      <name val="Arial"/>
    </font>
    <font>
      <b/>
      <sz val="24.0"/>
      <color rgb="FFFFFFFF"/>
      <name val="Arial"/>
    </font>
    <font>
      <color rgb="FF000000"/>
      <name val="Arial"/>
    </font>
    <font>
      <sz val="10.0"/>
      <color rgb="FFFFFFFF"/>
      <name val="Arial"/>
    </font>
    <font>
      <b/>
      <name val="Arial"/>
    </font>
    <font>
      <b/>
      <color rgb="FFFFFFFF"/>
      <name val="Arial"/>
    </font>
    <font>
      <b/>
      <color rgb="FF000000"/>
      <name val="Arial"/>
    </font>
    <font>
      <b/>
      <u/>
      <sz val="12.0"/>
      <color rgb="FF1155CC"/>
      <name val="Arial"/>
    </font>
    <font>
      <sz val="8.0"/>
      <name val="Arial"/>
    </font>
    <font>
      <u/>
      <color rgb="FF0000FF"/>
      <name val="Arial"/>
    </font>
    <font>
      <b/>
      <color rgb="FF38761D"/>
      <name val="Arial"/>
    </font>
    <font>
      <b/>
      <sz val="12.0"/>
      <name val="Arial"/>
    </font>
    <font>
      <b/>
      <color rgb="FFEA9999"/>
      <name val="Arial"/>
    </font>
    <font>
      <u/>
      <color rgb="FF0000FF"/>
      <name val="Roboto"/>
    </font>
    <font>
      <b/>
    </font>
    <font>
      <sz val="8.0"/>
    </font>
    <font>
      <u/>
      <color rgb="FF0000FF"/>
      <name val="Arial"/>
    </font>
    <font>
      <sz val="10.0"/>
      <name val="Arial"/>
    </font>
    <font>
      <name val="Roboto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sz val="12.0"/>
      <color rgb="FF000000"/>
      <name val="Arial"/>
    </font>
    <font>
      <u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sz val="12.0"/>
    </font>
    <font>
      <b/>
      <u/>
      <sz val="12.0"/>
      <color rgb="FF0000FF"/>
    </font>
    <font/>
    <font>
      <b/>
      <sz val="12.0"/>
      <color rgb="FF202124"/>
      <name val="Arial"/>
    </font>
    <font>
      <color rgb="FF1155CC"/>
      <name val="Arial"/>
    </font>
    <font>
      <b/>
      <u/>
      <sz val="12.0"/>
      <color rgb="FF0000FF"/>
      <name val="Arial"/>
    </font>
    <font>
      <b/>
      <sz val="12.0"/>
      <color rgb="FF000000"/>
      <name val="&quot;Calibri Light&quot;"/>
    </font>
    <font>
      <b/>
      <u/>
      <sz val="12.0"/>
      <color rgb="FF0000FF"/>
      <name val="Calibri"/>
    </font>
    <font>
      <b/>
      <color rgb="FFFF0000"/>
    </font>
    <font>
      <b/>
      <color rgb="FF0000FF"/>
    </font>
    <font>
      <b/>
      <i/>
      <color rgb="FFFFFFFF"/>
      <name val="Arial"/>
    </font>
    <font>
      <b/>
      <color rgb="FFFFD966"/>
      <name val="Arial"/>
    </font>
    <font>
      <b/>
      <u/>
      <sz val="12.0"/>
      <color rgb="FF0000FF"/>
      <name val="Calibri"/>
    </font>
    <font>
      <name val="&quot;Helvetica Neue&quot;"/>
    </font>
    <font>
      <b/>
      <color rgb="FFFF0000"/>
      <name val="Arial"/>
    </font>
    <font>
      <sz val="11.0"/>
      <color rgb="FF000000"/>
      <name val="Calibri"/>
    </font>
    <font>
      <color rgb="FF000000"/>
      <name val="Roboto"/>
    </font>
    <font>
      <sz val="9.0"/>
      <color rgb="FF000000"/>
      <name val="Helvetica"/>
    </font>
    <font>
      <b/>
      <sz val="10.0"/>
      <color rgb="FF000000"/>
      <name val="Arial"/>
    </font>
    <font>
      <b/>
      <color rgb="FF000000"/>
    </font>
    <font>
      <b/>
      <color rgb="FF1155CC"/>
      <name val="Arial"/>
    </font>
    <font>
      <sz val="12.0"/>
      <color rgb="FF000000"/>
      <name val="Arial"/>
    </font>
    <font>
      <b/>
      <i/>
      <color rgb="FF000000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</font>
    <font>
      <b/>
      <u/>
      <sz val="12.0"/>
      <color rgb="FF0000FF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12E0CA"/>
        <bgColor rgb="FF12E0CA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783F04"/>
        <bgColor rgb="FF783F04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7DD9"/>
        <bgColor rgb="FF007DD9"/>
      </patternFill>
    </fill>
    <fill>
      <patternFill patternType="solid">
        <fgColor rgb="FFFDDCE8"/>
        <bgColor rgb="FFFDDCE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BAFF00"/>
        <bgColor rgb="FFBAFF00"/>
      </patternFill>
    </fill>
    <fill>
      <patternFill patternType="solid">
        <fgColor rgb="FFBDBDBD"/>
        <bgColor rgb="FFBDBDBD"/>
      </patternFill>
    </fill>
  </fills>
  <borders count="36">
    <border/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</border>
    <border>
      <left style="thin">
        <color rgb="FF000000"/>
      </left>
    </border>
    <border>
      <right style="medium">
        <color rgb="FFB7B7B7"/>
      </right>
    </border>
    <border>
      <bottom style="thin">
        <color rgb="FF000000"/>
      </bottom>
    </border>
    <border>
      <right style="thin">
        <color rgb="FFCCCCCC"/>
      </right>
      <bottom style="thin">
        <color rgb="FF000000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right style="thick">
        <color rgb="FF000000"/>
      </right>
    </border>
    <border>
      <right style="hair">
        <color rgb="FF000000"/>
      </right>
    </border>
    <border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top style="thin">
        <color rgb="FFF3F3F3"/>
      </top>
    </border>
  </borders>
  <cellStyleXfs count="1">
    <xf borderId="0" fillId="0" fontId="0" numFmtId="0" applyAlignment="1" applyFont="1"/>
  </cellStyleXfs>
  <cellXfs count="50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4" fillId="3" fontId="5" numFmtId="0" xfId="0" applyAlignment="1" applyBorder="1" applyFill="1" applyFont="1">
      <alignment horizontal="center" readingOrder="0" vertical="center"/>
    </xf>
    <xf borderId="3" fillId="3" fontId="6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vertical="center"/>
    </xf>
    <xf borderId="3" fillId="3" fontId="7" numFmtId="0" xfId="0" applyAlignment="1" applyBorder="1" applyFill="1" applyFont="1">
      <alignment horizontal="left" readingOrder="0" vertical="center"/>
    </xf>
    <xf borderId="6" fillId="5" fontId="8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readingOrder="0" vertical="center"/>
    </xf>
    <xf borderId="7" fillId="5" fontId="8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left" readingOrder="0" vertical="center"/>
    </xf>
    <xf borderId="3" fillId="4" fontId="6" numFmtId="0" xfId="0" applyAlignment="1" applyBorder="1" applyFill="1" applyFont="1">
      <alignment vertical="center"/>
    </xf>
    <xf borderId="6" fillId="6" fontId="9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vertical="center"/>
    </xf>
    <xf borderId="7" fillId="6" fontId="9" numFmtId="0" xfId="0" applyAlignment="1" applyBorder="1" applyFill="1" applyFont="1">
      <alignment horizontal="center" vertical="center"/>
    </xf>
    <xf borderId="9" fillId="5" fontId="8" numFmtId="0" xfId="0" applyAlignment="1" applyBorder="1" applyFill="1" applyFont="1">
      <alignment horizontal="center" vertical="center"/>
    </xf>
    <xf borderId="6" fillId="5" fontId="10" numFmtId="0" xfId="0" applyAlignment="1" applyBorder="1" applyFill="1" applyFont="1">
      <alignment horizontal="center" vertical="center"/>
    </xf>
    <xf borderId="10" fillId="5" fontId="8" numFmtId="0" xfId="0" applyAlignment="1" applyBorder="1" applyFill="1" applyFont="1">
      <alignment horizontal="center" readingOrder="0" vertical="center"/>
    </xf>
    <xf borderId="7" fillId="5" fontId="10" numFmtId="0" xfId="0" applyAlignment="1" applyBorder="1" applyFill="1" applyFont="1">
      <alignment horizontal="center" vertical="center"/>
    </xf>
    <xf borderId="11" fillId="5" fontId="8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bottom"/>
    </xf>
    <xf borderId="7" fillId="5" fontId="8" numFmtId="0" xfId="0" applyAlignment="1" applyBorder="1" applyFill="1" applyFont="1">
      <alignment horizontal="center" readingOrder="0" vertical="center"/>
    </xf>
    <xf borderId="9" fillId="6" fontId="9" numFmtId="0" xfId="0" applyAlignment="1" applyBorder="1" applyFill="1" applyFont="1">
      <alignment horizontal="center" readingOrder="0" vertical="center"/>
    </xf>
    <xf borderId="10" fillId="6" fontId="9" numFmtId="0" xfId="0" applyAlignment="1" applyBorder="1" applyFill="1" applyFont="1">
      <alignment horizontal="center" readingOrder="0" vertical="center"/>
    </xf>
    <xf borderId="11" fillId="6" fontId="9" numFmtId="0" xfId="0" applyAlignment="1" applyBorder="1" applyFill="1" applyFont="1">
      <alignment horizontal="center" readingOrder="0" vertical="center"/>
    </xf>
    <xf borderId="12" fillId="6" fontId="9" numFmtId="0" xfId="0" applyAlignment="1" applyBorder="1" applyFill="1" applyFont="1">
      <alignment horizontal="center" vertical="center"/>
    </xf>
    <xf borderId="7" fillId="6" fontId="9" numFmtId="0" xfId="0" applyAlignment="1" applyBorder="1" applyFill="1" applyFont="1">
      <alignment horizontal="center" readingOrder="0" vertical="center"/>
    </xf>
    <xf borderId="12" fillId="6" fontId="9" numFmtId="0" xfId="0" applyAlignment="1" applyBorder="1" applyFill="1" applyFont="1">
      <alignment horizontal="center" readingOrder="0" vertical="center"/>
    </xf>
    <xf borderId="0" fillId="2" fontId="1" numFmtId="49" xfId="0" applyAlignment="1" applyFill="1" applyFont="1" applyNumberFormat="1">
      <alignment readingOrder="0"/>
    </xf>
    <xf borderId="9" fillId="7" fontId="10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10" fillId="7" fontId="10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bottom"/>
    </xf>
    <xf borderId="11" fillId="7" fontId="10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7" fillId="7" fontId="10" numFmtId="0" xfId="0" applyAlignment="1" applyBorder="1" applyFill="1" applyFont="1">
      <alignment horizontal="center" readingOrder="0" vertical="center"/>
    </xf>
    <xf borderId="13" fillId="2" fontId="11" numFmtId="0" xfId="0" applyAlignment="1" applyBorder="1" applyFill="1" applyFont="1">
      <alignment horizontal="center" vertical="center"/>
    </xf>
    <xf borderId="9" fillId="5" fontId="10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vertical="bottom"/>
    </xf>
    <xf borderId="10" fillId="5" fontId="10" numFmtId="0" xfId="0" applyAlignment="1" applyBorder="1" applyFill="1" applyFont="1">
      <alignment horizontal="center" readingOrder="0" vertical="center"/>
    </xf>
    <xf borderId="11" fillId="5" fontId="10" numFmtId="0" xfId="0" applyAlignment="1" applyBorder="1" applyFill="1" applyFont="1">
      <alignment horizontal="center" readingOrder="0" vertical="center"/>
    </xf>
    <xf borderId="7" fillId="5" fontId="10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vertical="center"/>
    </xf>
    <xf borderId="0" fillId="2" fontId="12" numFmtId="0" xfId="0" applyAlignment="1" applyFill="1" applyFont="1">
      <alignment vertical="center"/>
    </xf>
    <xf borderId="0" fillId="2" fontId="13" numFmtId="0" xfId="0" applyAlignment="1" applyFill="1" applyFont="1">
      <alignment vertical="bottom"/>
    </xf>
    <xf borderId="13" fillId="2" fontId="12" numFmtId="0" xfId="0" applyAlignment="1" applyBorder="1" applyFill="1" applyFont="1">
      <alignment vertical="center"/>
    </xf>
    <xf borderId="0" fillId="6" fontId="9" numFmtId="0" xfId="0" applyAlignment="1" applyFill="1" applyFont="1">
      <alignment horizontal="center" readingOrder="0" vertical="center"/>
    </xf>
    <xf borderId="0" fillId="6" fontId="9" numFmtId="0" xfId="0" applyAlignment="1" applyFill="1" applyFont="1">
      <alignment horizontal="center" vertical="center"/>
    </xf>
    <xf borderId="13" fillId="8" fontId="14" numFmtId="0" xfId="0" applyAlignment="1" applyBorder="1" applyFill="1" applyFont="1">
      <alignment horizontal="center" vertical="center"/>
    </xf>
    <xf borderId="0" fillId="2" fontId="15" numFmtId="0" xfId="0" applyAlignment="1" applyFill="1" applyFont="1">
      <alignment horizontal="center" readingOrder="0" vertical="center"/>
    </xf>
    <xf borderId="13" fillId="9" fontId="16" numFmtId="0" xfId="0" applyAlignment="1" applyBorder="1" applyFill="1" applyFont="1">
      <alignment horizontal="center" vertical="center"/>
    </xf>
    <xf borderId="0" fillId="2" fontId="17" numFmtId="0" xfId="0" applyAlignment="1" applyFill="1" applyFont="1">
      <alignment vertical="bottom"/>
    </xf>
    <xf borderId="14" fillId="2" fontId="18" numFmtId="0" xfId="0" applyAlignment="1" applyBorder="1" applyFill="1" applyFont="1">
      <alignment horizontal="left" readingOrder="0" vertical="center"/>
    </xf>
    <xf borderId="0" fillId="2" fontId="19" numFmtId="0" xfId="0" applyAlignment="1" applyFill="1" applyFont="1">
      <alignment horizontal="left" readingOrder="0" vertical="center"/>
    </xf>
    <xf borderId="0" fillId="0" fontId="2" numFmtId="0" xfId="0" applyAlignment="1" applyFont="1">
      <alignment shrinkToFit="0" vertical="bottom" wrapText="0"/>
    </xf>
    <xf borderId="13" fillId="2" fontId="19" numFmtId="0" xfId="0" applyAlignment="1" applyBorder="1" applyFill="1" applyFont="1">
      <alignment horizontal="left" readingOrder="0" vertical="center"/>
    </xf>
    <xf borderId="0" fillId="0" fontId="20" numFmtId="0" xfId="0" applyAlignment="1" applyFont="1">
      <alignment vertical="bottom"/>
    </xf>
    <xf borderId="14" fillId="2" fontId="21" numFmtId="0" xfId="0" applyAlignment="1" applyBorder="1" applyFill="1" applyFont="1">
      <alignment horizontal="center" vertical="center"/>
    </xf>
    <xf borderId="0" fillId="2" fontId="22" numFmtId="0" xfId="0" applyAlignment="1" applyFill="1" applyFont="1">
      <alignment vertical="bottom"/>
    </xf>
    <xf borderId="15" fillId="2" fontId="21" numFmtId="0" xfId="0" applyAlignment="1" applyBorder="1" applyFill="1" applyFont="1">
      <alignment horizontal="center" readingOrder="0" vertical="center"/>
    </xf>
    <xf borderId="16" fillId="2" fontId="21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shrinkToFit="0" vertical="bottom" wrapText="0"/>
    </xf>
    <xf borderId="13" fillId="2" fontId="21" numFmtId="0" xfId="0" applyAlignment="1" applyBorder="1" applyFill="1" applyFont="1">
      <alignment horizontal="center" vertical="center"/>
    </xf>
    <xf borderId="14" fillId="2" fontId="21" numFmtId="0" xfId="0" applyAlignment="1" applyBorder="1" applyFill="1" applyFont="1">
      <alignment horizontal="center" readingOrder="0" vertical="center"/>
    </xf>
    <xf borderId="16" fillId="2" fontId="21" numFmtId="0" xfId="0" applyAlignment="1" applyBorder="1" applyFill="1" applyFont="1">
      <alignment horizontal="center" readingOrder="0" vertical="center"/>
    </xf>
    <xf borderId="0" fillId="9" fontId="16" numFmtId="0" xfId="0" applyAlignment="1" applyFill="1" applyFont="1">
      <alignment horizontal="center" vertical="center"/>
    </xf>
    <xf borderId="0" fillId="2" fontId="21" numFmtId="0" xfId="0" applyAlignment="1" applyFill="1" applyFont="1">
      <alignment horizontal="center" readingOrder="0" vertical="center"/>
    </xf>
    <xf borderId="15" fillId="2" fontId="21" numFmtId="0" xfId="0" applyAlignment="1" applyBorder="1" applyFill="1" applyFont="1">
      <alignment horizontal="center" vertical="center"/>
    </xf>
    <xf borderId="13" fillId="10" fontId="23" numFmtId="0" xfId="0" applyAlignment="1" applyBorder="1" applyFill="1" applyFont="1">
      <alignment horizontal="center" vertical="center"/>
    </xf>
    <xf borderId="0" fillId="10" fontId="8" numFmtId="0" xfId="0" applyAlignment="1" applyFill="1" applyFont="1">
      <alignment vertical="center"/>
    </xf>
    <xf borderId="0" fillId="10" fontId="12" numFmtId="0" xfId="0" applyAlignment="1" applyFill="1" applyFont="1">
      <alignment vertical="center"/>
    </xf>
    <xf borderId="13" fillId="10" fontId="12" numFmtId="0" xfId="0" applyAlignment="1" applyBorder="1" applyFill="1" applyFont="1">
      <alignment vertical="center"/>
    </xf>
    <xf borderId="0" fillId="8" fontId="14" numFmtId="0" xfId="0" applyAlignment="1" applyFill="1" applyFont="1">
      <alignment horizontal="center" vertical="center"/>
    </xf>
    <xf borderId="0" fillId="10" fontId="21" numFmtId="0" xfId="0" applyAlignment="1" applyFill="1" applyFont="1">
      <alignment horizontal="center" readingOrder="0" vertical="center"/>
    </xf>
    <xf borderId="13" fillId="2" fontId="2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vertical="center"/>
    </xf>
    <xf borderId="0" fillId="10" fontId="24" numFmtId="0" xfId="0" applyAlignment="1" applyFill="1" applyFont="1">
      <alignment horizontal="center" readingOrder="0" vertical="center"/>
    </xf>
    <xf borderId="14" fillId="10" fontId="18" numFmtId="0" xfId="0" applyAlignment="1" applyBorder="1" applyFill="1" applyFont="1">
      <alignment horizontal="left" readingOrder="0" vertical="center"/>
    </xf>
    <xf borderId="0" fillId="10" fontId="19" numFmtId="0" xfId="0" applyAlignment="1" applyFill="1" applyFont="1">
      <alignment horizontal="left" readingOrder="0" vertical="center"/>
    </xf>
    <xf borderId="13" fillId="10" fontId="19" numFmtId="0" xfId="0" applyAlignment="1" applyBorder="1" applyFill="1" applyFont="1">
      <alignment horizontal="left" readingOrder="0" vertical="center"/>
    </xf>
    <xf borderId="14" fillId="10" fontId="21" numFmtId="0" xfId="0" applyAlignment="1" applyBorder="1" applyFill="1" applyFont="1">
      <alignment horizontal="center" readingOrder="0" vertical="center"/>
    </xf>
    <xf borderId="15" fillId="10" fontId="21" numFmtId="0" xfId="0" applyAlignment="1" applyBorder="1" applyFill="1" applyFont="1">
      <alignment horizontal="center" readingOrder="0" vertical="center"/>
    </xf>
    <xf borderId="16" fillId="10" fontId="21" numFmtId="0" xfId="0" applyAlignment="1" applyBorder="1" applyFill="1" applyFont="1">
      <alignment horizontal="center" readingOrder="0" vertical="center"/>
    </xf>
    <xf borderId="13" fillId="10" fontId="21" numFmtId="0" xfId="0" applyAlignment="1" applyBorder="1" applyFill="1" applyFont="1">
      <alignment horizontal="center" readingOrder="0" vertical="center"/>
    </xf>
    <xf borderId="0" fillId="2" fontId="21" numFmtId="0" xfId="0" applyAlignment="1" applyFill="1" applyFont="1">
      <alignment horizontal="center" vertical="center"/>
    </xf>
    <xf borderId="15" fillId="10" fontId="21" numFmtId="0" xfId="0" applyAlignment="1" applyBorder="1" applyFill="1" applyFont="1">
      <alignment horizontal="center" vertical="center"/>
    </xf>
    <xf borderId="13" fillId="10" fontId="21" numFmtId="0" xfId="0" applyAlignment="1" applyBorder="1" applyFill="1" applyFont="1">
      <alignment horizontal="center" vertical="center"/>
    </xf>
    <xf borderId="16" fillId="10" fontId="21" numFmtId="0" xfId="0" applyAlignment="1" applyBorder="1" applyFill="1" applyFont="1">
      <alignment horizontal="center" vertical="center"/>
    </xf>
    <xf borderId="15" fillId="10" fontId="21" numFmtId="0" xfId="0" applyAlignment="1" applyBorder="1" applyFill="1" applyFont="1">
      <alignment horizontal="center" readingOrder="0" vertical="center"/>
    </xf>
    <xf borderId="13" fillId="10" fontId="21" numFmtId="0" xfId="0" applyAlignment="1" applyBorder="1" applyFill="1" applyFont="1">
      <alignment horizontal="center" vertical="center"/>
    </xf>
    <xf borderId="15" fillId="10" fontId="21" numFmtId="0" xfId="0" applyAlignment="1" applyBorder="1" applyFill="1" applyFont="1">
      <alignment horizontal="center" vertical="center"/>
    </xf>
    <xf borderId="16" fillId="10" fontId="2" numFmtId="0" xfId="0" applyAlignment="1" applyBorder="1" applyFill="1" applyFont="1">
      <alignment horizontal="center" readingOrder="0" vertical="center"/>
    </xf>
    <xf borderId="16" fillId="10" fontId="21" numFmtId="0" xfId="0" applyAlignment="1" applyBorder="1" applyFill="1" applyFont="1">
      <alignment horizontal="center" readingOrder="0" vertical="center"/>
    </xf>
    <xf borderId="0" fillId="10" fontId="2" numFmtId="0" xfId="0" applyAlignment="1" applyFill="1" applyFont="1">
      <alignment vertical="center"/>
    </xf>
    <xf borderId="0" fillId="2" fontId="25" numFmtId="0" xfId="0" applyAlignment="1" applyFill="1" applyFont="1">
      <alignment horizontal="center" readingOrder="0" vertical="center"/>
    </xf>
    <xf borderId="16" fillId="2" fontId="21" numFmtId="0" xfId="0" applyAlignment="1" applyBorder="1" applyFill="1" applyFont="1">
      <alignment horizontal="center" vertical="center"/>
    </xf>
    <xf borderId="15" fillId="2" fontId="21" numFmtId="0" xfId="0" applyAlignment="1" applyBorder="1" applyFill="1" applyFont="1">
      <alignment horizontal="center" readingOrder="0" vertical="center"/>
    </xf>
    <xf borderId="13" fillId="2" fontId="21" numFmtId="0" xfId="0" applyAlignment="1" applyBorder="1" applyFill="1" applyFont="1">
      <alignment horizontal="center" vertical="center"/>
    </xf>
    <xf borderId="15" fillId="2" fontId="21" numFmtId="0" xfId="0" applyAlignment="1" applyBorder="1" applyFill="1" applyFont="1">
      <alignment horizontal="center" vertical="center"/>
    </xf>
    <xf borderId="14" fillId="2" fontId="21" numFmtId="0" xfId="0" applyAlignment="1" applyBorder="1" applyFill="1" applyFont="1">
      <alignment horizontal="center" vertical="center"/>
    </xf>
    <xf borderId="16" fillId="2" fontId="2" numFmtId="0" xfId="0" applyAlignment="1" applyBorder="1" applyFill="1" applyFont="1">
      <alignment horizontal="center" readingOrder="0" vertical="center"/>
    </xf>
    <xf borderId="16" fillId="2" fontId="2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vertical="center"/>
    </xf>
    <xf borderId="14" fillId="10" fontId="21" numFmtId="0" xfId="0" applyAlignment="1" applyBorder="1" applyFill="1" applyFont="1">
      <alignment horizontal="center" vertical="center"/>
    </xf>
    <xf borderId="0" fillId="0" fontId="26" numFmtId="0" xfId="0" applyAlignment="1" applyFont="1">
      <alignment vertical="bottom"/>
    </xf>
    <xf borderId="16" fillId="10" fontId="21" numFmtId="0" xfId="0" applyAlignment="1" applyBorder="1" applyFill="1" applyFont="1">
      <alignment horizontal="center" vertical="center"/>
    </xf>
    <xf borderId="14" fillId="10" fontId="21" numFmtId="0" xfId="0" applyAlignment="1" applyBorder="1" applyFill="1" applyFont="1">
      <alignment horizontal="center" vertical="center"/>
    </xf>
    <xf borderId="0" fillId="2" fontId="27" numFmtId="0" xfId="0" applyAlignment="1" applyFill="1" applyFont="1">
      <alignment horizontal="center" readingOrder="0" vertical="center"/>
    </xf>
    <xf borderId="0" fillId="2" fontId="28" numFmtId="0" xfId="0" applyAlignment="1" applyFill="1" applyFont="1">
      <alignment horizontal="center" readingOrder="0" shrinkToFit="0" vertical="center" wrapText="0"/>
    </xf>
    <xf borderId="0" fillId="10" fontId="15" numFmtId="0" xfId="0" applyAlignment="1" applyFill="1" applyFont="1">
      <alignment horizontal="center" readingOrder="0" vertical="center"/>
    </xf>
    <xf borderId="13" fillId="0" fontId="29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12" numFmtId="0" xfId="0" applyAlignment="1" applyFont="1">
      <alignment vertical="center"/>
    </xf>
    <xf borderId="13" fillId="0" fontId="12" numFmtId="0" xfId="0" applyAlignment="1" applyBorder="1" applyFont="1">
      <alignment vertical="center"/>
    </xf>
    <xf borderId="0" fillId="0" fontId="21" numFmtId="0" xfId="0" applyAlignment="1" applyFont="1">
      <alignment horizontal="center" readingOrder="0" vertical="center"/>
    </xf>
    <xf borderId="13" fillId="0" fontId="2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3" fillId="10" fontId="2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shrinkToFit="0" vertical="bottom" wrapText="0"/>
    </xf>
    <xf borderId="14" fillId="2" fontId="2" numFmtId="0" xfId="0" applyAlignment="1" applyBorder="1" applyFill="1" applyFont="1">
      <alignment horizontal="center" readingOrder="0" vertical="center"/>
    </xf>
    <xf borderId="13" fillId="2" fontId="21" numFmtId="0" xfId="0" applyAlignment="1" applyBorder="1" applyFill="1" applyFont="1">
      <alignment horizontal="center" readingOrder="0" vertical="center"/>
    </xf>
    <xf borderId="14" fillId="10" fontId="21" numFmtId="0" xfId="0" applyAlignment="1" applyBorder="1" applyFill="1" applyFont="1">
      <alignment horizontal="center" readingOrder="0" vertical="center"/>
    </xf>
    <xf borderId="0" fillId="10" fontId="21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vertical="center"/>
    </xf>
    <xf borderId="0" fillId="0" fontId="30" numFmtId="0" xfId="0" applyAlignment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13" fillId="0" fontId="12" numFmtId="0" xfId="0" applyAlignment="1" applyBorder="1" applyFont="1">
      <alignment horizontal="left" readingOrder="0" vertical="center"/>
    </xf>
    <xf borderId="14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6" fillId="0" fontId="21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readingOrder="0" vertical="center"/>
    </xf>
    <xf borderId="16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6" fillId="0" fontId="21" numFmtId="0" xfId="0" applyAlignment="1" applyBorder="1" applyFont="1">
      <alignment horizontal="center" readingOrder="0" vertical="center"/>
    </xf>
    <xf borderId="13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vertical="center"/>
    </xf>
    <xf borderId="16" fillId="0" fontId="21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center" readingOrder="0" vertical="center"/>
    </xf>
    <xf borderId="15" fillId="0" fontId="21" numFmtId="0" xfId="0" applyAlignment="1" applyBorder="1" applyFont="1">
      <alignment horizontal="center" readingOrder="0" vertical="center"/>
    </xf>
    <xf borderId="13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vertical="center"/>
    </xf>
    <xf borderId="15" fillId="0" fontId="21" numFmtId="0" xfId="0" applyAlignment="1" applyBorder="1" applyFont="1">
      <alignment horizontal="center" vertical="center"/>
    </xf>
    <xf borderId="16" fillId="0" fontId="21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center" vertical="center"/>
    </xf>
    <xf borderId="15" fillId="0" fontId="2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2" fontId="31" numFmtId="0" xfId="0" applyAlignment="1" applyFill="1" applyFont="1">
      <alignment horizontal="center" readingOrder="0" vertical="center"/>
    </xf>
    <xf borderId="0" fillId="10" fontId="21" numFmtId="0" xfId="0" applyAlignment="1" applyFill="1" applyFont="1">
      <alignment horizontal="center" vertical="center"/>
    </xf>
    <xf borderId="14" fillId="2" fontId="21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0" fontId="32" numFmtId="0" xfId="0" applyAlignment="1" applyFont="1">
      <alignment horizontal="center"/>
    </xf>
    <xf borderId="0" fillId="10" fontId="2" numFmtId="0" xfId="0" applyAlignment="1" applyFill="1" applyFont="1">
      <alignment horizontal="center" vertical="center"/>
    </xf>
    <xf borderId="16" fillId="2" fontId="2" numFmtId="0" xfId="0" applyAlignment="1" applyBorder="1" applyFill="1" applyFont="1">
      <alignment horizontal="center" vertical="center"/>
    </xf>
    <xf borderId="13" fillId="10" fontId="2" numFmtId="0" xfId="0" applyAlignment="1" applyBorder="1" applyFill="1" applyFont="1">
      <alignment horizontal="center" readingOrder="0" vertical="center"/>
    </xf>
    <xf borderId="0" fillId="6" fontId="21" numFmtId="0" xfId="0" applyAlignment="1" applyFill="1" applyFont="1">
      <alignment horizontal="center" vertical="center"/>
    </xf>
    <xf borderId="15" fillId="2" fontId="2" numFmtId="0" xfId="0" applyAlignment="1" applyBorder="1" applyFill="1" applyFont="1">
      <alignment horizontal="center" readingOrder="0" vertical="center"/>
    </xf>
    <xf borderId="0" fillId="2" fontId="33" numFmtId="0" xfId="0" applyAlignment="1" applyFill="1" applyFont="1">
      <alignment horizontal="left"/>
    </xf>
    <xf borderId="14" fillId="10" fontId="34" numFmtId="0" xfId="0" applyAlignment="1" applyBorder="1" applyFill="1" applyFont="1">
      <alignment horizontal="center" readingOrder="0" vertical="center"/>
    </xf>
    <xf borderId="0" fillId="11" fontId="35" numFmtId="0" xfId="0" applyAlignment="1" applyFill="1" applyFont="1">
      <alignment horizontal="center" readingOrder="0" vertical="center"/>
    </xf>
    <xf borderId="14" fillId="11" fontId="18" numFmtId="0" xfId="0" applyAlignment="1" applyBorder="1" applyFill="1" applyFont="1">
      <alignment horizontal="left" readingOrder="0" vertical="center"/>
    </xf>
    <xf borderId="0" fillId="11" fontId="19" numFmtId="0" xfId="0" applyAlignment="1" applyFill="1" applyFont="1">
      <alignment horizontal="left" readingOrder="0" vertical="center"/>
    </xf>
    <xf borderId="13" fillId="11" fontId="19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readingOrder="0" vertical="bottom"/>
    </xf>
    <xf borderId="0" fillId="2" fontId="21" numFmtId="0" xfId="0" applyAlignment="1" applyFill="1" applyFont="1">
      <alignment horizontal="center" readingOrder="0" vertical="center"/>
    </xf>
    <xf borderId="13" fillId="2" fontId="21" numFmtId="9" xfId="0" applyAlignment="1" applyBorder="1" applyFill="1" applyFont="1" applyNumberFormat="1">
      <alignment horizontal="center" readingOrder="0" vertical="center"/>
    </xf>
    <xf borderId="0" fillId="7" fontId="2" numFmtId="0" xfId="0" applyAlignment="1" applyFill="1" applyFont="1">
      <alignment horizontal="center" readingOrder="0" vertical="bottom"/>
    </xf>
    <xf borderId="0" fillId="12" fontId="2" numFmtId="0" xfId="0" applyAlignment="1" applyFill="1" applyFont="1">
      <alignment horizontal="center" readingOrder="0" vertical="bottom"/>
    </xf>
    <xf borderId="0" fillId="12" fontId="2" numFmtId="0" xfId="0" applyAlignment="1" applyFill="1" applyFont="1">
      <alignment vertical="bottom"/>
    </xf>
    <xf borderId="0" fillId="12" fontId="2" numFmtId="0" xfId="0" applyAlignment="1" applyFill="1" applyFont="1">
      <alignment horizontal="right" readingOrder="0" vertical="bottom"/>
    </xf>
    <xf borderId="17" fillId="6" fontId="2" numFmtId="0" xfId="0" applyAlignment="1" applyBorder="1" applyFill="1" applyFont="1">
      <alignment vertical="bottom"/>
    </xf>
    <xf borderId="0" fillId="13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18" fillId="0" fontId="2" numFmtId="0" xfId="0" applyAlignment="1" applyBorder="1" applyFont="1">
      <alignment vertical="bottom"/>
    </xf>
    <xf borderId="18" fillId="6" fontId="2" numFmtId="0" xfId="0" applyAlignment="1" applyBorder="1" applyFill="1" applyFont="1">
      <alignment vertical="bottom"/>
    </xf>
    <xf borderId="0" fillId="11" fontId="15" numFmtId="0" xfId="0" applyAlignment="1" applyFill="1" applyFont="1">
      <alignment horizontal="center" readingOrder="0" vertical="center"/>
    </xf>
    <xf borderId="17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vertical="bottom"/>
    </xf>
    <xf borderId="17" fillId="13" fontId="2" numFmtId="0" xfId="0" applyAlignment="1" applyBorder="1" applyFill="1" applyFont="1">
      <alignment vertical="bottom"/>
    </xf>
    <xf borderId="17" fillId="14" fontId="10" numFmtId="0" xfId="0" applyAlignment="1" applyBorder="1" applyFill="1" applyFont="1">
      <alignment horizontal="center" vertical="bottom"/>
    </xf>
    <xf borderId="17" fillId="6" fontId="8" numFmtId="0" xfId="0" applyAlignment="1" applyBorder="1" applyFill="1" applyFont="1">
      <alignment horizontal="center" vertical="bottom"/>
    </xf>
    <xf borderId="17" fillId="6" fontId="9" numFmtId="0" xfId="0" applyAlignment="1" applyBorder="1" applyFill="1" applyFont="1">
      <alignment horizontal="center" vertical="bottom"/>
    </xf>
    <xf borderId="17" fillId="14" fontId="8" numFmtId="0" xfId="0" applyAlignment="1" applyBorder="1" applyFill="1" applyFont="1">
      <alignment horizontal="center" vertical="bottom"/>
    </xf>
    <xf borderId="13" fillId="10" fontId="21" numFmtId="9" xfId="0" applyAlignment="1" applyBorder="1" applyFill="1" applyFont="1" applyNumberFormat="1">
      <alignment horizontal="center" readingOrder="0" vertical="center"/>
    </xf>
    <xf borderId="2" fillId="6" fontId="9" numFmtId="0" xfId="0" applyAlignment="1" applyBorder="1" applyFill="1" applyFont="1">
      <alignment horizontal="center" vertical="bottom"/>
    </xf>
    <xf borderId="18" fillId="13" fontId="2" numFmtId="0" xfId="0" applyAlignment="1" applyBorder="1" applyFill="1" applyFont="1">
      <alignment vertical="bottom"/>
    </xf>
    <xf borderId="19" fillId="0" fontId="36" numFmtId="0" xfId="0" applyAlignment="1" applyBorder="1" applyFont="1">
      <alignment readingOrder="0"/>
    </xf>
    <xf borderId="18" fillId="0" fontId="2" numFmtId="0" xfId="0" applyAlignment="1" applyBorder="1" applyFont="1">
      <alignment readingOrder="0" vertical="bottom"/>
    </xf>
    <xf borderId="13" fillId="6" fontId="21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bottom"/>
    </xf>
    <xf borderId="3" fillId="0" fontId="32" numFmtId="0" xfId="0" applyBorder="1" applyFont="1"/>
    <xf borderId="5" fillId="0" fontId="32" numFmtId="0" xfId="0" applyBorder="1" applyFont="1"/>
    <xf borderId="17" fillId="6" fontId="3" numFmtId="0" xfId="0" applyAlignment="1" applyBorder="1" applyFill="1" applyFont="1">
      <alignment vertical="bottom"/>
    </xf>
    <xf borderId="0" fillId="2" fontId="37" numFmtId="0" xfId="0" applyAlignment="1" applyFill="1" applyFont="1">
      <alignment horizontal="center" readingOrder="0" vertical="center"/>
    </xf>
    <xf borderId="20" fillId="12" fontId="2" numFmtId="0" xfId="0" applyAlignment="1" applyBorder="1" applyFill="1" applyFont="1">
      <alignment horizontal="center" readingOrder="0" vertical="bottom"/>
    </xf>
    <xf borderId="19" fillId="0" fontId="2" numFmtId="0" xfId="0" applyAlignment="1" applyBorder="1" applyFont="1">
      <alignment horizontal="center" readingOrder="0" vertical="bottom"/>
    </xf>
    <xf borderId="19" fillId="0" fontId="2" numFmtId="0" xfId="0" applyAlignment="1" applyBorder="1" applyFont="1">
      <alignment readingOrder="0" vertical="bottom"/>
    </xf>
    <xf borderId="19" fillId="2" fontId="2" numFmtId="0" xfId="0" applyAlignment="1" applyBorder="1" applyFill="1" applyFont="1">
      <alignment vertical="bottom"/>
    </xf>
    <xf borderId="19" fillId="13" fontId="2" numFmtId="0" xfId="0" applyAlignment="1" applyBorder="1" applyFill="1" applyFont="1">
      <alignment vertical="bottom"/>
    </xf>
    <xf borderId="19" fillId="6" fontId="2" numFmtId="0" xfId="0" applyAlignment="1" applyBorder="1" applyFill="1" applyFont="1">
      <alignment vertical="bottom"/>
    </xf>
    <xf borderId="17" fillId="2" fontId="2" numFmtId="0" xfId="0" applyAlignment="1" applyBorder="1" applyFill="1" applyFont="1">
      <alignment vertical="bottom"/>
    </xf>
    <xf borderId="17" fillId="2" fontId="6" numFmtId="0" xfId="0" applyAlignment="1" applyBorder="1" applyFill="1" applyFont="1">
      <alignment readingOrder="0"/>
    </xf>
    <xf borderId="0" fillId="0" fontId="38" numFmtId="0" xfId="0" applyAlignment="1" applyFont="1">
      <alignment horizontal="center" readingOrder="0"/>
    </xf>
    <xf borderId="0" fillId="0" fontId="39" numFmtId="0" xfId="0" applyAlignment="1" applyFont="1">
      <alignment horizontal="center" readingOrder="0"/>
    </xf>
    <xf borderId="17" fillId="15" fontId="40" numFmtId="0" xfId="0" applyAlignment="1" applyBorder="1" applyFill="1" applyFont="1">
      <alignment readingOrder="0" vertical="bottom"/>
    </xf>
    <xf borderId="19" fillId="2" fontId="2" numFmtId="0" xfId="0" applyAlignment="1" applyBorder="1" applyFill="1" applyFont="1">
      <alignment horizontal="center" vertical="bottom"/>
    </xf>
    <xf borderId="21" fillId="13" fontId="2" numFmtId="0" xfId="0" applyAlignment="1" applyBorder="1" applyFill="1" applyFont="1">
      <alignment vertical="bottom"/>
    </xf>
    <xf borderId="0" fillId="16" fontId="32" numFmtId="0" xfId="0" applyAlignment="1" applyFill="1" applyFont="1">
      <alignment readingOrder="0"/>
    </xf>
    <xf borderId="17" fillId="17" fontId="2" numFmtId="0" xfId="0" applyAlignment="1" applyBorder="1" applyFill="1" applyFont="1">
      <alignment readingOrder="0" vertical="bottom"/>
    </xf>
    <xf borderId="0" fillId="18" fontId="32" numFmtId="0" xfId="0" applyAlignment="1" applyFill="1" applyFont="1">
      <alignment readingOrder="0"/>
    </xf>
    <xf borderId="17" fillId="19" fontId="41" numFmtId="0" xfId="0" applyAlignment="1" applyBorder="1" applyFill="1" applyFont="1">
      <alignment horizontal="center" readingOrder="0" vertical="bottom"/>
    </xf>
    <xf borderId="19" fillId="20" fontId="2" numFmtId="0" xfId="0" applyAlignment="1" applyBorder="1" applyFill="1" applyFont="1">
      <alignment horizontal="center" vertical="bottom"/>
    </xf>
    <xf borderId="19" fillId="20" fontId="2" numFmtId="0" xfId="0" applyAlignment="1" applyBorder="1" applyFill="1" applyFont="1">
      <alignment vertical="bottom"/>
    </xf>
    <xf borderId="21" fillId="13" fontId="2" numFmtId="0" xfId="0" applyAlignment="1" applyBorder="1" applyFill="1" applyFont="1">
      <alignment readingOrder="0" vertical="bottom"/>
    </xf>
    <xf borderId="19" fillId="19" fontId="41" numFmtId="0" xfId="0" applyAlignment="1" applyBorder="1" applyFill="1" applyFont="1">
      <alignment horizontal="center" readingOrder="0" vertical="bottom"/>
    </xf>
    <xf borderId="17" fillId="21" fontId="2" numFmtId="0" xfId="0" applyAlignment="1" applyBorder="1" applyFill="1" applyFont="1">
      <alignment readingOrder="0" vertical="bottom"/>
    </xf>
    <xf borderId="19" fillId="12" fontId="2" numFmtId="0" xfId="0" applyAlignment="1" applyBorder="1" applyFill="1" applyFont="1">
      <alignment readingOrder="0" vertical="bottom"/>
    </xf>
    <xf borderId="17" fillId="12" fontId="2" numFmtId="0" xfId="0" applyAlignment="1" applyBorder="1" applyFill="1" applyFont="1">
      <alignment readingOrder="0" vertical="bottom"/>
    </xf>
    <xf borderId="17" fillId="0" fontId="2" numFmtId="0" xfId="0" applyAlignment="1" applyBorder="1" applyFont="1">
      <alignment readingOrder="0" vertical="bottom"/>
    </xf>
    <xf borderId="17" fillId="22" fontId="6" numFmtId="0" xfId="0" applyAlignment="1" applyBorder="1" applyFill="1" applyFont="1">
      <alignment readingOrder="0"/>
    </xf>
    <xf borderId="17" fillId="23" fontId="8" numFmtId="0" xfId="0" applyAlignment="1" applyBorder="1" applyFill="1" applyFont="1">
      <alignment readingOrder="0" vertical="bottom"/>
    </xf>
    <xf borderId="17" fillId="11" fontId="8" numFmtId="0" xfId="0" applyAlignment="1" applyBorder="1" applyFill="1" applyFont="1">
      <alignment readingOrder="0" vertical="bottom"/>
    </xf>
    <xf borderId="17" fillId="24" fontId="2" numFmtId="0" xfId="0" applyAlignment="1" applyBorder="1" applyFill="1" applyFont="1">
      <alignment readingOrder="0" vertical="bottom"/>
    </xf>
    <xf borderId="17" fillId="25" fontId="2" numFmtId="0" xfId="0" applyAlignment="1" applyBorder="1" applyFill="1" applyFont="1">
      <alignment readingOrder="0" vertical="bottom"/>
    </xf>
    <xf borderId="17" fillId="26" fontId="2" numFmtId="0" xfId="0" applyAlignment="1" applyBorder="1" applyFill="1" applyFont="1">
      <alignment readingOrder="0" vertical="bottom"/>
    </xf>
    <xf borderId="0" fillId="10" fontId="42" numFmtId="0" xfId="0" applyAlignment="1" applyFill="1" applyFont="1">
      <alignment horizontal="center" readingOrder="0" vertical="center"/>
    </xf>
    <xf borderId="17" fillId="27" fontId="2" numFmtId="0" xfId="0" applyAlignment="1" applyBorder="1" applyFill="1" applyFont="1">
      <alignment readingOrder="0" vertical="bottom"/>
    </xf>
    <xf borderId="17" fillId="2" fontId="2" numFmtId="0" xfId="0" applyAlignment="1" applyBorder="1" applyFill="1" applyFont="1">
      <alignment readingOrder="0" vertical="bottom"/>
    </xf>
    <xf borderId="17" fillId="18" fontId="2" numFmtId="0" xfId="0" applyAlignment="1" applyBorder="1" applyFill="1" applyFont="1">
      <alignment readingOrder="0" vertical="bottom"/>
    </xf>
    <xf borderId="19" fillId="2" fontId="2" numFmtId="0" xfId="0" applyAlignment="1" applyBorder="1" applyFill="1" applyFont="1">
      <alignment horizontal="center" readingOrder="0" vertical="bottom"/>
    </xf>
    <xf borderId="0" fillId="2" fontId="32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22" fillId="12" fontId="2" numFmtId="0" xfId="0" applyAlignment="1" applyBorder="1" applyFill="1" applyFont="1">
      <alignment horizontal="center" readingOrder="0" shrinkToFit="0" vertical="bottom" wrapText="0"/>
    </xf>
    <xf borderId="17" fillId="28" fontId="2" numFmtId="0" xfId="0" applyAlignment="1" applyBorder="1" applyFill="1" applyFont="1">
      <alignment readingOrder="0" vertical="bottom"/>
    </xf>
    <xf borderId="19" fillId="7" fontId="2" numFmtId="0" xfId="0" applyAlignment="1" applyBorder="1" applyFill="1" applyFont="1">
      <alignment vertical="bottom"/>
    </xf>
    <xf borderId="17" fillId="7" fontId="2" numFmtId="0" xfId="0" applyAlignment="1" applyBorder="1" applyFill="1" applyFont="1">
      <alignment vertical="bottom"/>
    </xf>
    <xf borderId="17" fillId="7" fontId="6" numFmtId="0" xfId="0" applyAlignment="1" applyBorder="1" applyFill="1" applyFont="1">
      <alignment readingOrder="0"/>
    </xf>
    <xf borderId="17" fillId="7" fontId="2" numFmtId="0" xfId="0" applyAlignment="1" applyBorder="1" applyFill="1" applyFont="1">
      <alignment readingOrder="0" vertical="bottom"/>
    </xf>
    <xf borderId="0" fillId="7" fontId="43" numFmtId="0" xfId="0" applyAlignment="1" applyFill="1" applyFont="1">
      <alignment readingOrder="0"/>
    </xf>
    <xf borderId="19" fillId="2" fontId="2" numFmtId="0" xfId="0" applyAlignment="1" applyBorder="1" applyFill="1" applyFont="1">
      <alignment readingOrder="0" vertical="bottom"/>
    </xf>
    <xf borderId="0" fillId="2" fontId="2" numFmtId="0" xfId="0" applyAlignment="1" applyFill="1" applyFont="1">
      <alignment readingOrder="0" vertical="bottom"/>
    </xf>
    <xf borderId="21" fillId="6" fontId="2" numFmtId="0" xfId="0" applyAlignment="1" applyBorder="1" applyFill="1" applyFont="1">
      <alignment vertical="bottom"/>
    </xf>
    <xf borderId="21" fillId="2" fontId="2" numFmtId="0" xfId="0" applyAlignment="1" applyBorder="1" applyFill="1" applyFont="1">
      <alignment vertical="bottom"/>
    </xf>
    <xf borderId="17" fillId="14" fontId="8" numFmtId="0" xfId="0" applyAlignment="1" applyBorder="1" applyFill="1" applyFont="1">
      <alignment horizontal="center" readingOrder="0" vertical="bottom"/>
    </xf>
    <xf borderId="23" fillId="0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17" fillId="2" fontId="44" numFmtId="0" xfId="0" applyAlignment="1" applyBorder="1" applyFill="1" applyFont="1">
      <alignment readingOrder="0" vertical="bottom"/>
    </xf>
    <xf borderId="0" fillId="12" fontId="32" numFmtId="0" xfId="0" applyAlignment="1" applyFill="1" applyFont="1">
      <alignment horizontal="center" readingOrder="0"/>
    </xf>
    <xf borderId="24" fillId="0" fontId="2" numFmtId="0" xfId="0" applyAlignment="1" applyBorder="1" applyFont="1">
      <alignment horizontal="left" readingOrder="0" vertical="bottom"/>
    </xf>
    <xf borderId="19" fillId="13" fontId="2" numFmtId="0" xfId="0" applyAlignment="1" applyBorder="1" applyFill="1" applyFont="1">
      <alignment readingOrder="0" vertical="bottom"/>
    </xf>
    <xf borderId="24" fillId="12" fontId="2" numFmtId="0" xfId="0" applyAlignment="1" applyBorder="1" applyFill="1" applyFont="1">
      <alignment horizontal="center" readingOrder="0" vertical="bottom"/>
    </xf>
    <xf borderId="17" fillId="29" fontId="9" numFmtId="0" xfId="0" applyAlignment="1" applyBorder="1" applyFill="1" applyFont="1">
      <alignment horizontal="center" readingOrder="0" vertical="bottom"/>
    </xf>
    <xf borderId="23" fillId="12" fontId="2" numFmtId="0" xfId="0" applyAlignment="1" applyBorder="1" applyFill="1" applyFont="1">
      <alignment horizontal="center" readingOrder="0" vertical="bottom"/>
    </xf>
    <xf borderId="17" fillId="26" fontId="6" numFmtId="0" xfId="0" applyAlignment="1" applyBorder="1" applyFill="1" applyFont="1">
      <alignment readingOrder="0"/>
    </xf>
    <xf borderId="17" fillId="26" fontId="8" numFmtId="0" xfId="0" applyAlignment="1" applyBorder="1" applyFill="1" applyFont="1">
      <alignment readingOrder="0" vertical="bottom"/>
    </xf>
    <xf borderId="17" fillId="27" fontId="8" numFmtId="0" xfId="0" applyAlignment="1" applyBorder="1" applyFill="1" applyFont="1">
      <alignment readingOrder="0" vertical="bottom"/>
    </xf>
    <xf borderId="17" fillId="30" fontId="2" numFmtId="0" xfId="0" applyAlignment="1" applyBorder="1" applyFill="1" applyFont="1">
      <alignment readingOrder="0" vertical="bottom"/>
    </xf>
    <xf borderId="17" fillId="2" fontId="8" numFmtId="0" xfId="0" applyAlignment="1" applyBorder="1" applyFill="1" applyFont="1">
      <alignment readingOrder="0" vertical="bottom"/>
    </xf>
    <xf borderId="17" fillId="12" fontId="2" numFmtId="0" xfId="0" applyAlignment="1" applyBorder="1" applyFill="1" applyFont="1">
      <alignment horizontal="center" vertical="bottom"/>
    </xf>
    <xf borderId="17" fillId="2" fontId="2" numFmtId="0" xfId="0" applyAlignment="1" applyBorder="1" applyFill="1" applyFont="1">
      <alignment horizontal="center" vertical="bottom"/>
    </xf>
    <xf borderId="17" fillId="0" fontId="2" numFmtId="0" xfId="0" applyAlignment="1" applyBorder="1" applyFont="1">
      <alignment vertical="bottom"/>
    </xf>
    <xf borderId="17" fillId="13" fontId="2" numFmtId="0" xfId="0" applyAlignment="1" applyBorder="1" applyFill="1" applyFont="1">
      <alignment vertical="bottom"/>
    </xf>
    <xf borderId="17" fillId="6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10" fontId="25" numFmtId="0" xfId="0" applyAlignment="1" applyFill="1" applyFont="1">
      <alignment horizontal="center" readingOrder="0" vertical="center"/>
    </xf>
    <xf borderId="0" fillId="12" fontId="45" numFmtId="0" xfId="0" applyAlignment="1" applyFill="1" applyFont="1">
      <alignment horizontal="center" vertical="bottom"/>
    </xf>
    <xf borderId="0" fillId="2" fontId="45" numFmtId="0" xfId="0" applyAlignment="1" applyFill="1" applyFont="1">
      <alignment horizontal="center" vertical="bottom"/>
    </xf>
    <xf borderId="17" fillId="0" fontId="45" numFmtId="0" xfId="0" applyAlignment="1" applyBorder="1" applyFont="1">
      <alignment vertical="bottom"/>
    </xf>
    <xf borderId="17" fillId="0" fontId="45" numFmtId="0" xfId="0" applyAlignment="1" applyBorder="1" applyFont="1">
      <alignment vertical="bottom"/>
    </xf>
    <xf borderId="20" fillId="12" fontId="45" numFmtId="0" xfId="0" applyAlignment="1" applyBorder="1" applyFill="1" applyFont="1">
      <alignment horizontal="center" readingOrder="0" vertical="bottom"/>
    </xf>
    <xf borderId="17" fillId="2" fontId="45" numFmtId="0" xfId="0" applyAlignment="1" applyBorder="1" applyFill="1" applyFont="1">
      <alignment horizontal="center" vertical="bottom"/>
    </xf>
    <xf borderId="17" fillId="12" fontId="45" numFmtId="0" xfId="0" applyAlignment="1" applyBorder="1" applyFill="1" applyFont="1">
      <alignment horizontal="center" readingOrder="0" vertical="bottom"/>
    </xf>
    <xf borderId="17" fillId="0" fontId="2" numFmtId="0" xfId="0" applyAlignment="1" applyBorder="1" applyFont="1">
      <alignment horizontal="center" readingOrder="0" vertical="bottom"/>
    </xf>
    <xf borderId="17" fillId="2" fontId="46" numFmtId="0" xfId="0" applyAlignment="1" applyBorder="1" applyFill="1" applyFont="1">
      <alignment horizontal="left" readingOrder="0"/>
    </xf>
    <xf borderId="17" fillId="2" fontId="46" numFmtId="0" xfId="0" applyAlignment="1" applyBorder="1" applyFill="1" applyFont="1">
      <alignment horizontal="left" readingOrder="0"/>
    </xf>
    <xf borderId="19" fillId="2" fontId="45" numFmtId="0" xfId="0" applyAlignment="1" applyBorder="1" applyFill="1" applyFont="1">
      <alignment horizontal="center" vertical="bottom"/>
    </xf>
    <xf borderId="19" fillId="0" fontId="45" numFmtId="0" xfId="0" applyAlignment="1" applyBorder="1" applyFont="1">
      <alignment vertical="bottom"/>
    </xf>
    <xf borderId="19" fillId="0" fontId="45" numFmtId="0" xfId="0" applyAlignment="1" applyBorder="1" applyFont="1">
      <alignment readingOrder="0" vertical="bottom"/>
    </xf>
    <xf borderId="17" fillId="31" fontId="2" numFmtId="0" xfId="0" applyAlignment="1" applyBorder="1" applyFill="1" applyFont="1">
      <alignment readingOrder="0" vertical="bottom"/>
    </xf>
    <xf borderId="19" fillId="12" fontId="2" numFmtId="0" xfId="0" applyAlignment="1" applyBorder="1" applyFill="1" applyFont="1">
      <alignment horizontal="center" readingOrder="0" vertical="bottom"/>
    </xf>
    <xf borderId="21" fillId="7" fontId="2" numFmtId="0" xfId="0" applyAlignment="1" applyBorder="1" applyFill="1" applyFont="1">
      <alignment vertical="bottom"/>
    </xf>
    <xf borderId="17" fillId="2" fontId="2" numFmtId="0" xfId="0" applyAlignment="1" applyBorder="1" applyFill="1" applyFont="1">
      <alignment vertical="bottom"/>
    </xf>
    <xf borderId="17" fillId="2" fontId="2" numFmtId="0" xfId="0" applyAlignment="1" applyBorder="1" applyFill="1" applyFont="1">
      <alignment vertical="bottom"/>
    </xf>
    <xf borderId="17" fillId="18" fontId="8" numFmtId="0" xfId="0" applyAlignment="1" applyBorder="1" applyFill="1" applyFont="1">
      <alignment readingOrder="0" vertical="bottom"/>
    </xf>
    <xf borderId="25" fillId="0" fontId="2" numFmtId="0" xfId="0" applyAlignment="1" applyBorder="1" applyFont="1">
      <alignment horizontal="center" vertical="bottom"/>
    </xf>
    <xf borderId="26" fillId="2" fontId="21" numFmtId="0" xfId="0" applyAlignment="1" applyBorder="1" applyFill="1" applyFont="1">
      <alignment horizontal="center" readingOrder="0" vertical="center"/>
    </xf>
    <xf borderId="17" fillId="0" fontId="36" numFmtId="0" xfId="0" applyAlignment="1" applyBorder="1" applyFont="1">
      <alignment readingOrder="0"/>
    </xf>
    <xf borderId="17" fillId="0" fontId="47" numFmtId="0" xfId="0" applyAlignment="1" applyBorder="1" applyFont="1">
      <alignment readingOrder="0"/>
    </xf>
    <xf borderId="17" fillId="23" fontId="48" numFmtId="0" xfId="0" applyAlignment="1" applyBorder="1" applyFill="1" applyFont="1">
      <alignment readingOrder="0"/>
    </xf>
    <xf borderId="17" fillId="32" fontId="2" numFmtId="0" xfId="0" applyAlignment="1" applyBorder="1" applyFill="1" applyFont="1">
      <alignment readingOrder="0" vertical="bottom"/>
    </xf>
    <xf borderId="19" fillId="2" fontId="36" numFmtId="0" xfId="0" applyAlignment="1" applyBorder="1" applyFill="1" applyFont="1">
      <alignment readingOrder="0"/>
    </xf>
    <xf borderId="17" fillId="33" fontId="25" numFmtId="0" xfId="0" applyAlignment="1" applyBorder="1" applyFill="1" applyFont="1">
      <alignment readingOrder="0"/>
    </xf>
    <xf borderId="17" fillId="34" fontId="3" numFmtId="0" xfId="0" applyAlignment="1" applyBorder="1" applyFill="1" applyFont="1">
      <alignment readingOrder="0" vertical="bottom"/>
    </xf>
    <xf borderId="0" fillId="23" fontId="49" numFmtId="0" xfId="0" applyAlignment="1" applyFill="1" applyFont="1">
      <alignment horizontal="center" readingOrder="0"/>
    </xf>
    <xf borderId="17" fillId="0" fontId="25" numFmtId="0" xfId="0" applyAlignment="1" applyBorder="1" applyFont="1">
      <alignment readingOrder="0"/>
    </xf>
    <xf borderId="17" fillId="35" fontId="2" numFmtId="0" xfId="0" applyAlignment="1" applyBorder="1" applyFill="1" applyFont="1">
      <alignment readingOrder="0" vertical="bottom"/>
    </xf>
    <xf borderId="17" fillId="36" fontId="9" numFmtId="0" xfId="0" applyAlignment="1" applyBorder="1" applyFill="1" applyFont="1">
      <alignment readingOrder="0" vertical="bottom"/>
    </xf>
    <xf borderId="17" fillId="37" fontId="50" numFmtId="0" xfId="0" applyAlignment="1" applyBorder="1" applyFill="1" applyFont="1">
      <alignment horizontal="center" readingOrder="0" vertical="bottom"/>
    </xf>
    <xf borderId="23" fillId="2" fontId="2" numFmtId="0" xfId="0" applyAlignment="1" applyBorder="1" applyFill="1" applyFont="1">
      <alignment horizontal="center" vertical="bottom"/>
    </xf>
    <xf borderId="17" fillId="16" fontId="2" numFmtId="0" xfId="0" applyAlignment="1" applyBorder="1" applyFill="1" applyFont="1">
      <alignment readingOrder="0" vertical="bottom"/>
    </xf>
    <xf borderId="14" fillId="10" fontId="8" numFmtId="0" xfId="0" applyAlignment="1" applyBorder="1" applyFill="1" applyFont="1">
      <alignment vertical="center"/>
    </xf>
    <xf borderId="19" fillId="21" fontId="2" numFmtId="0" xfId="0" applyAlignment="1" applyBorder="1" applyFill="1" applyFont="1">
      <alignment readingOrder="0" vertical="bottom"/>
    </xf>
    <xf borderId="17" fillId="38" fontId="2" numFmtId="0" xfId="0" applyAlignment="1" applyBorder="1" applyFill="1" applyFont="1">
      <alignment readingOrder="0" vertical="bottom"/>
    </xf>
    <xf borderId="0" fillId="10" fontId="12" numFmtId="0" xfId="0" applyAlignment="1" applyFill="1" applyFont="1">
      <alignment vertical="center"/>
    </xf>
    <xf borderId="13" fillId="10" fontId="12" numFmtId="0" xfId="0" applyAlignment="1" applyBorder="1" applyFill="1" applyFont="1">
      <alignment vertical="center"/>
    </xf>
    <xf borderId="17" fillId="32" fontId="2" numFmtId="0" xfId="0" applyAlignment="1" applyBorder="1" applyFill="1" applyFont="1">
      <alignment horizontal="center" readingOrder="0" vertical="bottom"/>
    </xf>
    <xf borderId="19" fillId="23" fontId="48" numFmtId="0" xfId="0" applyAlignment="1" applyBorder="1" applyFill="1" applyFont="1">
      <alignment readingOrder="0"/>
    </xf>
    <xf borderId="19" fillId="26" fontId="2" numFmtId="0" xfId="0" applyAlignment="1" applyBorder="1" applyFill="1" applyFont="1">
      <alignment readingOrder="0" vertical="bottom"/>
    </xf>
    <xf borderId="0" fillId="2" fontId="15" numFmtId="0" xfId="0" applyAlignment="1" applyFill="1" applyFont="1">
      <alignment horizontal="center" vertical="center"/>
    </xf>
    <xf borderId="14" fillId="2" fontId="8" numFmtId="0" xfId="0" applyAlignment="1" applyBorder="1" applyFill="1" applyFont="1">
      <alignment vertical="center"/>
    </xf>
    <xf borderId="0" fillId="2" fontId="12" numFmtId="0" xfId="0" applyAlignment="1" applyFill="1" applyFont="1">
      <alignment vertical="center"/>
    </xf>
    <xf borderId="13" fillId="2" fontId="12" numFmtId="0" xfId="0" applyAlignment="1" applyBorder="1" applyFill="1" applyFont="1">
      <alignment vertical="center"/>
    </xf>
    <xf borderId="17" fillId="18" fontId="25" numFmtId="0" xfId="0" applyAlignment="1" applyBorder="1" applyFill="1" applyFont="1">
      <alignment readingOrder="0"/>
    </xf>
    <xf borderId="14" fillId="2" fontId="34" numFmtId="0" xfId="0" applyAlignment="1" applyBorder="1" applyFill="1" applyFont="1">
      <alignment horizontal="center" readingOrder="0" vertical="center"/>
    </xf>
    <xf borderId="19" fillId="11" fontId="48" numFmtId="0" xfId="0" applyAlignment="1" applyBorder="1" applyFill="1" applyFont="1">
      <alignment readingOrder="0"/>
    </xf>
    <xf borderId="17" fillId="2" fontId="48" numFmtId="0" xfId="0" applyAlignment="1" applyBorder="1" applyFill="1" applyFont="1">
      <alignment readingOrder="0"/>
    </xf>
    <xf borderId="13" fillId="0" fontId="21" numFmtId="9" xfId="0" applyAlignment="1" applyBorder="1" applyFont="1" applyNumberFormat="1">
      <alignment horizontal="center" readingOrder="0" vertical="center"/>
    </xf>
    <xf borderId="17" fillId="21" fontId="25" numFmtId="0" xfId="0" applyAlignment="1" applyBorder="1" applyFill="1" applyFont="1">
      <alignment readingOrder="0"/>
    </xf>
    <xf borderId="16" fillId="0" fontId="21" numFmtId="0" xfId="0" applyAlignment="1" applyBorder="1" applyFont="1">
      <alignment horizontal="center" readingOrder="0" vertical="center"/>
    </xf>
    <xf borderId="17" fillId="6" fontId="36" numFmtId="0" xfId="0" applyAlignment="1" applyBorder="1" applyFill="1" applyFont="1">
      <alignment readingOrder="0"/>
    </xf>
    <xf borderId="17" fillId="39" fontId="2" numFmtId="0" xfId="0" applyAlignment="1" applyBorder="1" applyFill="1" applyFont="1">
      <alignment readingOrder="0" vertical="bottom"/>
    </xf>
    <xf borderId="23" fillId="3" fontId="2" numFmtId="0" xfId="0" applyAlignment="1" applyBorder="1" applyFill="1" applyFont="1">
      <alignment horizontal="center" readingOrder="0" vertical="bottom"/>
    </xf>
    <xf borderId="17" fillId="2" fontId="21" numFmtId="0" xfId="0" applyAlignment="1" applyBorder="1" applyFill="1" applyFont="1">
      <alignment readingOrder="0" vertical="bottom"/>
    </xf>
    <xf borderId="17" fillId="40" fontId="51" numFmtId="0" xfId="0" applyAlignment="1" applyBorder="1" applyFill="1" applyFont="1">
      <alignment readingOrder="0"/>
    </xf>
    <xf borderId="19" fillId="2" fontId="48" numFmtId="0" xfId="0" applyAlignment="1" applyBorder="1" applyFill="1" applyFont="1">
      <alignment readingOrder="0"/>
    </xf>
    <xf borderId="0" fillId="23" fontId="18" numFmtId="0" xfId="0" applyAlignment="1" applyFill="1" applyFont="1">
      <alignment readingOrder="0"/>
    </xf>
    <xf borderId="17" fillId="2" fontId="51" numFmtId="0" xfId="0" applyAlignment="1" applyBorder="1" applyFill="1" applyFont="1">
      <alignment readingOrder="0"/>
    </xf>
    <xf borderId="0" fillId="6" fontId="21" numFmtId="0" xfId="0" applyAlignment="1" applyFill="1" applyFont="1">
      <alignment horizontal="center" readingOrder="0" vertical="center"/>
    </xf>
    <xf borderId="17" fillId="41" fontId="2" numFmtId="0" xfId="0" applyAlignment="1" applyBorder="1" applyFill="1" applyFont="1">
      <alignment readingOrder="0" vertical="bottom"/>
    </xf>
    <xf borderId="17" fillId="6" fontId="2" numFmtId="0" xfId="0" applyAlignment="1" applyBorder="1" applyFill="1" applyFont="1">
      <alignment readingOrder="0" vertical="bottom"/>
    </xf>
    <xf borderId="17" fillId="0" fontId="32" numFmtId="0" xfId="0" applyBorder="1" applyFont="1"/>
    <xf borderId="17" fillId="0" fontId="32" numFmtId="0" xfId="0" applyAlignment="1" applyBorder="1" applyFont="1">
      <alignment readingOrder="0" vertical="top"/>
    </xf>
    <xf borderId="17" fillId="2" fontId="8" numFmtId="0" xfId="0" applyAlignment="1" applyBorder="1" applyFill="1" applyFont="1">
      <alignment vertical="bottom"/>
    </xf>
    <xf borderId="17" fillId="11" fontId="48" numFmtId="0" xfId="0" applyAlignment="1" applyBorder="1" applyFill="1" applyFont="1">
      <alignment readingOrder="0"/>
    </xf>
    <xf borderId="21" fillId="2" fontId="21" numFmtId="0" xfId="0" applyAlignment="1" applyBorder="1" applyFill="1" applyFont="1">
      <alignment horizontal="center" vertical="center"/>
    </xf>
    <xf borderId="19" fillId="23" fontId="8" numFmtId="0" xfId="0" applyAlignment="1" applyBorder="1" applyFill="1" applyFont="1">
      <alignment readingOrder="0" vertical="bottom"/>
    </xf>
    <xf borderId="17" fillId="30" fontId="8" numFmtId="0" xfId="0" applyAlignment="1" applyBorder="1" applyFill="1" applyFont="1">
      <alignment readingOrder="0" vertical="bottom"/>
    </xf>
    <xf borderId="19" fillId="0" fontId="6" numFmtId="0" xfId="0" applyAlignment="1" applyBorder="1" applyFont="1">
      <alignment readingOrder="0" vertical="bottom"/>
    </xf>
    <xf borderId="13" fillId="10" fontId="32" numFmtId="0" xfId="0" applyAlignment="1" applyBorder="1" applyFill="1" applyFont="1">
      <alignment horizontal="center" vertical="center"/>
    </xf>
    <xf borderId="17" fillId="8" fontId="52" numFmtId="0" xfId="0" applyAlignment="1" applyBorder="1" applyFill="1" applyFont="1">
      <alignment readingOrder="0" vertical="bottom"/>
    </xf>
    <xf borderId="0" fillId="2" fontId="46" numFmtId="0" xfId="0" applyAlignment="1" applyFill="1" applyFont="1">
      <alignment readingOrder="0"/>
    </xf>
    <xf borderId="27" fillId="10" fontId="21" numFmtId="0" xfId="0" applyAlignment="1" applyBorder="1" applyFill="1" applyFont="1">
      <alignment horizontal="center" readingOrder="0" vertical="center"/>
    </xf>
    <xf borderId="28" fillId="0" fontId="2" numFmtId="0" xfId="0" applyAlignment="1" applyBorder="1" applyFont="1">
      <alignment horizontal="center" readingOrder="0" vertical="bottom"/>
    </xf>
    <xf borderId="23" fillId="0" fontId="2" numFmtId="0" xfId="0" applyAlignment="1" applyBorder="1" applyFont="1">
      <alignment horizontal="center" vertical="bottom"/>
    </xf>
    <xf borderId="23" fillId="12" fontId="2" numFmtId="0" xfId="0" applyAlignment="1" applyBorder="1" applyFill="1" applyFont="1">
      <alignment horizontal="center" readingOrder="0" vertical="bottom"/>
    </xf>
    <xf borderId="17" fillId="0" fontId="2" numFmtId="0" xfId="0" applyAlignment="1" applyBorder="1" applyFont="1">
      <alignment vertical="bottom"/>
    </xf>
    <xf borderId="29" fillId="0" fontId="2" numFmtId="0" xfId="0" applyAlignment="1" applyBorder="1" applyFont="1">
      <alignment horizontal="center" vertical="bottom"/>
    </xf>
    <xf borderId="19" fillId="42" fontId="47" numFmtId="0" xfId="0" applyAlignment="1" applyBorder="1" applyFill="1" applyFont="1">
      <alignment readingOrder="0"/>
    </xf>
    <xf borderId="17" fillId="42" fontId="47" numFmtId="0" xfId="0" applyAlignment="1" applyBorder="1" applyFill="1" applyFont="1">
      <alignment readingOrder="0"/>
    </xf>
    <xf borderId="19" fillId="20" fontId="2" numFmtId="0" xfId="0" applyAlignment="1" applyBorder="1" applyFill="1" applyFont="1">
      <alignment readingOrder="0" vertical="bottom"/>
    </xf>
    <xf borderId="23" fillId="18" fontId="2" numFmtId="0" xfId="0" applyAlignment="1" applyBorder="1" applyFill="1" applyFont="1">
      <alignment horizontal="center" readingOrder="0" vertical="bottom"/>
    </xf>
    <xf borderId="0" fillId="13" fontId="2" numFmtId="0" xfId="0" applyAlignment="1" applyFill="1" applyFont="1">
      <alignment readingOrder="0" vertical="bottom"/>
    </xf>
    <xf borderId="21" fillId="2" fontId="2" numFmtId="0" xfId="0" applyAlignment="1" applyBorder="1" applyFill="1" applyFont="1">
      <alignment horizontal="center" vertical="bottom"/>
    </xf>
    <xf borderId="21" fillId="2" fontId="48" numFmtId="0" xfId="0" applyAlignment="1" applyBorder="1" applyFill="1" applyFont="1">
      <alignment readingOrder="0"/>
    </xf>
    <xf borderId="13" fillId="2" fontId="2" numFmtId="0" xfId="0" applyAlignment="1" applyBorder="1" applyFill="1" applyFont="1">
      <alignment horizontal="center" readingOrder="0" vertical="center"/>
    </xf>
    <xf borderId="17" fillId="0" fontId="2" numFmtId="0" xfId="0" applyAlignment="1" applyBorder="1" applyFont="1">
      <alignment horizontal="left" vertical="bottom"/>
    </xf>
    <xf borderId="17" fillId="13" fontId="2" numFmtId="0" xfId="0" applyAlignment="1" applyBorder="1" applyFill="1" applyFont="1">
      <alignment horizontal="left" vertical="bottom"/>
    </xf>
    <xf borderId="17" fillId="6" fontId="2" numFmtId="0" xfId="0" applyAlignment="1" applyBorder="1" applyFill="1" applyFont="1">
      <alignment horizontal="left" vertical="bottom"/>
    </xf>
    <xf borderId="17" fillId="2" fontId="48" numFmtId="0" xfId="0" applyAlignment="1" applyBorder="1" applyFill="1" applyFont="1">
      <alignment horizontal="left" readingOrder="0"/>
    </xf>
    <xf borderId="17" fillId="2" fontId="2" numFmtId="0" xfId="0" applyAlignment="1" applyBorder="1" applyFill="1" applyFont="1">
      <alignment horizontal="left" vertical="bottom"/>
    </xf>
    <xf borderId="17" fillId="6" fontId="2" numFmtId="0" xfId="0" applyAlignment="1" applyBorder="1" applyFill="1" applyFont="1">
      <alignment horizontal="left" vertical="bottom"/>
    </xf>
    <xf borderId="17" fillId="0" fontId="47" numFmtId="0" xfId="0" applyAlignment="1" applyBorder="1" applyFont="1">
      <alignment horizontal="left" readingOrder="0"/>
    </xf>
    <xf borderId="0" fillId="0" fontId="2" numFmtId="0" xfId="0" applyAlignment="1" applyFont="1">
      <alignment horizontal="left" vertical="bottom"/>
    </xf>
    <xf borderId="21" fillId="0" fontId="2" numFmtId="0" xfId="0" applyAlignment="1" applyBorder="1" applyFont="1">
      <alignment horizontal="center" vertical="bottom"/>
    </xf>
    <xf borderId="17" fillId="12" fontId="2" numFmtId="0" xfId="0" applyAlignment="1" applyBorder="1" applyFill="1" applyFont="1">
      <alignment horizontal="center" readingOrder="0" vertical="bottom"/>
    </xf>
    <xf borderId="17" fillId="2" fontId="2" numFmtId="0" xfId="0" applyAlignment="1" applyBorder="1" applyFill="1" applyFont="1">
      <alignment horizontal="center" vertical="bottom"/>
    </xf>
    <xf borderId="5" fillId="2" fontId="2" numFmtId="0" xfId="0" applyAlignment="1" applyBorder="1" applyFill="1" applyFont="1">
      <alignment horizontal="center" vertical="bottom"/>
    </xf>
    <xf borderId="5" fillId="2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vertical="bottom"/>
    </xf>
    <xf borderId="5" fillId="6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17" fillId="7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vertical="bottom"/>
    </xf>
    <xf borderId="5" fillId="7" fontId="2" numFmtId="0" xfId="0" applyAlignment="1" applyBorder="1" applyFill="1" applyFont="1">
      <alignment vertical="bottom"/>
    </xf>
    <xf borderId="23" fillId="2" fontId="2" numFmtId="0" xfId="0" applyAlignment="1" applyBorder="1" applyFill="1" applyFont="1">
      <alignment horizontal="center" vertical="bottom"/>
    </xf>
    <xf borderId="17" fillId="6" fontId="2" numFmtId="0" xfId="0" applyAlignment="1" applyBorder="1" applyFill="1" applyFont="1">
      <alignment vertical="bottom"/>
    </xf>
    <xf borderId="5" fillId="2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19" fillId="24" fontId="2" numFmtId="0" xfId="0" applyAlignment="1" applyBorder="1" applyFill="1" applyFont="1">
      <alignment readingOrder="0" vertical="bottom"/>
    </xf>
    <xf borderId="23" fillId="2" fontId="2" numFmtId="0" xfId="0" applyAlignment="1" applyBorder="1" applyFill="1" applyFont="1">
      <alignment horizontal="center" readingOrder="0" vertical="bottom"/>
    </xf>
    <xf borderId="29" fillId="13" fontId="2" numFmtId="0" xfId="0" applyAlignment="1" applyBorder="1" applyFill="1" applyFont="1">
      <alignment vertical="bottom"/>
    </xf>
    <xf borderId="29" fillId="6" fontId="2" numFmtId="0" xfId="0" applyAlignment="1" applyBorder="1" applyFill="1" applyFont="1">
      <alignment vertical="bottom"/>
    </xf>
    <xf borderId="28" fillId="2" fontId="2" numFmtId="0" xfId="0" applyAlignment="1" applyBorder="1" applyFill="1" applyFont="1">
      <alignment vertical="bottom"/>
    </xf>
    <xf borderId="19" fillId="7" fontId="2" numFmtId="0" xfId="0" applyAlignment="1" applyBorder="1" applyFill="1" applyFont="1">
      <alignment horizontal="center" vertical="bottom"/>
    </xf>
    <xf borderId="19" fillId="7" fontId="2" numFmtId="0" xfId="0" applyAlignment="1" applyBorder="1" applyFill="1" applyFont="1">
      <alignment readingOrder="0" vertical="bottom"/>
    </xf>
    <xf borderId="28" fillId="7" fontId="2" numFmtId="0" xfId="0" applyAlignment="1" applyBorder="1" applyFill="1" applyFont="1">
      <alignment vertical="bottom"/>
    </xf>
    <xf borderId="30" fillId="0" fontId="2" numFmtId="0" xfId="0" applyAlignment="1" applyBorder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horizontal="right" shrinkToFit="0" vertical="bottom" wrapText="0"/>
    </xf>
    <xf quotePrefix="1"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53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5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3" fillId="10" fontId="55" numFmtId="0" xfId="0" applyAlignment="1" applyBorder="1" applyFill="1" applyFont="1">
      <alignment horizontal="center" readingOrder="0" vertical="center"/>
    </xf>
    <xf borderId="27" fillId="2" fontId="21" numFmtId="0" xfId="0" applyAlignment="1" applyBorder="1" applyFill="1" applyFont="1">
      <alignment horizontal="center" readingOrder="0" vertical="center"/>
    </xf>
    <xf borderId="26" fillId="10" fontId="21" numFmtId="0" xfId="0" applyAlignment="1" applyBorder="1" applyFill="1" applyFont="1">
      <alignment horizontal="center" readingOrder="0" vertical="center"/>
    </xf>
    <xf borderId="14" fillId="10" fontId="2" numFmtId="0" xfId="0" applyAlignment="1" applyBorder="1" applyFill="1" applyFont="1">
      <alignment horizontal="center" readingOrder="0" vertical="center"/>
    </xf>
    <xf borderId="15" fillId="10" fontId="2" numFmtId="0" xfId="0" applyAlignment="1" applyBorder="1" applyFill="1" applyFont="1">
      <alignment horizontal="center" vertical="center"/>
    </xf>
    <xf borderId="14" fillId="10" fontId="32" numFmtId="0" xfId="0" applyAlignment="1" applyBorder="1" applyFill="1" applyFont="1">
      <alignment horizontal="center" vertical="center"/>
    </xf>
    <xf borderId="31" fillId="2" fontId="21" numFmtId="0" xfId="0" applyAlignment="1" applyBorder="1" applyFill="1" applyFont="1">
      <alignment horizontal="center" readingOrder="0" vertical="center"/>
    </xf>
    <xf borderId="0" fillId="10" fontId="56" numFmtId="0" xfId="0" applyAlignment="1" applyFill="1" applyFont="1">
      <alignment horizontal="center" readingOrder="0" vertical="center"/>
    </xf>
    <xf borderId="15" fillId="10" fontId="32" numFmtId="0" xfId="0" applyAlignment="1" applyBorder="1" applyFill="1" applyFont="1">
      <alignment horizontal="center" readingOrder="0" vertical="center"/>
    </xf>
    <xf borderId="21" fillId="10" fontId="21" numFmtId="0" xfId="0" applyAlignment="1" applyBorder="1" applyFill="1" applyFont="1">
      <alignment horizontal="center" readingOrder="0" vertical="center"/>
    </xf>
    <xf borderId="0" fillId="10" fontId="2" numFmtId="0" xfId="0" applyAlignment="1" applyFill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16" fillId="6" fontId="21" numFmtId="0" xfId="0" applyAlignment="1" applyBorder="1" applyFill="1" applyFont="1">
      <alignment horizontal="center" readingOrder="0" vertical="center"/>
    </xf>
    <xf borderId="31" fillId="6" fontId="21" numFmtId="0" xfId="0" applyAlignment="1" applyBorder="1" applyFill="1" applyFont="1">
      <alignment horizontal="center" readingOrder="0" vertical="center"/>
    </xf>
    <xf borderId="13" fillId="6" fontId="21" numFmtId="0" xfId="0" applyAlignment="1" applyBorder="1" applyFill="1" applyFont="1">
      <alignment horizontal="center" vertical="center"/>
    </xf>
    <xf borderId="32" fillId="9" fontId="16" numFmtId="0" xfId="0" applyAlignment="1" applyBorder="1" applyFill="1" applyFont="1">
      <alignment horizontal="center" vertical="center"/>
    </xf>
    <xf borderId="32" fillId="8" fontId="14" numFmtId="0" xfId="0" applyAlignment="1" applyBorder="1" applyFill="1" applyFont="1">
      <alignment horizontal="center" vertical="center"/>
    </xf>
    <xf borderId="13" fillId="43" fontId="57" numFmtId="0" xfId="0" applyAlignment="1" applyBorder="1" applyFill="1" applyFont="1">
      <alignment horizontal="center" vertical="center"/>
    </xf>
    <xf borderId="0" fillId="43" fontId="8" numFmtId="0" xfId="0" applyAlignment="1" applyFill="1" applyFont="1">
      <alignment vertical="center"/>
    </xf>
    <xf borderId="0" fillId="43" fontId="12" numFmtId="0" xfId="0" applyAlignment="1" applyFill="1" applyFont="1">
      <alignment vertical="center"/>
    </xf>
    <xf borderId="13" fillId="43" fontId="12" numFmtId="0" xfId="0" applyAlignment="1" applyBorder="1" applyFill="1" applyFont="1">
      <alignment vertical="center"/>
    </xf>
    <xf borderId="0" fillId="43" fontId="21" numFmtId="0" xfId="0" applyAlignment="1" applyFill="1" applyFont="1">
      <alignment horizontal="center" vertical="center"/>
    </xf>
    <xf borderId="0" fillId="2" fontId="32" numFmtId="0" xfId="0" applyAlignment="1" applyFill="1" applyFont="1">
      <alignment horizontal="center" vertical="center"/>
    </xf>
    <xf borderId="0" fillId="10" fontId="32" numFmtId="0" xfId="0" applyAlignment="1" applyFill="1" applyFont="1">
      <alignment horizontal="center" readingOrder="0" vertical="center"/>
    </xf>
    <xf borderId="0" fillId="2" fontId="32" numFmtId="0" xfId="0" applyAlignment="1" applyFill="1" applyFont="1">
      <alignment horizontal="center" readingOrder="0" vertical="center"/>
    </xf>
    <xf borderId="0" fillId="10" fontId="58" numFmtId="0" xfId="0" applyAlignment="1" applyFill="1" applyFont="1">
      <alignment horizontal="center" readingOrder="0" vertical="center"/>
    </xf>
    <xf borderId="0" fillId="10" fontId="32" numFmtId="0" xfId="0" applyAlignment="1" applyFill="1" applyFont="1">
      <alignment horizontal="center" vertical="center"/>
    </xf>
    <xf borderId="0" fillId="2" fontId="59" numFmtId="0" xfId="0" applyAlignment="1" applyFill="1" applyFont="1">
      <alignment horizontal="center" readingOrder="0" vertical="center"/>
    </xf>
    <xf borderId="14" fillId="6" fontId="21" numFmtId="0" xfId="0" applyAlignment="1" applyBorder="1" applyFill="1" applyFont="1">
      <alignment horizontal="center" readingOrder="0" vertical="center"/>
    </xf>
    <xf borderId="16" fillId="11" fontId="21" numFmtId="0" xfId="0" applyAlignment="1" applyBorder="1" applyFill="1" applyFont="1">
      <alignment horizontal="center" readingOrder="0" vertical="center"/>
    </xf>
    <xf borderId="13" fillId="11" fontId="21" numFmtId="0" xfId="0" applyAlignment="1" applyBorder="1" applyFill="1" applyFont="1">
      <alignment horizontal="center" readingOrder="0" vertical="center"/>
    </xf>
    <xf borderId="0" fillId="10" fontId="2" numFmtId="0" xfId="0" applyAlignment="1" applyFill="1" applyFont="1">
      <alignment vertical="center"/>
    </xf>
    <xf borderId="13" fillId="10" fontId="2" numFmtId="0" xfId="0" applyAlignment="1" applyBorder="1" applyFill="1" applyFont="1">
      <alignment vertical="center"/>
    </xf>
    <xf borderId="13" fillId="10" fontId="2" numFmtId="0" xfId="0" applyAlignment="1" applyBorder="1" applyFill="1" applyFont="1">
      <alignment vertical="center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13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6" fillId="0" fontId="2" numFmtId="0" xfId="0" applyAlignment="1" applyBorder="1" applyFont="1">
      <alignment horizontal="center" readingOrder="0" vertical="center"/>
    </xf>
    <xf borderId="14" fillId="0" fontId="21" numFmtId="0" xfId="0" applyAlignment="1" applyBorder="1" applyFont="1">
      <alignment horizontal="center" readingOrder="0" vertical="center"/>
    </xf>
    <xf borderId="16" fillId="10" fontId="2" numFmtId="0" xfId="0" applyAlignment="1" applyBorder="1" applyFill="1" applyFont="1">
      <alignment horizontal="center" vertical="center"/>
    </xf>
    <xf borderId="13" fillId="10" fontId="60" numFmtId="0" xfId="0" applyAlignment="1" applyBorder="1" applyFill="1" applyFont="1">
      <alignment horizontal="center" vertical="center"/>
    </xf>
    <xf borderId="0" fillId="10" fontId="12" numFmtId="0" xfId="0" applyAlignment="1" applyFill="1" applyFont="1">
      <alignment horizontal="left" vertical="center"/>
    </xf>
    <xf borderId="13" fillId="10" fontId="12" numFmtId="0" xfId="0" applyAlignment="1" applyBorder="1" applyFill="1" applyFont="1">
      <alignment horizontal="left" vertical="center"/>
    </xf>
    <xf borderId="13" fillId="2" fontId="61" numFmtId="0" xfId="0" applyAlignment="1" applyBorder="1" applyFill="1" applyFont="1">
      <alignment horizontal="center" readingOrder="0" vertical="center"/>
    </xf>
    <xf borderId="0" fillId="2" fontId="12" numFmtId="0" xfId="0" applyAlignment="1" applyFill="1" applyFont="1">
      <alignment horizontal="left" vertical="center"/>
    </xf>
    <xf borderId="13" fillId="2" fontId="12" numFmtId="0" xfId="0" applyAlignment="1" applyBorder="1" applyFill="1" applyFont="1">
      <alignment horizontal="left" vertical="center"/>
    </xf>
    <xf borderId="0" fillId="2" fontId="2" numFmtId="0" xfId="0" applyAlignment="1" applyFill="1" applyFont="1">
      <alignment horizontal="center" readingOrder="0" vertical="center"/>
    </xf>
    <xf borderId="0" fillId="10" fontId="62" numFmtId="0" xfId="0" applyAlignment="1" applyFill="1" applyFont="1">
      <alignment horizontal="center" readingOrder="0" vertical="center"/>
    </xf>
    <xf borderId="0" fillId="2" fontId="63" numFmtId="0" xfId="0" applyAlignment="1" applyFill="1" applyFont="1">
      <alignment horizontal="center" readingOrder="0" vertical="center"/>
    </xf>
    <xf borderId="14" fillId="2" fontId="8" numFmtId="0" xfId="0" applyAlignment="1" applyBorder="1" applyFill="1" applyFont="1">
      <alignment horizontal="left" readingOrder="0" vertical="center"/>
    </xf>
    <xf borderId="0" fillId="2" fontId="12" numFmtId="0" xfId="0" applyAlignment="1" applyFill="1" applyFont="1">
      <alignment horizontal="left" readingOrder="0" vertical="center"/>
    </xf>
    <xf borderId="13" fillId="2" fontId="12" numFmtId="0" xfId="0" applyAlignment="1" applyBorder="1" applyFill="1" applyFont="1">
      <alignment horizontal="left" readingOrder="0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center" readingOrder="0" vertical="center"/>
    </xf>
    <xf borderId="14" fillId="2" fontId="2" numFmtId="0" xfId="0" applyAlignment="1" applyBorder="1" applyFill="1" applyFont="1">
      <alignment horizontal="center" vertical="center"/>
    </xf>
    <xf borderId="15" fillId="2" fontId="2" numFmtId="0" xfId="0" applyAlignment="1" applyBorder="1" applyFill="1" applyFont="1">
      <alignment horizontal="center" vertical="center"/>
    </xf>
    <xf borderId="0" fillId="2" fontId="34" numFmtId="0" xfId="0" applyAlignment="1" applyFill="1" applyFont="1">
      <alignment horizontal="center" readingOrder="0" vertical="center"/>
    </xf>
    <xf borderId="14" fillId="2" fontId="2" numFmtId="0" xfId="0" applyAlignment="1" applyBorder="1" applyFill="1" applyFont="1">
      <alignment horizontal="center" readingOrder="0" vertical="center"/>
    </xf>
    <xf borderId="14" fillId="3" fontId="34" numFmtId="0" xfId="0" applyAlignment="1" applyBorder="1" applyFill="1" applyFont="1">
      <alignment horizontal="center" vertical="center"/>
    </xf>
    <xf borderId="15" fillId="10" fontId="2" numFmtId="0" xfId="0" applyAlignment="1" applyBorder="1" applyFill="1" applyFont="1">
      <alignment horizontal="center" vertical="center"/>
    </xf>
    <xf borderId="14" fillId="3" fontId="34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shrinkToFit="0" vertical="center" wrapText="0"/>
    </xf>
    <xf borderId="14" fillId="2" fontId="2" numFmtId="0" xfId="0" applyAlignment="1" applyBorder="1" applyFill="1" applyFont="1">
      <alignment horizontal="center" vertical="center"/>
    </xf>
    <xf borderId="0" fillId="10" fontId="2" numFmtId="0" xfId="0" applyAlignment="1" applyFill="1" applyFont="1">
      <alignment horizontal="center" shrinkToFit="0" vertical="center" wrapText="0"/>
    </xf>
    <xf borderId="33" fillId="0" fontId="18" numFmtId="49" xfId="0" applyAlignment="1" applyBorder="1" applyFont="1" applyNumberFormat="1">
      <alignment horizontal="center" readingOrder="0" vertical="top"/>
    </xf>
    <xf borderId="33" fillId="0" fontId="18" numFmtId="0" xfId="0" applyAlignment="1" applyBorder="1" applyFont="1">
      <alignment readingOrder="0" vertical="top"/>
    </xf>
    <xf borderId="0" fillId="0" fontId="18" numFmtId="0" xfId="0" applyAlignment="1" applyFont="1">
      <alignment vertical="top"/>
    </xf>
    <xf borderId="34" fillId="0" fontId="64" numFmtId="0" xfId="0" applyAlignment="1" applyBorder="1" applyFont="1">
      <alignment horizontal="center" shrinkToFit="0" vertical="bottom" wrapText="0"/>
    </xf>
    <xf borderId="34" fillId="0" fontId="18" numFmtId="0" xfId="0" applyAlignment="1" applyBorder="1" applyFont="1">
      <alignment horizontal="left" readingOrder="0" vertical="center"/>
    </xf>
    <xf borderId="34" fillId="0" fontId="19" numFmtId="0" xfId="0" applyAlignment="1" applyBorder="1" applyFont="1">
      <alignment horizontal="left" readingOrder="0" vertical="center"/>
    </xf>
    <xf borderId="34" fillId="0" fontId="2" numFmtId="0" xfId="0" applyAlignment="1" applyBorder="1" applyFont="1">
      <alignment horizontal="center" shrinkToFit="0" vertical="bottom" wrapText="0"/>
    </xf>
    <xf borderId="34" fillId="0" fontId="18" numFmtId="0" xfId="0" applyAlignment="1" applyBorder="1" applyFont="1">
      <alignment horizontal="left" readingOrder="0" vertical="center"/>
    </xf>
    <xf borderId="34" fillId="0" fontId="19" numFmtId="0" xfId="0" applyAlignment="1" applyBorder="1" applyFont="1">
      <alignment horizontal="left" readingOrder="0" vertical="center"/>
    </xf>
    <xf borderId="14" fillId="10" fontId="34" numFmtId="0" xfId="0" applyAlignment="1" applyBorder="1" applyFill="1" applyFont="1">
      <alignment horizontal="center"/>
    </xf>
    <xf borderId="0" fillId="10" fontId="34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34" fillId="0" fontId="65" numFmtId="0" xfId="0" applyAlignment="1" applyBorder="1" applyFont="1">
      <alignment horizontal="center" readingOrder="0" shrinkToFit="0" vertical="bottom" wrapText="0"/>
    </xf>
    <xf borderId="14" fillId="10" fontId="2" numFmtId="0" xfId="0" applyAlignment="1" applyBorder="1" applyFill="1" applyFont="1">
      <alignment horizontal="center" vertical="center"/>
    </xf>
    <xf borderId="14" fillId="10" fontId="2" numFmtId="0" xfId="0" applyAlignment="1" applyBorder="1" applyFill="1" applyFont="1">
      <alignment horizontal="center" readingOrder="0" vertical="center"/>
    </xf>
    <xf borderId="35" fillId="0" fontId="66" numFmtId="0" xfId="0" applyAlignment="1" applyBorder="1" applyFont="1">
      <alignment horizontal="center" shrinkToFit="0" vertical="bottom" wrapText="0"/>
    </xf>
    <xf borderId="35" fillId="0" fontId="18" numFmtId="0" xfId="0" applyAlignment="1" applyBorder="1" applyFont="1">
      <alignment horizontal="left" readingOrder="0" vertical="center"/>
    </xf>
    <xf borderId="35" fillId="0" fontId="19" numFmtId="0" xfId="0" applyAlignment="1" applyBorder="1" applyFont="1">
      <alignment horizontal="left" readingOrder="0" vertical="center"/>
    </xf>
    <xf borderId="0" fillId="10" fontId="2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vertical="center"/>
    </xf>
    <xf borderId="0" fillId="2" fontId="30" numFmtId="0" xfId="0" applyAlignment="1" applyFill="1" applyFont="1">
      <alignment horizontal="center" readingOrder="0" vertical="center"/>
    </xf>
    <xf borderId="0" fillId="0" fontId="2" numFmtId="9" xfId="0" applyAlignment="1" applyFont="1" applyNumberFormat="1">
      <alignment shrinkToFit="0" vertical="bottom" wrapText="0"/>
    </xf>
    <xf borderId="15" fillId="2" fontId="2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14" fillId="0" fontId="32" numFmtId="0" xfId="0" applyAlignment="1" applyBorder="1" applyFont="1">
      <alignment horizontal="center" vertical="center"/>
    </xf>
    <xf borderId="0" fillId="0" fontId="19" numFmtId="0" xfId="0" applyAlignment="1" applyFont="1">
      <alignment horizontal="left" vertical="center"/>
    </xf>
    <xf borderId="13" fillId="0" fontId="19" numFmtId="0" xfId="0" applyAlignment="1" applyBorder="1" applyFont="1">
      <alignment horizontal="left" vertical="center"/>
    </xf>
  </cellXfs>
  <cellStyles count="1">
    <cellStyle xfId="0" name="Normal" builtinId="0"/>
  </cellStyles>
  <dxfs count="97">
    <dxf>
      <font/>
      <fill>
        <patternFill patternType="none"/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  <dxf>
      <font>
        <color rgb="FFDBB857"/>
      </font>
      <fill>
        <patternFill patternType="solid">
          <fgColor rgb="FF073763"/>
          <bgColor rgb="FF073763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9CD502"/>
          <bgColor rgb="FF9CD502"/>
        </patternFill>
      </fill>
      <border/>
    </dxf>
    <dxf>
      <font>
        <color rgb="FFEB5D40"/>
      </font>
      <fill>
        <patternFill patternType="solid">
          <fgColor rgb="FFD6CCAB"/>
          <bgColor rgb="FFD6CCAB"/>
        </patternFill>
      </fill>
      <border/>
    </dxf>
    <dxf>
      <font>
        <color rgb="FF274E13"/>
      </font>
      <fill>
        <patternFill patternType="solid">
          <fgColor rgb="FFE3EAD3"/>
          <bgColor rgb="FFE3EAD3"/>
        </patternFill>
      </fill>
      <border/>
    </dxf>
    <dxf>
      <font>
        <color rgb="FFFFFFFF"/>
      </font>
      <fill>
        <patternFill patternType="solid">
          <fgColor rgb="FFFF6547"/>
          <bgColor rgb="FFFF6547"/>
        </patternFill>
      </fill>
      <border/>
    </dxf>
    <dxf>
      <font>
        <color rgb="FFA4C2F4"/>
      </font>
      <fill>
        <patternFill patternType="solid">
          <fgColor rgb="FF0C343D"/>
          <bgColor rgb="FF0C343D"/>
        </patternFill>
      </fill>
      <border/>
    </dxf>
    <dxf>
      <font>
        <color rgb="FFD9D2E9"/>
      </font>
      <fill>
        <patternFill patternType="solid">
          <fgColor rgb="FF351C75"/>
          <bgColor rgb="FF351C75"/>
        </patternFill>
      </fill>
      <border/>
    </dxf>
    <dxf>
      <font>
        <color rgb="FFFFFFFF"/>
      </font>
      <fill>
        <patternFill patternType="solid">
          <fgColor rgb="FF12E0CA"/>
          <bgColor rgb="FF12E0CA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38761D"/>
      </font>
      <fill>
        <patternFill patternType="solid">
          <fgColor rgb="FFFFF2CC"/>
          <bgColor rgb="FFFFF2CC"/>
        </patternFill>
      </fill>
      <border/>
    </dxf>
    <dxf>
      <font>
        <color rgb="FF7BD947"/>
      </font>
      <fill>
        <patternFill patternType="solid">
          <fgColor rgb="FF666666"/>
          <bgColor rgb="FF666666"/>
        </patternFill>
      </fill>
      <border/>
    </dxf>
    <dxf>
      <font>
        <color rgb="FFDD7E6B"/>
      </font>
      <fill>
        <patternFill patternType="solid">
          <fgColor rgb="FF85200C"/>
          <bgColor rgb="FF85200C"/>
        </patternFill>
      </fill>
      <border/>
    </dxf>
    <dxf>
      <font>
        <color rgb="FFFFFFFF"/>
      </font>
      <fill>
        <patternFill patternType="solid">
          <fgColor rgb="FFC27BA0"/>
          <bgColor rgb="FFC27BA0"/>
        </patternFill>
      </fill>
      <border/>
    </dxf>
    <dxf>
      <font>
        <color rgb="FFFFFFFF"/>
      </font>
      <fill>
        <patternFill patternType="solid">
          <fgColor rgb="FF206A6E"/>
          <bgColor rgb="FF206A6E"/>
        </patternFill>
      </fill>
      <border/>
    </dxf>
    <dxf>
      <font>
        <color rgb="FF0360A1"/>
      </font>
      <fill>
        <patternFill patternType="solid">
          <fgColor rgb="FF82CDE9"/>
          <bgColor rgb="FF82CDE9"/>
        </patternFill>
      </fill>
      <border/>
    </dxf>
    <dxf>
      <font>
        <color rgb="FFCCCCCC"/>
      </font>
      <fill>
        <patternFill patternType="solid">
          <fgColor rgb="FFAE0C32"/>
          <bgColor rgb="FFAE0C32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  <dxf>
      <font>
        <color rgb="FFEAD1DC"/>
      </font>
      <fill>
        <patternFill patternType="solid">
          <fgColor rgb="FF8E7CC3"/>
          <bgColor rgb="FF8E7CC3"/>
        </patternFill>
      </fill>
      <border/>
    </dxf>
    <dxf>
      <font>
        <color rgb="FFFFC000"/>
      </font>
      <fill>
        <patternFill patternType="solid">
          <fgColor rgb="FFD72626"/>
          <bgColor rgb="FFD72626"/>
        </patternFill>
      </fill>
      <border/>
    </dxf>
    <dxf>
      <font>
        <color rgb="FF82CDE9"/>
      </font>
      <fill>
        <patternFill patternType="solid">
          <fgColor rgb="FF1C4587"/>
          <bgColor rgb="FF1C4587"/>
        </patternFill>
      </fill>
      <border/>
    </dxf>
    <dxf>
      <font>
        <color rgb="FFFFD966"/>
      </font>
      <fill>
        <patternFill patternType="solid">
          <fgColor rgb="FFA64D79"/>
          <bgColor rgb="FFA64D79"/>
        </patternFill>
      </fill>
      <border/>
    </dxf>
    <dxf>
      <font>
        <color rgb="FF7BD947"/>
      </font>
      <fill>
        <patternFill patternType="solid">
          <fgColor rgb="FF274E13"/>
          <bgColor rgb="FF274E13"/>
        </patternFill>
      </fill>
      <border/>
    </dxf>
    <dxf>
      <font>
        <color rgb="FFF1C232"/>
      </font>
      <fill>
        <patternFill patternType="solid">
          <fgColor rgb="FF2FB1EA"/>
          <bgColor rgb="FF2FB1EA"/>
        </patternFill>
      </fill>
      <border/>
    </dxf>
    <dxf>
      <font>
        <color rgb="FF93C47D"/>
      </font>
      <fill>
        <patternFill patternType="solid">
          <fgColor rgb="FF1C4587"/>
          <bgColor rgb="FF1C4587"/>
        </patternFill>
      </fill>
      <border/>
    </dxf>
    <dxf>
      <font>
        <color rgb="FFEB7C40"/>
      </font>
      <fill>
        <patternFill patternType="solid">
          <fgColor rgb="FF2E447D"/>
          <bgColor rgb="FF2E447D"/>
        </patternFill>
      </fill>
      <border/>
    </dxf>
    <dxf>
      <font>
        <color rgb="FF990000"/>
      </font>
      <fill>
        <patternFill patternType="solid">
          <fgColor rgb="FFC28EBF"/>
          <bgColor rgb="FFC28EBF"/>
        </patternFill>
      </fill>
      <border/>
    </dxf>
    <dxf>
      <font>
        <color rgb="FFE06666"/>
      </font>
      <fill>
        <patternFill patternType="solid">
          <fgColor rgb="FF5B0F00"/>
          <bgColor rgb="FF5B0F00"/>
        </patternFill>
      </fill>
      <border/>
    </dxf>
    <dxf>
      <font>
        <color rgb="FFD9D2E9"/>
      </font>
      <fill>
        <patternFill patternType="solid">
          <fgColor rgb="FF6A761D"/>
          <bgColor rgb="FF6A761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D9D9D9"/>
      </font>
      <fill>
        <patternFill patternType="solid">
          <fgColor rgb="FFE06666"/>
          <bgColor rgb="FFE06666"/>
        </patternFill>
      </fill>
      <border/>
    </dxf>
    <dxf>
      <font>
        <color rgb="FF351C75"/>
      </font>
      <fill>
        <patternFill patternType="solid">
          <fgColor rgb="FFF9CB9C"/>
          <bgColor rgb="FFF9CB9C"/>
        </patternFill>
      </fill>
      <border/>
    </dxf>
    <dxf>
      <font>
        <color rgb="FF999999"/>
      </font>
      <fill>
        <patternFill patternType="solid">
          <fgColor rgb="FFF1C232"/>
          <bgColor rgb="FFF1C232"/>
        </patternFill>
      </fill>
      <border/>
    </dxf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B7E1CD"/>
          <bgColor rgb="FFB7E1CD"/>
        </patternFill>
      </fill>
      <border/>
    </dxf>
    <dxf>
      <font>
        <color rgb="FF351C75"/>
      </font>
      <fill>
        <patternFill patternType="solid">
          <fgColor rgb="FFD9D2E9"/>
          <bgColor rgb="FFD9D2E9"/>
        </patternFill>
      </fill>
      <border/>
    </dxf>
    <dxf>
      <font>
        <color rgb="FFB6D7A8"/>
      </font>
      <fill>
        <patternFill patternType="solid">
          <fgColor rgb="FF3D85C6"/>
          <bgColor rgb="FF3D85C6"/>
        </patternFill>
      </fill>
      <border/>
    </dxf>
    <dxf>
      <font>
        <color rgb="FFCC0000"/>
      </font>
      <fill>
        <patternFill patternType="solid">
          <fgColor rgb="FFF7DD29"/>
          <bgColor rgb="FFF7DD29"/>
        </patternFill>
      </fill>
      <border/>
    </dxf>
    <dxf>
      <font>
        <color rgb="FFFFFFFF"/>
      </font>
      <fill>
        <patternFill patternType="solid">
          <fgColor rgb="FF00936F"/>
          <bgColor rgb="FF00936F"/>
        </patternFill>
      </fill>
      <border/>
    </dxf>
    <dxf>
      <font>
        <color rgb="FFFFFF00"/>
      </font>
      <fill>
        <patternFill patternType="solid">
          <fgColor rgb="FF2AEC29"/>
          <bgColor rgb="FF2AEC29"/>
        </patternFill>
      </fill>
      <border/>
    </dxf>
    <dxf>
      <font>
        <color rgb="FFFFFF00"/>
      </font>
      <fill>
        <patternFill patternType="solid">
          <fgColor rgb="FF9900FF"/>
          <bgColor rgb="FF9900FF"/>
        </patternFill>
      </fill>
      <border/>
    </dxf>
    <dxf>
      <font>
        <color rgb="FF1C4587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7DD29"/>
          <bgColor rgb="FFF7DD29"/>
        </patternFill>
      </fill>
      <border/>
    </dxf>
    <dxf>
      <font>
        <color rgb="FF351C75"/>
      </font>
      <fill>
        <patternFill patternType="solid">
          <fgColor rgb="FFFDDCE8"/>
          <bgColor rgb="FFFDDCE8"/>
        </patternFill>
      </fill>
      <border/>
    </dxf>
    <dxf>
      <font>
        <color rgb="FF990000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D966"/>
      </font>
      <fill>
        <patternFill patternType="solid">
          <fgColor rgb="FF3C78D8"/>
          <bgColor rgb="FF3C78D8"/>
        </patternFill>
      </fill>
      <border/>
    </dxf>
    <dxf>
      <font>
        <color rgb="FFFFD966"/>
      </font>
      <fill>
        <patternFill patternType="solid">
          <fgColor rgb="FF134F5C"/>
          <bgColor rgb="FF134F5C"/>
        </patternFill>
      </fill>
      <border/>
    </dxf>
    <dxf>
      <font>
        <color rgb="FFFFFFFF"/>
      </font>
      <fill>
        <patternFill patternType="solid">
          <fgColor rgb="FF007DD9"/>
          <bgColor rgb="FF007DD9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6547"/>
      </font>
      <fill>
        <patternFill patternType="solid">
          <fgColor rgb="FF206A6E"/>
          <bgColor rgb="FF206A6E"/>
        </patternFill>
      </fill>
      <border/>
    </dxf>
    <dxf>
      <font>
        <color rgb="FFBAFF00"/>
      </font>
      <fill>
        <patternFill patternType="solid">
          <fgColor rgb="FF666666"/>
          <bgColor rgb="FF666666"/>
        </patternFill>
      </fill>
      <border/>
    </dxf>
    <dxf>
      <font>
        <color rgb="FFF7DD29"/>
      </font>
      <fill>
        <patternFill patternType="solid">
          <fgColor rgb="FF20124D"/>
          <bgColor rgb="FF20124D"/>
        </patternFill>
      </fill>
      <border/>
    </dxf>
    <dxf>
      <font>
        <color rgb="FF990000"/>
      </font>
      <fill>
        <patternFill patternType="solid">
          <fgColor rgb="FFCCCCCC"/>
          <bgColor rgb="FFCCCCCC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2E447D"/>
      </font>
      <fill>
        <patternFill patternType="solid">
          <fgColor rgb="FFDBB857"/>
          <bgColor rgb="FFDBB857"/>
        </patternFill>
      </fill>
      <border/>
    </dxf>
    <dxf>
      <font>
        <color rgb="FFFFFF00"/>
      </font>
      <fill>
        <patternFill patternType="solid">
          <fgColor rgb="FFCC0000"/>
          <bgColor rgb="FFCC00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color rgb="FFF1C232"/>
      </font>
      <fill>
        <patternFill patternType="solid">
          <fgColor rgb="FF1155CC"/>
          <bgColor rgb="FF1155CC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DF3079"/>
          <bgColor rgb="FFDF3079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  <dxf>
      <font>
        <color rgb="FF0C343D"/>
      </font>
      <fill>
        <patternFill patternType="solid">
          <fgColor rgb="FFEBD9A7"/>
          <bgColor rgb="FFEBD9A7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C000"/>
      </font>
      <fill>
        <patternFill patternType="solid">
          <fgColor rgb="FF274E13"/>
          <bgColor rgb="FF274E13"/>
        </patternFill>
      </fill>
      <border/>
    </dxf>
    <dxf>
      <font>
        <color rgb="FF1155CC"/>
      </font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>
        <color rgb="FFFFFFFF"/>
      </font>
      <fill>
        <patternFill patternType="solid">
          <fgColor rgb="FF45818E"/>
          <bgColor rgb="FF45818E"/>
        </patternFill>
      </fill>
      <border/>
    </dxf>
    <dxf>
      <font>
        <color rgb="FFFFFFFF"/>
      </font>
      <fill>
        <patternFill patternType="solid">
          <fgColor rgb="FFEB5D40"/>
          <bgColor rgb="FFEB5D4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1155CC"/>
      </font>
      <fill>
        <patternFill patternType="solid">
          <fgColor rgb="FFFFD966"/>
          <bgColor rgb="FFFFD966"/>
        </patternFill>
      </fill>
      <border/>
    </dxf>
    <dxf>
      <font>
        <color rgb="FF1C4587"/>
      </font>
      <fill>
        <patternFill patternType="solid">
          <fgColor rgb="FFEB7C40"/>
          <bgColor rgb="FFEB7C40"/>
        </patternFill>
      </fill>
      <border/>
    </dxf>
    <dxf>
      <font/>
      <fill>
        <patternFill patternType="solid">
          <fgColor rgb="FFD6CCAB"/>
          <bgColor rgb="FFD6CCAB"/>
        </patternFill>
      </fill>
      <border/>
    </dxf>
    <dxf>
      <font>
        <color rgb="FFFFD966"/>
      </font>
      <fill>
        <patternFill patternType="solid">
          <fgColor rgb="FFE91DCA"/>
          <bgColor rgb="FFE91DCA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>
        <color rgb="FFFF9900"/>
      </font>
      <fill>
        <patternFill patternType="solid">
          <fgColor rgb="FF434343"/>
          <bgColor rgb="FF434343"/>
        </patternFill>
      </fill>
      <border/>
    </dxf>
    <dxf>
      <font>
        <color rgb="FF1155CC"/>
      </font>
      <fill>
        <patternFill patternType="solid">
          <fgColor rgb="FFCFE2F3"/>
          <bgColor rgb="FFCFE2F3"/>
        </patternFill>
      </fill>
      <border/>
    </dxf>
    <dxf>
      <font>
        <color rgb="FFC9DAF8"/>
      </font>
      <fill>
        <patternFill patternType="solid">
          <fgColor rgb="FF9900FF"/>
          <bgColor rgb="FF9900FF"/>
        </patternFill>
      </fill>
      <border/>
    </dxf>
    <dxf>
      <font>
        <color rgb="FFBAFF00"/>
      </font>
      <fill>
        <patternFill patternType="solid">
          <fgColor rgb="FF434343"/>
          <bgColor rgb="FF434343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F4CCCC"/>
      </font>
      <fill>
        <patternFill patternType="solid">
          <fgColor rgb="FF990000"/>
          <bgColor rgb="FF990000"/>
        </patternFill>
      </fill>
      <border/>
    </dxf>
    <dxf>
      <font>
        <color rgb="FFFFC000"/>
      </font>
      <fill>
        <patternFill patternType="solid">
          <fgColor rgb="FF9900FF"/>
          <bgColor rgb="FF9900FF"/>
        </patternFill>
      </fill>
      <border/>
    </dxf>
    <dxf>
      <font>
        <color rgb="FF434343"/>
      </font>
      <fill>
        <patternFill patternType="solid">
          <fgColor rgb="FFFFE599"/>
          <bgColor rgb="FFFFE599"/>
        </patternFill>
      </fill>
      <border/>
    </dxf>
    <dxf>
      <font>
        <color rgb="FFFFFFFF"/>
      </font>
      <fill>
        <patternFill patternType="solid">
          <fgColor rgb="FFD72626"/>
          <bgColor rgb="FFD72626"/>
        </patternFill>
      </fill>
      <border/>
    </dxf>
  </dxfs>
  <tableStyles count="1">
    <tableStyle count="3" pivot="0" name="ancie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W52:AA5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ncie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morquepublicitaire.be/remorque/305" TargetMode="External"/><Relationship Id="rId42" Type="http://schemas.openxmlformats.org/officeDocument/2006/relationships/hyperlink" Target="https://remorquepublicitaire.be/remorque/307" TargetMode="External"/><Relationship Id="rId41" Type="http://schemas.openxmlformats.org/officeDocument/2006/relationships/hyperlink" Target="https://remorquepublicitaire.be/remorque/306" TargetMode="External"/><Relationship Id="rId44" Type="http://schemas.openxmlformats.org/officeDocument/2006/relationships/hyperlink" Target="https://remorquepublicitaire.be/remorque/309" TargetMode="External"/><Relationship Id="rId43" Type="http://schemas.openxmlformats.org/officeDocument/2006/relationships/hyperlink" Target="https://remorquepublicitaire.be/remorque/308" TargetMode="External"/><Relationship Id="rId46" Type="http://schemas.openxmlformats.org/officeDocument/2006/relationships/hyperlink" Target="https://remorquepublicitaire.be/remorque/311" TargetMode="External"/><Relationship Id="rId45" Type="http://schemas.openxmlformats.org/officeDocument/2006/relationships/hyperlink" Target="https://remorquepublicitaire.be/remorque/310" TargetMode="External"/><Relationship Id="rId107" Type="http://schemas.openxmlformats.org/officeDocument/2006/relationships/hyperlink" Target="https://remorquepublicitaire.be/remorque/505" TargetMode="External"/><Relationship Id="rId106" Type="http://schemas.openxmlformats.org/officeDocument/2006/relationships/hyperlink" Target="https://remorquepublicitaire.be/remorque/502" TargetMode="External"/><Relationship Id="rId105" Type="http://schemas.openxmlformats.org/officeDocument/2006/relationships/hyperlink" Target="https://remorquepublicitaire.be/remorque/501" TargetMode="External"/><Relationship Id="rId104" Type="http://schemas.openxmlformats.org/officeDocument/2006/relationships/hyperlink" Target="https://remorquepublicitaire.be/remorque/409" TargetMode="External"/><Relationship Id="rId109" Type="http://schemas.openxmlformats.org/officeDocument/2006/relationships/hyperlink" Target="https://remorquepublicitaire.be/remorque/507" TargetMode="External"/><Relationship Id="rId108" Type="http://schemas.openxmlformats.org/officeDocument/2006/relationships/hyperlink" Target="https://remorquepublicitaire.be/remorque/506" TargetMode="External"/><Relationship Id="rId48" Type="http://schemas.openxmlformats.org/officeDocument/2006/relationships/hyperlink" Target="https://remorquepublicitaire.be/remorque/313" TargetMode="External"/><Relationship Id="rId47" Type="http://schemas.openxmlformats.org/officeDocument/2006/relationships/hyperlink" Target="https://remorquepublicitaire.be/remorque/312" TargetMode="External"/><Relationship Id="rId49" Type="http://schemas.openxmlformats.org/officeDocument/2006/relationships/hyperlink" Target="https://remorquepublicitaire.be/remorque/314" TargetMode="External"/><Relationship Id="rId103" Type="http://schemas.openxmlformats.org/officeDocument/2006/relationships/hyperlink" Target="https://remorquepublicitaire.be/remorque/408" TargetMode="External"/><Relationship Id="rId102" Type="http://schemas.openxmlformats.org/officeDocument/2006/relationships/hyperlink" Target="https://remorquepublicitaire.be/remorque/407" TargetMode="External"/><Relationship Id="rId101" Type="http://schemas.openxmlformats.org/officeDocument/2006/relationships/hyperlink" Target="https://remorquepublicitaire.be/remorque/406" TargetMode="External"/><Relationship Id="rId100" Type="http://schemas.openxmlformats.org/officeDocument/2006/relationships/hyperlink" Target="https://remorquepublicitaire.be/remorque/405" TargetMode="External"/><Relationship Id="rId31" Type="http://schemas.openxmlformats.org/officeDocument/2006/relationships/hyperlink" Target="https://remorquepublicitaire.be/remorque/221" TargetMode="External"/><Relationship Id="rId30" Type="http://schemas.openxmlformats.org/officeDocument/2006/relationships/hyperlink" Target="https://remorquepublicitaire.be/remorque/220" TargetMode="External"/><Relationship Id="rId33" Type="http://schemas.openxmlformats.org/officeDocument/2006/relationships/hyperlink" Target="https://remorquepublicitaire.be/remorque/222" TargetMode="External"/><Relationship Id="rId32" Type="http://schemas.openxmlformats.org/officeDocument/2006/relationships/hyperlink" Target="https://remorquepublicitaire.be/remorque/226" TargetMode="External"/><Relationship Id="rId35" Type="http://schemas.openxmlformats.org/officeDocument/2006/relationships/hyperlink" Target="https://remorquepublicitaire.be/remorque/225" TargetMode="External"/><Relationship Id="rId34" Type="http://schemas.openxmlformats.org/officeDocument/2006/relationships/hyperlink" Target="https://remorquepublicitaire.be/remorque/224" TargetMode="External"/><Relationship Id="rId37" Type="http://schemas.openxmlformats.org/officeDocument/2006/relationships/hyperlink" Target="https://remorquepublicitaire.be/remorque/301" TargetMode="External"/><Relationship Id="rId36" Type="http://schemas.openxmlformats.org/officeDocument/2006/relationships/hyperlink" Target="https://remorquepublicitaire.be/remorque/230" TargetMode="External"/><Relationship Id="rId39" Type="http://schemas.openxmlformats.org/officeDocument/2006/relationships/hyperlink" Target="https://remorquepublicitaire.be/remorque/304" TargetMode="External"/><Relationship Id="rId38" Type="http://schemas.openxmlformats.org/officeDocument/2006/relationships/hyperlink" Target="https://remorquepublicitaire.be/remorque/303" TargetMode="External"/><Relationship Id="rId20" Type="http://schemas.openxmlformats.org/officeDocument/2006/relationships/hyperlink" Target="https://remorquepublicitaire.be/remorque/210" TargetMode="External"/><Relationship Id="rId22" Type="http://schemas.openxmlformats.org/officeDocument/2006/relationships/hyperlink" Target="https://remorquepublicitaire.be/remorque/212" TargetMode="External"/><Relationship Id="rId21" Type="http://schemas.openxmlformats.org/officeDocument/2006/relationships/hyperlink" Target="https://remorquepublicitaire.be/remorque/211" TargetMode="External"/><Relationship Id="rId24" Type="http://schemas.openxmlformats.org/officeDocument/2006/relationships/hyperlink" Target="https://remorquepublicitaire.be/remorque/214" TargetMode="External"/><Relationship Id="rId23" Type="http://schemas.openxmlformats.org/officeDocument/2006/relationships/hyperlink" Target="https://remorquepublicitaire.be/remorque/213" TargetMode="External"/><Relationship Id="rId26" Type="http://schemas.openxmlformats.org/officeDocument/2006/relationships/hyperlink" Target="https://remorquepublicitaire.be/remorque/216" TargetMode="External"/><Relationship Id="rId121" Type="http://schemas.openxmlformats.org/officeDocument/2006/relationships/hyperlink" Target="https://remorquepublicitaire.be/remorque/525" TargetMode="External"/><Relationship Id="rId25" Type="http://schemas.openxmlformats.org/officeDocument/2006/relationships/hyperlink" Target="https://remorquepublicitaire.be/remorque/215" TargetMode="External"/><Relationship Id="rId120" Type="http://schemas.openxmlformats.org/officeDocument/2006/relationships/hyperlink" Target="https://remorquepublicitaire.be/remorque/521" TargetMode="External"/><Relationship Id="rId28" Type="http://schemas.openxmlformats.org/officeDocument/2006/relationships/hyperlink" Target="https://remorquepublicitaire.be/remorque/217" TargetMode="External"/><Relationship Id="rId27" Type="http://schemas.openxmlformats.org/officeDocument/2006/relationships/hyperlink" Target="https://remorquepublicitaire.be/remorque/227" TargetMode="External"/><Relationship Id="rId29" Type="http://schemas.openxmlformats.org/officeDocument/2006/relationships/hyperlink" Target="https://remorquepublicitaire.be/remorque/218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remorquepublicitaire.be/remorque/530" TargetMode="External"/><Relationship Id="rId95" Type="http://schemas.openxmlformats.org/officeDocument/2006/relationships/hyperlink" Target="https://remorquepublicitaire.be/remorque/357" TargetMode="External"/><Relationship Id="rId94" Type="http://schemas.openxmlformats.org/officeDocument/2006/relationships/hyperlink" Target="https://remorquepublicitaire.be/remorque/356" TargetMode="External"/><Relationship Id="rId97" Type="http://schemas.openxmlformats.org/officeDocument/2006/relationships/hyperlink" Target="https://remorquepublicitaire.be/remorque/402" TargetMode="External"/><Relationship Id="rId96" Type="http://schemas.openxmlformats.org/officeDocument/2006/relationships/hyperlink" Target="https://remorquepublicitaire.be/remorque/401" TargetMode="External"/><Relationship Id="rId11" Type="http://schemas.openxmlformats.org/officeDocument/2006/relationships/hyperlink" Target="https://remorquepublicitaire.be/remorque/201" TargetMode="External"/><Relationship Id="rId99" Type="http://schemas.openxmlformats.org/officeDocument/2006/relationships/hyperlink" Target="https://remorquepublicitaire.be/remorque/404" TargetMode="External"/><Relationship Id="rId10" Type="http://schemas.openxmlformats.org/officeDocument/2006/relationships/hyperlink" Target="https://remorquepublicitaire.be/remorque/113" TargetMode="External"/><Relationship Id="rId98" Type="http://schemas.openxmlformats.org/officeDocument/2006/relationships/hyperlink" Target="https://remorquepublicitaire.be/remorque/403" TargetMode="External"/><Relationship Id="rId13" Type="http://schemas.openxmlformats.org/officeDocument/2006/relationships/hyperlink" Target="https://remorquepublicitaire.be/remorque/203" TargetMode="External"/><Relationship Id="rId12" Type="http://schemas.openxmlformats.org/officeDocument/2006/relationships/hyperlink" Target="https://remorquepublicitaire.be/remorque/202" TargetMode="External"/><Relationship Id="rId91" Type="http://schemas.openxmlformats.org/officeDocument/2006/relationships/hyperlink" Target="https://remorquepublicitaire.be/remorque/353" TargetMode="External"/><Relationship Id="rId90" Type="http://schemas.openxmlformats.org/officeDocument/2006/relationships/hyperlink" Target="https://remorquepublicitaire.be/remorque/352" TargetMode="External"/><Relationship Id="rId93" Type="http://schemas.openxmlformats.org/officeDocument/2006/relationships/hyperlink" Target="https://remorquepublicitaire.be/remorque/355" TargetMode="External"/><Relationship Id="rId92" Type="http://schemas.openxmlformats.org/officeDocument/2006/relationships/hyperlink" Target="https://remorquepublicitaire.be/remorque/354" TargetMode="External"/><Relationship Id="rId118" Type="http://schemas.openxmlformats.org/officeDocument/2006/relationships/hyperlink" Target="https://remorquepublicitaire.be/remorque/518" TargetMode="External"/><Relationship Id="rId117" Type="http://schemas.openxmlformats.org/officeDocument/2006/relationships/hyperlink" Target="https://remorquepublicitaire.be/remorque/517" TargetMode="External"/><Relationship Id="rId116" Type="http://schemas.openxmlformats.org/officeDocument/2006/relationships/hyperlink" Target="https://remorquepublicitaire.be/remorque/515" TargetMode="External"/><Relationship Id="rId115" Type="http://schemas.openxmlformats.org/officeDocument/2006/relationships/hyperlink" Target="https://remorquepublicitaire.be/remorque/514" TargetMode="External"/><Relationship Id="rId119" Type="http://schemas.openxmlformats.org/officeDocument/2006/relationships/hyperlink" Target="https://remorquepublicitaire.be/remorque/520" TargetMode="External"/><Relationship Id="rId15" Type="http://schemas.openxmlformats.org/officeDocument/2006/relationships/hyperlink" Target="https://remorquepublicitaire.be/remorque/205" TargetMode="External"/><Relationship Id="rId110" Type="http://schemas.openxmlformats.org/officeDocument/2006/relationships/hyperlink" Target="https://remorquepublicitaire.be/remorque/508" TargetMode="External"/><Relationship Id="rId14" Type="http://schemas.openxmlformats.org/officeDocument/2006/relationships/hyperlink" Target="https://remorquepublicitaire.be/remorque/204" TargetMode="External"/><Relationship Id="rId17" Type="http://schemas.openxmlformats.org/officeDocument/2006/relationships/hyperlink" Target="https://remorquepublicitaire.be/remorque/207" TargetMode="External"/><Relationship Id="rId16" Type="http://schemas.openxmlformats.org/officeDocument/2006/relationships/hyperlink" Target="https://remorquepublicitaire.be/remorque/206" TargetMode="External"/><Relationship Id="rId19" Type="http://schemas.openxmlformats.org/officeDocument/2006/relationships/hyperlink" Target="https://remorquepublicitaire.be/remorque/209" TargetMode="External"/><Relationship Id="rId114" Type="http://schemas.openxmlformats.org/officeDocument/2006/relationships/hyperlink" Target="https://remorquepublicitaire.be/remorque/513" TargetMode="External"/><Relationship Id="rId18" Type="http://schemas.openxmlformats.org/officeDocument/2006/relationships/hyperlink" Target="https://remorquepublicitaire.be/remorque/208" TargetMode="External"/><Relationship Id="rId113" Type="http://schemas.openxmlformats.org/officeDocument/2006/relationships/hyperlink" Target="https://remorquepublicitaire.be/remorque/512" TargetMode="External"/><Relationship Id="rId112" Type="http://schemas.openxmlformats.org/officeDocument/2006/relationships/hyperlink" Target="https://remorquepublicitaire.be/remorque/527" TargetMode="External"/><Relationship Id="rId111" Type="http://schemas.openxmlformats.org/officeDocument/2006/relationships/hyperlink" Target="https://remorquepublicitaire.be/remorque/509" TargetMode="External"/><Relationship Id="rId84" Type="http://schemas.openxmlformats.org/officeDocument/2006/relationships/hyperlink" Target="https://remorquepublicitaire.be/remorque/361" TargetMode="External"/><Relationship Id="rId83" Type="http://schemas.openxmlformats.org/officeDocument/2006/relationships/hyperlink" Target="https://remorquepublicitaire.be/remorque/360" TargetMode="External"/><Relationship Id="rId86" Type="http://schemas.openxmlformats.org/officeDocument/2006/relationships/hyperlink" Target="https://remorquepublicitaire.be/remorque/348" TargetMode="External"/><Relationship Id="rId85" Type="http://schemas.openxmlformats.org/officeDocument/2006/relationships/hyperlink" Target="https://remorquepublicitaire.be/remorque/347" TargetMode="External"/><Relationship Id="rId88" Type="http://schemas.openxmlformats.org/officeDocument/2006/relationships/hyperlink" Target="https://remorquepublicitaire.be/remorque/350" TargetMode="External"/><Relationship Id="rId87" Type="http://schemas.openxmlformats.org/officeDocument/2006/relationships/hyperlink" Target="https://remorquepublicitaire.be/remorque/349" TargetMode="External"/><Relationship Id="rId89" Type="http://schemas.openxmlformats.org/officeDocument/2006/relationships/hyperlink" Target="https://remorquepublicitaire.be/remorque/351" TargetMode="External"/><Relationship Id="rId80" Type="http://schemas.openxmlformats.org/officeDocument/2006/relationships/hyperlink" Target="https://remorquepublicitaire.be/remorque/345" TargetMode="External"/><Relationship Id="rId82" Type="http://schemas.openxmlformats.org/officeDocument/2006/relationships/hyperlink" Target="https://remorquepublicitaire.be/remorque/359" TargetMode="External"/><Relationship Id="rId81" Type="http://schemas.openxmlformats.org/officeDocument/2006/relationships/hyperlink" Target="https://remorquepublicitaire.be/remorque/346" TargetMode="External"/><Relationship Id="rId1" Type="http://schemas.openxmlformats.org/officeDocument/2006/relationships/hyperlink" Target="https://remorquepublicitaire.be/remorque/102" TargetMode="External"/><Relationship Id="rId2" Type="http://schemas.openxmlformats.org/officeDocument/2006/relationships/hyperlink" Target="https://remorquepublicitaire.be/remorque/104" TargetMode="External"/><Relationship Id="rId3" Type="http://schemas.openxmlformats.org/officeDocument/2006/relationships/hyperlink" Target="https://remorquepublicitaire.be/remorque/105" TargetMode="External"/><Relationship Id="rId4" Type="http://schemas.openxmlformats.org/officeDocument/2006/relationships/hyperlink" Target="https://remorquepublicitaire.be/remorque/106" TargetMode="External"/><Relationship Id="rId9" Type="http://schemas.openxmlformats.org/officeDocument/2006/relationships/hyperlink" Target="https://remorquepublicitaire.be/remorque/112" TargetMode="External"/><Relationship Id="rId5" Type="http://schemas.openxmlformats.org/officeDocument/2006/relationships/hyperlink" Target="https://remorquepublicitaire.be/remorque/107" TargetMode="External"/><Relationship Id="rId6" Type="http://schemas.openxmlformats.org/officeDocument/2006/relationships/hyperlink" Target="https://remorquepublicitaire.be/remorque/109" TargetMode="External"/><Relationship Id="rId7" Type="http://schemas.openxmlformats.org/officeDocument/2006/relationships/hyperlink" Target="https://remorquepublicitaire.be/remorque/110" TargetMode="External"/><Relationship Id="rId8" Type="http://schemas.openxmlformats.org/officeDocument/2006/relationships/hyperlink" Target="https://remorquepublicitaire.be/remorque/111" TargetMode="External"/><Relationship Id="rId73" Type="http://schemas.openxmlformats.org/officeDocument/2006/relationships/hyperlink" Target="https://remorquepublicitaire.be/remorque/340" TargetMode="External"/><Relationship Id="rId72" Type="http://schemas.openxmlformats.org/officeDocument/2006/relationships/hyperlink" Target="https://remorquepublicitaire.be/remorque/339" TargetMode="External"/><Relationship Id="rId75" Type="http://schemas.openxmlformats.org/officeDocument/2006/relationships/hyperlink" Target="https://remorquepublicitaire.be/remorque/365" TargetMode="External"/><Relationship Id="rId74" Type="http://schemas.openxmlformats.org/officeDocument/2006/relationships/hyperlink" Target="https://remorquepublicitaire.be/remorque/341" TargetMode="External"/><Relationship Id="rId77" Type="http://schemas.openxmlformats.org/officeDocument/2006/relationships/hyperlink" Target="https://remorquepublicitaire.be/remorque/343" TargetMode="External"/><Relationship Id="rId76" Type="http://schemas.openxmlformats.org/officeDocument/2006/relationships/hyperlink" Target="https://remorquepublicitaire.be/remorque/342" TargetMode="External"/><Relationship Id="rId79" Type="http://schemas.openxmlformats.org/officeDocument/2006/relationships/hyperlink" Target="https://remorquepublicitaire.be/remorque/363" TargetMode="External"/><Relationship Id="rId78" Type="http://schemas.openxmlformats.org/officeDocument/2006/relationships/hyperlink" Target="https://remorquepublicitaire.be/remorque/344" TargetMode="External"/><Relationship Id="rId71" Type="http://schemas.openxmlformats.org/officeDocument/2006/relationships/hyperlink" Target="https://remorquepublicitaire.be/remorque/338" TargetMode="External"/><Relationship Id="rId70" Type="http://schemas.openxmlformats.org/officeDocument/2006/relationships/hyperlink" Target="https://remorquepublicitaire.be/remorque/337" TargetMode="External"/><Relationship Id="rId62" Type="http://schemas.openxmlformats.org/officeDocument/2006/relationships/hyperlink" Target="https://remorquepublicitaire.be/remorque/329" TargetMode="External"/><Relationship Id="rId61" Type="http://schemas.openxmlformats.org/officeDocument/2006/relationships/hyperlink" Target="https://remorquepublicitaire.be/remorque/328" TargetMode="External"/><Relationship Id="rId64" Type="http://schemas.openxmlformats.org/officeDocument/2006/relationships/hyperlink" Target="https://remorquepublicitaire.be/remorque/331" TargetMode="External"/><Relationship Id="rId63" Type="http://schemas.openxmlformats.org/officeDocument/2006/relationships/hyperlink" Target="https://remorquepublicitaire.be/remorque/330" TargetMode="External"/><Relationship Id="rId66" Type="http://schemas.openxmlformats.org/officeDocument/2006/relationships/hyperlink" Target="https://remorquepublicitaire.be/remorque/333" TargetMode="External"/><Relationship Id="rId65" Type="http://schemas.openxmlformats.org/officeDocument/2006/relationships/hyperlink" Target="https://remorquepublicitaire.be/remorque/332" TargetMode="External"/><Relationship Id="rId68" Type="http://schemas.openxmlformats.org/officeDocument/2006/relationships/hyperlink" Target="https://remorquepublicitaire.be/remorque/335" TargetMode="External"/><Relationship Id="rId67" Type="http://schemas.openxmlformats.org/officeDocument/2006/relationships/hyperlink" Target="https://remorquepublicitaire.be/remorque/334" TargetMode="External"/><Relationship Id="rId60" Type="http://schemas.openxmlformats.org/officeDocument/2006/relationships/hyperlink" Target="https://remorquepublicitaire.be/remorque/327" TargetMode="External"/><Relationship Id="rId69" Type="http://schemas.openxmlformats.org/officeDocument/2006/relationships/hyperlink" Target="https://remorquepublicitaire.be/remorque/336" TargetMode="External"/><Relationship Id="rId51" Type="http://schemas.openxmlformats.org/officeDocument/2006/relationships/hyperlink" Target="https://remorquepublicitaire.be/remorque/316" TargetMode="External"/><Relationship Id="rId50" Type="http://schemas.openxmlformats.org/officeDocument/2006/relationships/hyperlink" Target="https://remorquepublicitaire.be/remorque/315" TargetMode="External"/><Relationship Id="rId53" Type="http://schemas.openxmlformats.org/officeDocument/2006/relationships/hyperlink" Target="https://remorquepublicitaire.be/remorque/318" TargetMode="External"/><Relationship Id="rId52" Type="http://schemas.openxmlformats.org/officeDocument/2006/relationships/hyperlink" Target="https://remorquepublicitaire.be/remorque/317" TargetMode="External"/><Relationship Id="rId55" Type="http://schemas.openxmlformats.org/officeDocument/2006/relationships/hyperlink" Target="https://remorquepublicitaire.be/remorque/321" TargetMode="External"/><Relationship Id="rId54" Type="http://schemas.openxmlformats.org/officeDocument/2006/relationships/hyperlink" Target="https://remorquepublicitaire.be/remorque/320" TargetMode="External"/><Relationship Id="rId57" Type="http://schemas.openxmlformats.org/officeDocument/2006/relationships/hyperlink" Target="https://remorquepublicitaire.be/remorque/324" TargetMode="External"/><Relationship Id="rId56" Type="http://schemas.openxmlformats.org/officeDocument/2006/relationships/hyperlink" Target="https://remorquepublicitaire.be/remorque/323" TargetMode="External"/><Relationship Id="rId59" Type="http://schemas.openxmlformats.org/officeDocument/2006/relationships/hyperlink" Target="https://remorquepublicitaire.be/remorque/326" TargetMode="External"/><Relationship Id="rId58" Type="http://schemas.openxmlformats.org/officeDocument/2006/relationships/hyperlink" Target="https://remorquepublicitaire.be/remorque/32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emorquepublicitaire.be/remorque/225" TargetMode="External"/><Relationship Id="rId42" Type="http://schemas.openxmlformats.org/officeDocument/2006/relationships/hyperlink" Target="https://remorquepublicitaire.be/remorque/227" TargetMode="External"/><Relationship Id="rId41" Type="http://schemas.openxmlformats.org/officeDocument/2006/relationships/hyperlink" Target="https://remorquepublicitaire.be/remorque/225" TargetMode="External"/><Relationship Id="rId44" Type="http://schemas.openxmlformats.org/officeDocument/2006/relationships/hyperlink" Target="https://remorquepublicitaire.be/remorque/302" TargetMode="External"/><Relationship Id="rId43" Type="http://schemas.openxmlformats.org/officeDocument/2006/relationships/hyperlink" Target="https://remorquepublicitaire.be/remorque/301" TargetMode="External"/><Relationship Id="rId46" Type="http://schemas.openxmlformats.org/officeDocument/2006/relationships/hyperlink" Target="https://remorquepublicitaire.be/remorque/304" TargetMode="External"/><Relationship Id="rId45" Type="http://schemas.openxmlformats.org/officeDocument/2006/relationships/hyperlink" Target="https://remorquepublicitaire.be/remorque/303" TargetMode="External"/><Relationship Id="rId107" Type="http://schemas.openxmlformats.org/officeDocument/2006/relationships/hyperlink" Target="https://remorquepublicitaire.be/remorque/401" TargetMode="External"/><Relationship Id="rId106" Type="http://schemas.openxmlformats.org/officeDocument/2006/relationships/hyperlink" Target="https://remorquepublicitaire.be/remorque/307" TargetMode="External"/><Relationship Id="rId105" Type="http://schemas.openxmlformats.org/officeDocument/2006/relationships/hyperlink" Target="https://remorquepublicitaire.be/remorque/341" TargetMode="External"/><Relationship Id="rId104" Type="http://schemas.openxmlformats.org/officeDocument/2006/relationships/hyperlink" Target="https://remorquepublicitaire.be/remorque/363" TargetMode="External"/><Relationship Id="rId109" Type="http://schemas.openxmlformats.org/officeDocument/2006/relationships/hyperlink" Target="https://remorquepublicitaire.be/remorque/403" TargetMode="External"/><Relationship Id="rId108" Type="http://schemas.openxmlformats.org/officeDocument/2006/relationships/hyperlink" Target="https://remorquepublicitaire.be/remorque/402" TargetMode="External"/><Relationship Id="rId48" Type="http://schemas.openxmlformats.org/officeDocument/2006/relationships/hyperlink" Target="https://remorquepublicitaire.be/remorque/306" TargetMode="External"/><Relationship Id="rId47" Type="http://schemas.openxmlformats.org/officeDocument/2006/relationships/hyperlink" Target="https://remorquepublicitaire.be/remorque/305" TargetMode="External"/><Relationship Id="rId49" Type="http://schemas.openxmlformats.org/officeDocument/2006/relationships/hyperlink" Target="https://remorquepublicitaire.be/remorque/307" TargetMode="External"/><Relationship Id="rId103" Type="http://schemas.openxmlformats.org/officeDocument/2006/relationships/hyperlink" Target="https://remorquepublicitaire.be/remorque/362" TargetMode="External"/><Relationship Id="rId102" Type="http://schemas.openxmlformats.org/officeDocument/2006/relationships/hyperlink" Target="https://remorquepublicitaire.be/remorque/361" TargetMode="External"/><Relationship Id="rId101" Type="http://schemas.openxmlformats.org/officeDocument/2006/relationships/hyperlink" Target="https://remorquepublicitaire.be/remorque/360" TargetMode="External"/><Relationship Id="rId100" Type="http://schemas.openxmlformats.org/officeDocument/2006/relationships/hyperlink" Target="https://remorquepublicitaire.be/remorque/359" TargetMode="External"/><Relationship Id="rId31" Type="http://schemas.openxmlformats.org/officeDocument/2006/relationships/hyperlink" Target="https://remorquepublicitaire.be/remorque/216" TargetMode="External"/><Relationship Id="rId30" Type="http://schemas.openxmlformats.org/officeDocument/2006/relationships/hyperlink" Target="https://remorquepublicitaire.be/remorque/215" TargetMode="External"/><Relationship Id="rId33" Type="http://schemas.openxmlformats.org/officeDocument/2006/relationships/hyperlink" Target="https://remorquepublicitaire.be/remorque/218" TargetMode="External"/><Relationship Id="rId32" Type="http://schemas.openxmlformats.org/officeDocument/2006/relationships/hyperlink" Target="https://remorquepublicitaire.be/remorque/217" TargetMode="External"/><Relationship Id="rId35" Type="http://schemas.openxmlformats.org/officeDocument/2006/relationships/hyperlink" Target="https://remorquepublicitaire.be/remorque/220" TargetMode="External"/><Relationship Id="rId34" Type="http://schemas.openxmlformats.org/officeDocument/2006/relationships/hyperlink" Target="https://remorquepublicitaire.be/remorque/219" TargetMode="External"/><Relationship Id="rId37" Type="http://schemas.openxmlformats.org/officeDocument/2006/relationships/hyperlink" Target="https://remorquepublicitaire.be/remorque/226" TargetMode="External"/><Relationship Id="rId36" Type="http://schemas.openxmlformats.org/officeDocument/2006/relationships/hyperlink" Target="https://remorquepublicitaire.be/remorque/221" TargetMode="External"/><Relationship Id="rId39" Type="http://schemas.openxmlformats.org/officeDocument/2006/relationships/hyperlink" Target="https://remorquepublicitaire.be/remorque/224" TargetMode="External"/><Relationship Id="rId38" Type="http://schemas.openxmlformats.org/officeDocument/2006/relationships/hyperlink" Target="https://remorquepublicitaire.be/remorque/222" TargetMode="External"/><Relationship Id="rId20" Type="http://schemas.openxmlformats.org/officeDocument/2006/relationships/hyperlink" Target="https://remorquepublicitaire.be/remorque/205" TargetMode="External"/><Relationship Id="rId22" Type="http://schemas.openxmlformats.org/officeDocument/2006/relationships/hyperlink" Target="https://remorquepublicitaire.be/remorque/207" TargetMode="External"/><Relationship Id="rId21" Type="http://schemas.openxmlformats.org/officeDocument/2006/relationships/hyperlink" Target="https://remorquepublicitaire.be/remorque/206" TargetMode="External"/><Relationship Id="rId24" Type="http://schemas.openxmlformats.org/officeDocument/2006/relationships/hyperlink" Target="https://remorquepublicitaire.be/remorque/209" TargetMode="External"/><Relationship Id="rId23" Type="http://schemas.openxmlformats.org/officeDocument/2006/relationships/hyperlink" Target="https://remorquepublicitaire.be/remorque/208" TargetMode="External"/><Relationship Id="rId129" Type="http://schemas.openxmlformats.org/officeDocument/2006/relationships/hyperlink" Target="https://remorquepublicitaire.be/remorque/514" TargetMode="External"/><Relationship Id="rId128" Type="http://schemas.openxmlformats.org/officeDocument/2006/relationships/hyperlink" Target="https://remorquepublicitaire.be/remorque/513" TargetMode="External"/><Relationship Id="rId127" Type="http://schemas.openxmlformats.org/officeDocument/2006/relationships/hyperlink" Target="https://remorquepublicitaire.be/remorque/512" TargetMode="External"/><Relationship Id="rId126" Type="http://schemas.openxmlformats.org/officeDocument/2006/relationships/hyperlink" Target="https://remorquepublicitaire.be/remorque/511" TargetMode="External"/><Relationship Id="rId26" Type="http://schemas.openxmlformats.org/officeDocument/2006/relationships/hyperlink" Target="https://remorquepublicitaire.be/remorque/211" TargetMode="External"/><Relationship Id="rId121" Type="http://schemas.openxmlformats.org/officeDocument/2006/relationships/hyperlink" Target="https://remorquepublicitaire.be/remorque/506" TargetMode="External"/><Relationship Id="rId25" Type="http://schemas.openxmlformats.org/officeDocument/2006/relationships/hyperlink" Target="https://remorquepublicitaire.be/remorque/210" TargetMode="External"/><Relationship Id="rId120" Type="http://schemas.openxmlformats.org/officeDocument/2006/relationships/hyperlink" Target="https://remorquepublicitaire.be/remorque/505" TargetMode="External"/><Relationship Id="rId28" Type="http://schemas.openxmlformats.org/officeDocument/2006/relationships/hyperlink" Target="https://remorquepublicitaire.be/remorque/213" TargetMode="External"/><Relationship Id="rId27" Type="http://schemas.openxmlformats.org/officeDocument/2006/relationships/hyperlink" Target="https://remorquepublicitaire.be/remorque/212" TargetMode="External"/><Relationship Id="rId125" Type="http://schemas.openxmlformats.org/officeDocument/2006/relationships/hyperlink" Target="https://remorquepublicitaire.be/remorque/510" TargetMode="External"/><Relationship Id="rId29" Type="http://schemas.openxmlformats.org/officeDocument/2006/relationships/hyperlink" Target="https://remorquepublicitaire.be/remorque/214" TargetMode="External"/><Relationship Id="rId124" Type="http://schemas.openxmlformats.org/officeDocument/2006/relationships/hyperlink" Target="https://remorquepublicitaire.be/remorque/509" TargetMode="External"/><Relationship Id="rId123" Type="http://schemas.openxmlformats.org/officeDocument/2006/relationships/hyperlink" Target="https://remorquepublicitaire.be/remorque/508" TargetMode="External"/><Relationship Id="rId122" Type="http://schemas.openxmlformats.org/officeDocument/2006/relationships/hyperlink" Target="https://remorquepublicitaire.be/remorque/507" TargetMode="External"/><Relationship Id="rId95" Type="http://schemas.openxmlformats.org/officeDocument/2006/relationships/hyperlink" Target="https://remorquepublicitaire.be/remorque/353" TargetMode="External"/><Relationship Id="rId94" Type="http://schemas.openxmlformats.org/officeDocument/2006/relationships/hyperlink" Target="https://remorquepublicitaire.be/remorque/352" TargetMode="External"/><Relationship Id="rId97" Type="http://schemas.openxmlformats.org/officeDocument/2006/relationships/hyperlink" Target="https://remorquepublicitaire.be/remorque/355" TargetMode="External"/><Relationship Id="rId96" Type="http://schemas.openxmlformats.org/officeDocument/2006/relationships/hyperlink" Target="https://remorquepublicitaire.be/remorque/354" TargetMode="External"/><Relationship Id="rId11" Type="http://schemas.openxmlformats.org/officeDocument/2006/relationships/hyperlink" Target="https://remorquepublicitaire.be/remorque/110" TargetMode="External"/><Relationship Id="rId99" Type="http://schemas.openxmlformats.org/officeDocument/2006/relationships/hyperlink" Target="https://remorquepublicitaire.be/remorque/357" TargetMode="External"/><Relationship Id="rId10" Type="http://schemas.openxmlformats.org/officeDocument/2006/relationships/hyperlink" Target="https://remorquepublicitaire.be/remorque/109" TargetMode="External"/><Relationship Id="rId98" Type="http://schemas.openxmlformats.org/officeDocument/2006/relationships/hyperlink" Target="https://remorquepublicitaire.be/remorque/356" TargetMode="External"/><Relationship Id="rId13" Type="http://schemas.openxmlformats.org/officeDocument/2006/relationships/hyperlink" Target="https://remorquepublicitaire.be/remorque/112" TargetMode="External"/><Relationship Id="rId12" Type="http://schemas.openxmlformats.org/officeDocument/2006/relationships/hyperlink" Target="https://remorquepublicitaire.be/remorque/111" TargetMode="External"/><Relationship Id="rId91" Type="http://schemas.openxmlformats.org/officeDocument/2006/relationships/hyperlink" Target="https://remorquepublicitaire.be/remorque/349" TargetMode="External"/><Relationship Id="rId90" Type="http://schemas.openxmlformats.org/officeDocument/2006/relationships/hyperlink" Target="https://remorquepublicitaire.be/remorque/348" TargetMode="External"/><Relationship Id="rId93" Type="http://schemas.openxmlformats.org/officeDocument/2006/relationships/hyperlink" Target="https://remorquepublicitaire.be/remorque/351" TargetMode="External"/><Relationship Id="rId92" Type="http://schemas.openxmlformats.org/officeDocument/2006/relationships/hyperlink" Target="https://remorquepublicitaire.be/remorque/350" TargetMode="External"/><Relationship Id="rId118" Type="http://schemas.openxmlformats.org/officeDocument/2006/relationships/hyperlink" Target="https://remorquepublicitaire.be/remorque/503" TargetMode="External"/><Relationship Id="rId117" Type="http://schemas.openxmlformats.org/officeDocument/2006/relationships/hyperlink" Target="https://remorquepublicitaire.be/remorque/502" TargetMode="External"/><Relationship Id="rId116" Type="http://schemas.openxmlformats.org/officeDocument/2006/relationships/hyperlink" Target="https://remorquepublicitaire.be/remorque/501" TargetMode="External"/><Relationship Id="rId115" Type="http://schemas.openxmlformats.org/officeDocument/2006/relationships/hyperlink" Target="https://remorquepublicitaire.be/remorque/409" TargetMode="External"/><Relationship Id="rId119" Type="http://schemas.openxmlformats.org/officeDocument/2006/relationships/hyperlink" Target="https://remorquepublicitaire.be/remorque/504" TargetMode="External"/><Relationship Id="rId15" Type="http://schemas.openxmlformats.org/officeDocument/2006/relationships/hyperlink" Target="https://remorquepublicitaire.be/remorque/114" TargetMode="External"/><Relationship Id="rId110" Type="http://schemas.openxmlformats.org/officeDocument/2006/relationships/hyperlink" Target="https://remorquepublicitaire.be/remorque/404" TargetMode="External"/><Relationship Id="rId14" Type="http://schemas.openxmlformats.org/officeDocument/2006/relationships/hyperlink" Target="https://remorquepublicitaire.be/remorque/113" TargetMode="External"/><Relationship Id="rId17" Type="http://schemas.openxmlformats.org/officeDocument/2006/relationships/hyperlink" Target="https://remorquepublicitaire.be/remorque/202" TargetMode="External"/><Relationship Id="rId16" Type="http://schemas.openxmlformats.org/officeDocument/2006/relationships/hyperlink" Target="https://remorquepublicitaire.be/remorque/201" TargetMode="External"/><Relationship Id="rId19" Type="http://schemas.openxmlformats.org/officeDocument/2006/relationships/hyperlink" Target="https://remorquepublicitaire.be/remorque/204" TargetMode="External"/><Relationship Id="rId114" Type="http://schemas.openxmlformats.org/officeDocument/2006/relationships/hyperlink" Target="https://remorquepublicitaire.be/remorque/408" TargetMode="External"/><Relationship Id="rId18" Type="http://schemas.openxmlformats.org/officeDocument/2006/relationships/hyperlink" Target="https://remorquepublicitaire.be/remorque/203" TargetMode="External"/><Relationship Id="rId113" Type="http://schemas.openxmlformats.org/officeDocument/2006/relationships/hyperlink" Target="https://remorquepublicitaire.be/remorque/407" TargetMode="External"/><Relationship Id="rId112" Type="http://schemas.openxmlformats.org/officeDocument/2006/relationships/hyperlink" Target="https://remorquepublicitaire.be/remorque/406" TargetMode="External"/><Relationship Id="rId111" Type="http://schemas.openxmlformats.org/officeDocument/2006/relationships/hyperlink" Target="https://remorquepublicitaire.be/remorque/405" TargetMode="External"/><Relationship Id="rId84" Type="http://schemas.openxmlformats.org/officeDocument/2006/relationships/hyperlink" Target="https://remorquepublicitaire.be/remorque/342" TargetMode="External"/><Relationship Id="rId83" Type="http://schemas.openxmlformats.org/officeDocument/2006/relationships/hyperlink" Target="https://remorquepublicitaire.be/remorque/341" TargetMode="External"/><Relationship Id="rId86" Type="http://schemas.openxmlformats.org/officeDocument/2006/relationships/hyperlink" Target="https://remorquepublicitaire.be/remorque/344" TargetMode="External"/><Relationship Id="rId85" Type="http://schemas.openxmlformats.org/officeDocument/2006/relationships/hyperlink" Target="https://remorquepublicitaire.be/remorque/343" TargetMode="External"/><Relationship Id="rId88" Type="http://schemas.openxmlformats.org/officeDocument/2006/relationships/hyperlink" Target="https://remorquepublicitaire.be/remorque/346" TargetMode="External"/><Relationship Id="rId87" Type="http://schemas.openxmlformats.org/officeDocument/2006/relationships/hyperlink" Target="https://remorquepublicitaire.be/remorque/345" TargetMode="External"/><Relationship Id="rId89" Type="http://schemas.openxmlformats.org/officeDocument/2006/relationships/hyperlink" Target="https://remorquepublicitaire.be/remorque/347" TargetMode="External"/><Relationship Id="rId80" Type="http://schemas.openxmlformats.org/officeDocument/2006/relationships/hyperlink" Target="https://remorquepublicitaire.be/remorque/338" TargetMode="External"/><Relationship Id="rId82" Type="http://schemas.openxmlformats.org/officeDocument/2006/relationships/hyperlink" Target="https://remorquepublicitaire.be/remorque/340" TargetMode="External"/><Relationship Id="rId81" Type="http://schemas.openxmlformats.org/officeDocument/2006/relationships/hyperlink" Target="https://remorquepublicitaire.be/remorque/339" TargetMode="External"/><Relationship Id="rId1" Type="http://schemas.openxmlformats.org/officeDocument/2006/relationships/hyperlink" Target="https://remorquepublicitaire.be/remorque/0" TargetMode="External"/><Relationship Id="rId2" Type="http://schemas.openxmlformats.org/officeDocument/2006/relationships/hyperlink" Target="https://remorquepublicitaire.be/remorque/101" TargetMode="External"/><Relationship Id="rId3" Type="http://schemas.openxmlformats.org/officeDocument/2006/relationships/hyperlink" Target="https://remorquepublicitaire.be/remorque/102" TargetMode="External"/><Relationship Id="rId4" Type="http://schemas.openxmlformats.org/officeDocument/2006/relationships/hyperlink" Target="https://remorquepublicitaire.be/remorque/103" TargetMode="External"/><Relationship Id="rId9" Type="http://schemas.openxmlformats.org/officeDocument/2006/relationships/hyperlink" Target="https://remorquepublicitaire.be/remorque/108" TargetMode="External"/><Relationship Id="rId142" Type="http://schemas.openxmlformats.org/officeDocument/2006/relationships/drawing" Target="../drawings/drawing4.xml"/><Relationship Id="rId141" Type="http://schemas.openxmlformats.org/officeDocument/2006/relationships/hyperlink" Target="https://remorquepublicitaire.be/remorque/231" TargetMode="External"/><Relationship Id="rId140" Type="http://schemas.openxmlformats.org/officeDocument/2006/relationships/hyperlink" Target="https://remorquepublicitaire.be/remorque/530" TargetMode="External"/><Relationship Id="rId5" Type="http://schemas.openxmlformats.org/officeDocument/2006/relationships/hyperlink" Target="https://remorquepublicitaire.be/remorque/104" TargetMode="External"/><Relationship Id="rId6" Type="http://schemas.openxmlformats.org/officeDocument/2006/relationships/hyperlink" Target="https://remorquepublicitaire.be/remorque/105" TargetMode="External"/><Relationship Id="rId7" Type="http://schemas.openxmlformats.org/officeDocument/2006/relationships/hyperlink" Target="https://remorquepublicitaire.be/remorque/106" TargetMode="External"/><Relationship Id="rId8" Type="http://schemas.openxmlformats.org/officeDocument/2006/relationships/hyperlink" Target="https://remorquepublicitaire.be/remorque/107" TargetMode="External"/><Relationship Id="rId73" Type="http://schemas.openxmlformats.org/officeDocument/2006/relationships/hyperlink" Target="https://remorquepublicitaire.be/remorque/331" TargetMode="External"/><Relationship Id="rId72" Type="http://schemas.openxmlformats.org/officeDocument/2006/relationships/hyperlink" Target="https://remorquepublicitaire.be/remorque/330" TargetMode="External"/><Relationship Id="rId75" Type="http://schemas.openxmlformats.org/officeDocument/2006/relationships/hyperlink" Target="https://remorquepublicitaire.be/remorque/333" TargetMode="External"/><Relationship Id="rId74" Type="http://schemas.openxmlformats.org/officeDocument/2006/relationships/hyperlink" Target="https://remorquepublicitaire.be/remorque/332" TargetMode="External"/><Relationship Id="rId77" Type="http://schemas.openxmlformats.org/officeDocument/2006/relationships/hyperlink" Target="https://remorquepublicitaire.be/remorque/335" TargetMode="External"/><Relationship Id="rId76" Type="http://schemas.openxmlformats.org/officeDocument/2006/relationships/hyperlink" Target="https://remorquepublicitaire.be/remorque/334" TargetMode="External"/><Relationship Id="rId79" Type="http://schemas.openxmlformats.org/officeDocument/2006/relationships/hyperlink" Target="https://remorquepublicitaire.be/remorque/337" TargetMode="External"/><Relationship Id="rId78" Type="http://schemas.openxmlformats.org/officeDocument/2006/relationships/hyperlink" Target="https://remorquepublicitaire.be/remorque/336" TargetMode="External"/><Relationship Id="rId71" Type="http://schemas.openxmlformats.org/officeDocument/2006/relationships/hyperlink" Target="https://remorquepublicitaire.be/remorque/329" TargetMode="External"/><Relationship Id="rId70" Type="http://schemas.openxmlformats.org/officeDocument/2006/relationships/hyperlink" Target="https://remorquepublicitaire.be/remorque/328" TargetMode="External"/><Relationship Id="rId139" Type="http://schemas.openxmlformats.org/officeDocument/2006/relationships/hyperlink" Target="https://remorquepublicitaire.be/remorque/527" TargetMode="External"/><Relationship Id="rId138" Type="http://schemas.openxmlformats.org/officeDocument/2006/relationships/hyperlink" Target="https://remorquepublicitaire.be/remorque/525" TargetMode="External"/><Relationship Id="rId137" Type="http://schemas.openxmlformats.org/officeDocument/2006/relationships/hyperlink" Target="https://remorquepublicitaire.be/remorque/524" TargetMode="External"/><Relationship Id="rId132" Type="http://schemas.openxmlformats.org/officeDocument/2006/relationships/hyperlink" Target="https://remorquepublicitaire.be/remorque/517" TargetMode="External"/><Relationship Id="rId131" Type="http://schemas.openxmlformats.org/officeDocument/2006/relationships/hyperlink" Target="https://remorquepublicitaire.be/remorque/516" TargetMode="External"/><Relationship Id="rId130" Type="http://schemas.openxmlformats.org/officeDocument/2006/relationships/hyperlink" Target="https://remorquepublicitaire.be/remorque/515" TargetMode="External"/><Relationship Id="rId136" Type="http://schemas.openxmlformats.org/officeDocument/2006/relationships/hyperlink" Target="https://remorquepublicitaire.be/remorque/521" TargetMode="External"/><Relationship Id="rId135" Type="http://schemas.openxmlformats.org/officeDocument/2006/relationships/hyperlink" Target="https://remorquepublicitaire.be/remorque/520" TargetMode="External"/><Relationship Id="rId134" Type="http://schemas.openxmlformats.org/officeDocument/2006/relationships/hyperlink" Target="https://remorquepublicitaire.be/remorque/519" TargetMode="External"/><Relationship Id="rId133" Type="http://schemas.openxmlformats.org/officeDocument/2006/relationships/hyperlink" Target="https://remorquepublicitaire.be/remorque/518" TargetMode="External"/><Relationship Id="rId62" Type="http://schemas.openxmlformats.org/officeDocument/2006/relationships/hyperlink" Target="https://remorquepublicitaire.be/remorque/320" TargetMode="External"/><Relationship Id="rId61" Type="http://schemas.openxmlformats.org/officeDocument/2006/relationships/hyperlink" Target="https://remorquepublicitaire.be/remorque/319" TargetMode="External"/><Relationship Id="rId64" Type="http://schemas.openxmlformats.org/officeDocument/2006/relationships/hyperlink" Target="https://remorquepublicitaire.be/remorque/322" TargetMode="External"/><Relationship Id="rId63" Type="http://schemas.openxmlformats.org/officeDocument/2006/relationships/hyperlink" Target="https://remorquepublicitaire.be/remorque/321" TargetMode="External"/><Relationship Id="rId66" Type="http://schemas.openxmlformats.org/officeDocument/2006/relationships/hyperlink" Target="https://remorquepublicitaire.be/remorque/324" TargetMode="External"/><Relationship Id="rId65" Type="http://schemas.openxmlformats.org/officeDocument/2006/relationships/hyperlink" Target="https://remorquepublicitaire.be/remorque/323" TargetMode="External"/><Relationship Id="rId68" Type="http://schemas.openxmlformats.org/officeDocument/2006/relationships/hyperlink" Target="https://remorquepublicitaire.be/remorque/326" TargetMode="External"/><Relationship Id="rId67" Type="http://schemas.openxmlformats.org/officeDocument/2006/relationships/hyperlink" Target="https://remorquepublicitaire.be/remorque/325" TargetMode="External"/><Relationship Id="rId60" Type="http://schemas.openxmlformats.org/officeDocument/2006/relationships/hyperlink" Target="https://remorquepublicitaire.be/remorque/318" TargetMode="External"/><Relationship Id="rId69" Type="http://schemas.openxmlformats.org/officeDocument/2006/relationships/hyperlink" Target="https://remorquepublicitaire.be/remorque/327" TargetMode="External"/><Relationship Id="rId51" Type="http://schemas.openxmlformats.org/officeDocument/2006/relationships/hyperlink" Target="https://remorquepublicitaire.be/remorque/309" TargetMode="External"/><Relationship Id="rId50" Type="http://schemas.openxmlformats.org/officeDocument/2006/relationships/hyperlink" Target="https://remorquepublicitaire.be/remorque/308" TargetMode="External"/><Relationship Id="rId53" Type="http://schemas.openxmlformats.org/officeDocument/2006/relationships/hyperlink" Target="https://remorquepublicitaire.be/remorque/311" TargetMode="External"/><Relationship Id="rId52" Type="http://schemas.openxmlformats.org/officeDocument/2006/relationships/hyperlink" Target="https://remorquepublicitaire.be/remorque/310" TargetMode="External"/><Relationship Id="rId55" Type="http://schemas.openxmlformats.org/officeDocument/2006/relationships/hyperlink" Target="https://remorquepublicitaire.be/remorque/313" TargetMode="External"/><Relationship Id="rId54" Type="http://schemas.openxmlformats.org/officeDocument/2006/relationships/hyperlink" Target="https://remorquepublicitaire.be/remorque/312" TargetMode="External"/><Relationship Id="rId57" Type="http://schemas.openxmlformats.org/officeDocument/2006/relationships/hyperlink" Target="https://remorquepublicitaire.be/remorque/315" TargetMode="External"/><Relationship Id="rId56" Type="http://schemas.openxmlformats.org/officeDocument/2006/relationships/hyperlink" Target="https://remorquepublicitaire.be/remorque/314" TargetMode="External"/><Relationship Id="rId59" Type="http://schemas.openxmlformats.org/officeDocument/2006/relationships/hyperlink" Target="https://remorquepublicitaire.be/remorque/317" TargetMode="External"/><Relationship Id="rId58" Type="http://schemas.openxmlformats.org/officeDocument/2006/relationships/hyperlink" Target="https://remorquepublicitaire.be/remorque/31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remorquepublicitaire.be/remorque/319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23.63"/>
    <col customWidth="1" min="5" max="5" width="18.63"/>
    <col customWidth="1" min="6" max="6" width="10.13"/>
    <col customWidth="1" min="7" max="7" width="18.63"/>
    <col customWidth="1" min="8" max="8" width="10.13"/>
    <col customWidth="1" min="9" max="9" width="18.63"/>
    <col customWidth="1" min="10" max="10" width="10.13"/>
    <col customWidth="1" min="11" max="11" width="18.63"/>
    <col customWidth="1" min="12" max="12" width="10.13"/>
    <col customWidth="1" min="13" max="13" width="18.63"/>
    <col customWidth="1" min="14" max="14" width="10.13"/>
    <col customWidth="1" min="15" max="15" width="18.63"/>
    <col customWidth="1" min="16" max="16" width="10.13"/>
    <col customWidth="1" min="17" max="17" width="18.63"/>
    <col customWidth="1" min="18" max="18" width="12.0"/>
    <col customWidth="1" min="19" max="19" width="18.63"/>
    <col customWidth="1" min="20" max="20" width="12.0"/>
    <col customWidth="1" min="21" max="21" width="19.63"/>
    <col customWidth="1" min="22" max="22" width="10.25"/>
    <col customWidth="1" min="23" max="23" width="18.63"/>
    <col customWidth="1" min="24" max="24" width="10.25"/>
    <col customWidth="1" min="25" max="25" width="18.63"/>
    <col customWidth="1" min="26" max="26" width="10.63"/>
    <col customWidth="1" min="27" max="27" width="18.63"/>
    <col customWidth="1" min="28" max="28" width="10.63"/>
    <col customWidth="1" min="29" max="29" width="19.13"/>
    <col customWidth="1" min="30" max="30" width="9.88"/>
    <col customWidth="1" min="31" max="31" width="18.63"/>
    <col customWidth="1" min="32" max="32" width="9.88"/>
    <col customWidth="1" min="33" max="33" width="18.63"/>
    <col customWidth="1" min="34" max="34" width="9.88"/>
    <col customWidth="1" min="35" max="35" width="18.63"/>
    <col customWidth="1" min="36" max="36" width="9.88"/>
    <col customWidth="1" min="37" max="37" width="18.63"/>
    <col customWidth="1" min="38" max="38" width="10.38"/>
    <col customWidth="1" min="39" max="39" width="18.63"/>
    <col customWidth="1" min="40" max="40" width="10.38"/>
    <col customWidth="1" min="41" max="41" width="18.63"/>
    <col customWidth="1" min="42" max="42" width="10.38"/>
    <col customWidth="1" min="43" max="43" width="18.63"/>
    <col customWidth="1" min="44" max="44" width="10.38"/>
    <col customWidth="1" min="45" max="45" width="18.63"/>
    <col customWidth="1" min="46" max="46" width="9.75"/>
    <col customWidth="1" min="47" max="47" width="18.63"/>
    <col customWidth="1" min="48" max="48" width="9.75"/>
    <col customWidth="1" min="49" max="49" width="18.63"/>
    <col customWidth="1" min="50" max="50" width="9.75"/>
    <col customWidth="1" min="51" max="51" width="18.63"/>
    <col customWidth="1" min="52" max="52" width="9.75"/>
    <col customWidth="1" hidden="1" min="53" max="56" width="9.75"/>
  </cols>
  <sheetData>
    <row r="1" ht="37.5" customHeight="1">
      <c r="A1" s="4"/>
      <c r="B1" s="6">
        <v>2027.0</v>
      </c>
      <c r="C1" s="10" t="s">
        <v>0</v>
      </c>
      <c r="D1" s="14" t="s">
        <v>3</v>
      </c>
      <c r="E1" s="19" t="s">
        <v>2</v>
      </c>
      <c r="F1" s="21" t="s">
        <v>6</v>
      </c>
      <c r="G1" s="23" t="s">
        <v>2</v>
      </c>
      <c r="H1" s="25" t="s">
        <v>9</v>
      </c>
      <c r="I1" s="26" t="s">
        <v>4</v>
      </c>
      <c r="J1" s="27" t="s">
        <v>6</v>
      </c>
      <c r="K1" s="28" t="s">
        <v>4</v>
      </c>
      <c r="L1" s="30" t="s">
        <v>9</v>
      </c>
      <c r="M1" s="33" t="s">
        <v>5</v>
      </c>
      <c r="N1" s="35" t="s">
        <v>6</v>
      </c>
      <c r="O1" s="37" t="s">
        <v>5</v>
      </c>
      <c r="P1" s="39" t="s">
        <v>9</v>
      </c>
      <c r="Q1" s="26" t="s">
        <v>7</v>
      </c>
      <c r="R1" s="27" t="s">
        <v>6</v>
      </c>
      <c r="S1" s="28" t="s">
        <v>7</v>
      </c>
      <c r="T1" s="30" t="s">
        <v>9</v>
      </c>
      <c r="U1" s="41" t="s">
        <v>8</v>
      </c>
      <c r="V1" s="43" t="s">
        <v>6</v>
      </c>
      <c r="W1" s="44" t="s">
        <v>8</v>
      </c>
      <c r="X1" s="45" t="s">
        <v>9</v>
      </c>
      <c r="Y1" s="26" t="s">
        <v>10</v>
      </c>
      <c r="Z1" s="27" t="s">
        <v>6</v>
      </c>
      <c r="AA1" s="28" t="s">
        <v>10</v>
      </c>
      <c r="AB1" s="30" t="s">
        <v>9</v>
      </c>
      <c r="AC1" s="41" t="s">
        <v>11</v>
      </c>
      <c r="AD1" s="43" t="s">
        <v>6</v>
      </c>
      <c r="AE1" s="44" t="s">
        <v>11</v>
      </c>
      <c r="AF1" s="45" t="s">
        <v>9</v>
      </c>
      <c r="AG1" s="26" t="s">
        <v>12</v>
      </c>
      <c r="AH1" s="27" t="s">
        <v>6</v>
      </c>
      <c r="AI1" s="28" t="s">
        <v>12</v>
      </c>
      <c r="AJ1" s="30" t="s">
        <v>9</v>
      </c>
      <c r="AK1" s="41" t="s">
        <v>13</v>
      </c>
      <c r="AL1" s="43" t="s">
        <v>6</v>
      </c>
      <c r="AM1" s="44" t="s">
        <v>13</v>
      </c>
      <c r="AN1" s="45" t="s">
        <v>9</v>
      </c>
      <c r="AO1" s="26" t="s">
        <v>14</v>
      </c>
      <c r="AP1" s="27" t="s">
        <v>6</v>
      </c>
      <c r="AQ1" s="28" t="s">
        <v>14</v>
      </c>
      <c r="AR1" s="30" t="s">
        <v>9</v>
      </c>
      <c r="AS1" s="41" t="s">
        <v>15</v>
      </c>
      <c r="AT1" s="43" t="s">
        <v>6</v>
      </c>
      <c r="AU1" s="44" t="s">
        <v>15</v>
      </c>
      <c r="AV1" s="45" t="s">
        <v>9</v>
      </c>
      <c r="AW1" s="26" t="s">
        <v>16</v>
      </c>
      <c r="AX1" s="27" t="s">
        <v>6</v>
      </c>
      <c r="AY1" s="28" t="s">
        <v>16</v>
      </c>
      <c r="AZ1" s="30" t="s">
        <v>9</v>
      </c>
      <c r="BA1" s="31" t="s">
        <v>17</v>
      </c>
      <c r="BB1" s="50" t="s">
        <v>18</v>
      </c>
      <c r="BC1" s="51" t="s">
        <v>19</v>
      </c>
      <c r="BD1" s="50"/>
    </row>
    <row r="2" ht="21.75" hidden="1" customHeight="1">
      <c r="A2" s="53"/>
      <c r="B2" s="56" t="str">
        <f>VLOOKUP($A2,LocalisationRemorque,2,0)</f>
        <v> Remorque non listée</v>
      </c>
      <c r="C2" s="57" t="str">
        <f>VLOOKUP($A2,LocalisationRemorque,3,0)</f>
        <v/>
      </c>
      <c r="D2" s="59" t="str">
        <f>CONCATENATE(VLOOKUP($A2,LocalisationRemorque,6,0)," ► ",VLOOKUP($A2,LocalisationRemorque,5,0))</f>
        <v> ► </v>
      </c>
      <c r="E2" s="61"/>
      <c r="F2" s="63"/>
      <c r="G2" s="64"/>
      <c r="H2" s="66"/>
      <c r="I2" s="67"/>
      <c r="J2" s="63"/>
      <c r="K2" s="68"/>
      <c r="L2" s="63"/>
      <c r="M2" s="67"/>
      <c r="N2" s="63"/>
      <c r="O2" s="68"/>
      <c r="P2" s="66"/>
      <c r="Q2" s="67"/>
      <c r="R2" s="71"/>
      <c r="S2" s="68"/>
      <c r="T2" s="66"/>
      <c r="U2" s="61"/>
      <c r="V2" s="71"/>
      <c r="W2" s="64"/>
      <c r="X2" s="66"/>
      <c r="Y2" s="61"/>
      <c r="Z2" s="71"/>
      <c r="AA2" s="64"/>
      <c r="AB2" s="66"/>
      <c r="AC2" s="67"/>
      <c r="AD2" s="71"/>
      <c r="AE2" s="64"/>
      <c r="AF2" s="66"/>
      <c r="AG2" s="61"/>
      <c r="AH2" s="71"/>
      <c r="AI2" s="64"/>
      <c r="AJ2" s="66"/>
      <c r="AK2" s="61"/>
      <c r="AL2" s="71"/>
      <c r="AM2" s="64"/>
      <c r="AN2" s="66"/>
      <c r="AO2" s="61"/>
      <c r="AP2" s="71"/>
      <c r="AQ2" s="64"/>
      <c r="AR2" s="66"/>
      <c r="AS2" s="67"/>
      <c r="AT2" s="71"/>
      <c r="AU2" s="64"/>
      <c r="AV2" s="66"/>
      <c r="AW2" s="67"/>
      <c r="AX2" s="71"/>
      <c r="AY2" s="64"/>
      <c r="AZ2" s="78"/>
      <c r="BA2" s="70"/>
      <c r="BB2" s="70"/>
      <c r="BC2" s="79"/>
      <c r="BD2" s="70"/>
    </row>
    <row r="3" ht="20.25" customHeight="1">
      <c r="A3" s="80">
        <v>102.0</v>
      </c>
      <c r="B3" s="81" t="str">
        <f>VLOOKUP($A3,LocalisationRemorque,2,0)</f>
        <v>Nivelles</v>
      </c>
      <c r="C3" s="82" t="str">
        <f>VLOOKUP($A3,LocalisationRemorque,3,0)</f>
        <v>Sud Thines</v>
      </c>
      <c r="D3" s="83" t="str">
        <f>CONCATENATE(VLOOKUP($A3,LocalisationRemorque,6,0)," ► ",VLOOKUP($A3,LocalisationRemorque,5,0))</f>
        <v>Nivelles ► Namur</v>
      </c>
      <c r="E3" s="84" t="s">
        <v>20</v>
      </c>
      <c r="F3" s="85" t="s">
        <v>21</v>
      </c>
      <c r="G3" s="86" t="s">
        <v>22</v>
      </c>
      <c r="H3" s="87" t="s">
        <v>23</v>
      </c>
      <c r="I3" s="84"/>
      <c r="J3" s="85" t="s">
        <v>24</v>
      </c>
      <c r="K3" s="86"/>
      <c r="L3" s="85"/>
      <c r="M3" s="84"/>
      <c r="N3" s="85"/>
      <c r="O3" s="86"/>
      <c r="P3" s="87"/>
      <c r="Q3" s="84"/>
      <c r="R3" s="89"/>
      <c r="S3" s="86" t="s">
        <v>20</v>
      </c>
      <c r="T3" s="87"/>
      <c r="U3" s="84"/>
      <c r="V3" s="85"/>
      <c r="W3" s="86" t="s">
        <v>20</v>
      </c>
      <c r="X3" s="90"/>
      <c r="Y3" s="84"/>
      <c r="Z3" s="89"/>
      <c r="AA3" s="91"/>
      <c r="AB3" s="87"/>
      <c r="AC3" s="84" t="s">
        <v>20</v>
      </c>
      <c r="AD3" s="89"/>
      <c r="AE3" s="86" t="s">
        <v>23</v>
      </c>
      <c r="AF3" s="90"/>
      <c r="AG3" s="84"/>
      <c r="AH3" s="92"/>
      <c r="AI3" s="86"/>
      <c r="AJ3" s="93"/>
      <c r="AK3" s="84" t="s">
        <v>20</v>
      </c>
      <c r="AL3" s="94"/>
      <c r="AM3" s="91"/>
      <c r="AN3" s="93"/>
      <c r="AO3" s="84" t="s">
        <v>20</v>
      </c>
      <c r="AP3" s="94"/>
      <c r="AQ3" s="91"/>
      <c r="AR3" s="93"/>
      <c r="AS3" s="95"/>
      <c r="AT3" s="85"/>
      <c r="AU3" s="96"/>
      <c r="AV3" s="93"/>
      <c r="AW3" s="84" t="s">
        <v>20</v>
      </c>
      <c r="AX3" s="92"/>
      <c r="AY3" s="91"/>
      <c r="AZ3" s="93"/>
      <c r="BA3" s="77"/>
      <c r="BB3" s="77"/>
      <c r="BC3" s="97"/>
      <c r="BD3" s="77"/>
    </row>
    <row r="4" ht="21.75" hidden="1" customHeight="1">
      <c r="A4" s="98"/>
      <c r="B4" s="56" t="str">
        <f>VLOOKUP($A4,LocalisationRemorque,2,0)</f>
        <v> Remorque non listée</v>
      </c>
      <c r="C4" s="57" t="str">
        <f>VLOOKUP($A4,LocalisationRemorque,3,0)</f>
        <v/>
      </c>
      <c r="D4" s="59" t="str">
        <f>CONCATENATE(VLOOKUP($A4,LocalisationRemorque,6,0)," ► ",VLOOKUP($A4,LocalisationRemorque,5,0))</f>
        <v> ► </v>
      </c>
      <c r="E4" s="67"/>
      <c r="F4" s="63"/>
      <c r="G4" s="64"/>
      <c r="H4" s="66"/>
      <c r="I4" s="67"/>
      <c r="J4" s="63"/>
      <c r="K4" s="68"/>
      <c r="L4" s="63"/>
      <c r="M4" s="67"/>
      <c r="N4" s="63"/>
      <c r="O4" s="68"/>
      <c r="P4" s="78"/>
      <c r="Q4" s="67"/>
      <c r="R4" s="71"/>
      <c r="S4" s="68"/>
      <c r="T4" s="78"/>
      <c r="U4" s="67"/>
      <c r="V4" s="63"/>
      <c r="W4" s="68"/>
      <c r="X4" s="66"/>
      <c r="Y4" s="67"/>
      <c r="Z4" s="71"/>
      <c r="AA4" s="99"/>
      <c r="AB4" s="78"/>
      <c r="AC4" s="67"/>
      <c r="AD4" s="71"/>
      <c r="AE4" s="64"/>
      <c r="AF4" s="66"/>
      <c r="AG4" s="67"/>
      <c r="AH4" s="100"/>
      <c r="AI4" s="68"/>
      <c r="AJ4" s="101"/>
      <c r="AK4" s="67"/>
      <c r="AL4" s="102"/>
      <c r="AM4" s="99"/>
      <c r="AN4" s="101"/>
      <c r="AO4" s="103"/>
      <c r="AP4" s="102"/>
      <c r="AQ4" s="99"/>
      <c r="AR4" s="101"/>
      <c r="AS4" s="104"/>
      <c r="AT4" s="63"/>
      <c r="AU4" s="105"/>
      <c r="AV4" s="101"/>
      <c r="AW4" s="67"/>
      <c r="AX4" s="100"/>
      <c r="AY4" s="99"/>
      <c r="AZ4" s="101"/>
      <c r="BA4" s="88"/>
      <c r="BB4" s="88"/>
      <c r="BC4" s="106"/>
      <c r="BD4" s="88"/>
    </row>
    <row r="5" ht="21.75" customHeight="1">
      <c r="A5" s="80">
        <v>104.0</v>
      </c>
      <c r="B5" s="81" t="str">
        <f>VLOOKUP($A5,LocalisationRemorque,2,0)</f>
        <v>Ottignies</v>
      </c>
      <c r="C5" s="82" t="str">
        <f>VLOOKUP($A5,LocalisationRemorque,3,0)</f>
        <v>Clinique</v>
      </c>
      <c r="D5" s="83" t="str">
        <f>CONCATENATE(VLOOKUP($A5,LocalisationRemorque,6,0)," ► ",VLOOKUP($A5,LocalisationRemorque,5,0))</f>
        <v>Rixensart ► Court-Saint-Etienne</v>
      </c>
      <c r="E5" s="84" t="s">
        <v>25</v>
      </c>
      <c r="F5" s="85" t="s">
        <v>26</v>
      </c>
      <c r="G5" s="84" t="s">
        <v>27</v>
      </c>
      <c r="H5" s="90"/>
      <c r="I5" s="107"/>
      <c r="J5" s="89" t="s">
        <v>24</v>
      </c>
      <c r="K5" s="86"/>
      <c r="L5" s="85"/>
      <c r="M5" s="84" t="s">
        <v>27</v>
      </c>
      <c r="N5" s="85"/>
      <c r="O5" s="86"/>
      <c r="P5" s="87"/>
      <c r="Q5" s="84"/>
      <c r="R5" s="89"/>
      <c r="S5" s="86"/>
      <c r="T5" s="87"/>
      <c r="U5" s="84"/>
      <c r="V5" s="85"/>
      <c r="W5" s="86"/>
      <c r="X5" s="90"/>
      <c r="Y5" s="84" t="s">
        <v>27</v>
      </c>
      <c r="Z5" s="89"/>
      <c r="AA5" s="91"/>
      <c r="AB5" s="87"/>
      <c r="AC5" s="84"/>
      <c r="AD5" s="89"/>
      <c r="AE5" s="109"/>
      <c r="AF5" s="90"/>
      <c r="AG5" s="84"/>
      <c r="AH5" s="92"/>
      <c r="AI5" s="86"/>
      <c r="AJ5" s="93"/>
      <c r="AK5" s="84" t="s">
        <v>27</v>
      </c>
      <c r="AL5" s="94"/>
      <c r="AM5" s="91"/>
      <c r="AN5" s="93"/>
      <c r="AO5" s="110"/>
      <c r="AP5" s="94"/>
      <c r="AQ5" s="91"/>
      <c r="AR5" s="93"/>
      <c r="AS5" s="84" t="s">
        <v>27</v>
      </c>
      <c r="AT5" s="85"/>
      <c r="AU5" s="96"/>
      <c r="AV5" s="93"/>
      <c r="AW5" s="84"/>
      <c r="AX5" s="92"/>
      <c r="AY5" s="91"/>
      <c r="AZ5" s="93"/>
      <c r="BA5" s="77"/>
      <c r="BB5" s="77"/>
      <c r="BC5" s="97"/>
      <c r="BD5" s="77"/>
    </row>
    <row r="6" ht="21.75" customHeight="1">
      <c r="A6" s="111">
        <v>105.0</v>
      </c>
      <c r="B6" s="56" t="str">
        <f>VLOOKUP($A6,LocalisationRemorque,2,0)</f>
        <v>Louvain-la-Neuve</v>
      </c>
      <c r="C6" s="57" t="str">
        <f>VLOOKUP($A6,LocalisationRemorque,3,0)</f>
        <v>Corbais</v>
      </c>
      <c r="D6" s="59" t="str">
        <f>CONCATENATE(VLOOKUP($A6,LocalisationRemorque,6,0)," ► ",VLOOKUP($A6,LocalisationRemorque,5,0))</f>
        <v>LLN ► Gembloux</v>
      </c>
      <c r="E6" s="67" t="s">
        <v>25</v>
      </c>
      <c r="F6" s="63" t="s">
        <v>26</v>
      </c>
      <c r="G6" s="64"/>
      <c r="H6" s="66"/>
      <c r="I6" s="67"/>
      <c r="J6" s="63" t="s">
        <v>24</v>
      </c>
      <c r="K6" s="68"/>
      <c r="L6" s="63"/>
      <c r="M6" s="67"/>
      <c r="N6" s="63"/>
      <c r="O6" s="68"/>
      <c r="P6" s="78"/>
      <c r="Q6" s="67"/>
      <c r="R6" s="71"/>
      <c r="S6" s="68"/>
      <c r="T6" s="78"/>
      <c r="U6" s="67"/>
      <c r="V6" s="63"/>
      <c r="W6" s="68"/>
      <c r="X6" s="66"/>
      <c r="Y6" s="67"/>
      <c r="Z6" s="71"/>
      <c r="AA6" s="99"/>
      <c r="AB6" s="78"/>
      <c r="AC6" s="67" t="s">
        <v>20</v>
      </c>
      <c r="AD6" s="71"/>
      <c r="AE6" s="64"/>
      <c r="AF6" s="66"/>
      <c r="AG6" s="67"/>
      <c r="AH6" s="100"/>
      <c r="AI6" s="68"/>
      <c r="AJ6" s="101"/>
      <c r="AK6" s="67"/>
      <c r="AL6" s="102"/>
      <c r="AM6" s="99"/>
      <c r="AN6" s="101"/>
      <c r="AO6" s="103"/>
      <c r="AP6" s="102"/>
      <c r="AQ6" s="99"/>
      <c r="AR6" s="101"/>
      <c r="AS6" s="104"/>
      <c r="AT6" s="63"/>
      <c r="AU6" s="105"/>
      <c r="AV6" s="101"/>
      <c r="AW6" s="67" t="s">
        <v>20</v>
      </c>
      <c r="AX6" s="100"/>
      <c r="AY6" s="99"/>
      <c r="AZ6" s="101"/>
      <c r="BA6" s="70"/>
      <c r="BB6" s="70"/>
      <c r="BC6" s="79"/>
      <c r="BD6" s="70"/>
    </row>
    <row r="7" ht="21.75" customHeight="1">
      <c r="A7" s="80">
        <v>106.0</v>
      </c>
      <c r="B7" s="81" t="str">
        <f>VLOOKUP($A7,LocalisationRemorque,2,0)</f>
        <v>Wavre</v>
      </c>
      <c r="C7" s="82" t="str">
        <f>VLOOKUP($A7,LocalisationRemorque,3,0)</f>
        <v>Grez-Doiceau 1</v>
      </c>
      <c r="D7" s="83" t="str">
        <f>CONCATENATE(VLOOKUP($A7,LocalisationRemorque,6,0)," ► ",VLOOKUP($A7,LocalisationRemorque,5,0))</f>
        <v>Wavre ► Grez</v>
      </c>
      <c r="E7" s="84" t="s">
        <v>27</v>
      </c>
      <c r="F7" s="85"/>
      <c r="G7" s="86" t="s">
        <v>25</v>
      </c>
      <c r="H7" s="87" t="s">
        <v>26</v>
      </c>
      <c r="I7" s="84"/>
      <c r="J7" s="85"/>
      <c r="K7" s="86"/>
      <c r="L7" s="85"/>
      <c r="M7" s="84" t="s">
        <v>27</v>
      </c>
      <c r="N7" s="85"/>
      <c r="O7" s="86"/>
      <c r="P7" s="87"/>
      <c r="Q7" s="84"/>
      <c r="R7" s="89"/>
      <c r="S7" s="86"/>
      <c r="T7" s="87"/>
      <c r="U7" s="84"/>
      <c r="V7" s="85"/>
      <c r="W7" s="86"/>
      <c r="X7" s="90"/>
      <c r="Y7" s="84" t="s">
        <v>27</v>
      </c>
      <c r="Z7" s="89"/>
      <c r="AA7" s="91"/>
      <c r="AB7" s="87"/>
      <c r="AC7" s="84"/>
      <c r="AD7" s="89"/>
      <c r="AE7" s="109"/>
      <c r="AF7" s="90"/>
      <c r="AG7" s="84"/>
      <c r="AH7" s="92"/>
      <c r="AI7" s="86"/>
      <c r="AJ7" s="93"/>
      <c r="AK7" s="84" t="s">
        <v>27</v>
      </c>
      <c r="AL7" s="94"/>
      <c r="AM7" s="91"/>
      <c r="AN7" s="93"/>
      <c r="AO7" s="110"/>
      <c r="AP7" s="94"/>
      <c r="AQ7" s="91"/>
      <c r="AR7" s="93"/>
      <c r="AS7" s="84" t="s">
        <v>27</v>
      </c>
      <c r="AT7" s="85"/>
      <c r="AU7" s="96"/>
      <c r="AV7" s="93"/>
      <c r="AW7" s="84"/>
      <c r="AX7" s="92"/>
      <c r="AY7" s="91"/>
      <c r="AZ7" s="93"/>
      <c r="BA7" s="77"/>
      <c r="BB7" s="77"/>
      <c r="BC7" s="97"/>
      <c r="BD7" s="77"/>
    </row>
    <row r="8" ht="21.75" customHeight="1">
      <c r="A8" s="112">
        <v>107.0</v>
      </c>
      <c r="B8" s="56" t="str">
        <f>VLOOKUP($A8,LocalisationRemorque,2,0)</f>
        <v>Wavre</v>
      </c>
      <c r="C8" s="57" t="str">
        <f>VLOOKUP($A8,LocalisationRemorque,3,0)</f>
        <v>Grez-Doiceau 2</v>
      </c>
      <c r="D8" s="59" t="str">
        <f>CONCATENATE(VLOOKUP($A8,LocalisationRemorque,6,0)," ► ",VLOOKUP($A8,LocalisationRemorque,5,0))</f>
        <v>LLN ► Wavre</v>
      </c>
      <c r="E8" s="67" t="s">
        <v>27</v>
      </c>
      <c r="F8" s="63"/>
      <c r="G8" s="64"/>
      <c r="H8" s="66"/>
      <c r="I8" s="67"/>
      <c r="J8" s="63" t="s">
        <v>24</v>
      </c>
      <c r="K8" s="68"/>
      <c r="L8" s="63"/>
      <c r="M8" s="67" t="s">
        <v>27</v>
      </c>
      <c r="N8" s="63"/>
      <c r="O8" s="68"/>
      <c r="P8" s="78"/>
      <c r="Q8" s="67"/>
      <c r="R8" s="71"/>
      <c r="S8" s="68"/>
      <c r="T8" s="78"/>
      <c r="U8" s="67"/>
      <c r="V8" s="63"/>
      <c r="W8" s="68"/>
      <c r="X8" s="66"/>
      <c r="Y8" s="67" t="s">
        <v>27</v>
      </c>
      <c r="Z8" s="71"/>
      <c r="AA8" s="99"/>
      <c r="AB8" s="78"/>
      <c r="AC8" s="67"/>
      <c r="AD8" s="71"/>
      <c r="AE8" s="64"/>
      <c r="AF8" s="66"/>
      <c r="AG8" s="67"/>
      <c r="AH8" s="100"/>
      <c r="AI8" s="68"/>
      <c r="AJ8" s="101"/>
      <c r="AK8" s="67" t="s">
        <v>27</v>
      </c>
      <c r="AL8" s="102"/>
      <c r="AM8" s="99"/>
      <c r="AN8" s="101"/>
      <c r="AO8" s="103"/>
      <c r="AP8" s="102"/>
      <c r="AQ8" s="99"/>
      <c r="AR8" s="101"/>
      <c r="AS8" s="67" t="s">
        <v>27</v>
      </c>
      <c r="AT8" s="63"/>
      <c r="AU8" s="105"/>
      <c r="AV8" s="101"/>
      <c r="AW8" s="67"/>
      <c r="AX8" s="100"/>
      <c r="AY8" s="99"/>
      <c r="AZ8" s="101"/>
      <c r="BA8" s="70"/>
      <c r="BB8" s="70"/>
      <c r="BC8" s="79"/>
      <c r="BD8" s="70"/>
    </row>
    <row r="9" ht="21.75" customHeight="1">
      <c r="A9" s="113">
        <v>108.0</v>
      </c>
      <c r="B9" s="81" t="str">
        <f>VLOOKUP($A9,LocalisationRemorque,2,0)</f>
        <v>Wavre</v>
      </c>
      <c r="C9" s="82" t="str">
        <f>VLOOKUP($A9,LocalisationRemorque,3,0)</f>
        <v>Grez-Doiceau 3</v>
      </c>
      <c r="D9" s="83" t="str">
        <f>CONCATENATE(VLOOKUP($A9,LocalisationRemorque,6,0)," ► ",VLOOKUP($A9,LocalisationRemorque,5,0))</f>
        <v>Wavre ► Grez</v>
      </c>
      <c r="E9" s="84" t="s">
        <v>27</v>
      </c>
      <c r="F9" s="85"/>
      <c r="G9" s="109"/>
      <c r="H9" s="90"/>
      <c r="I9" s="84"/>
      <c r="J9" s="85"/>
      <c r="K9" s="86"/>
      <c r="L9" s="85"/>
      <c r="M9" s="84" t="s">
        <v>27</v>
      </c>
      <c r="N9" s="85"/>
      <c r="O9" s="86"/>
      <c r="P9" s="87"/>
      <c r="Q9" s="84"/>
      <c r="R9" s="89"/>
      <c r="S9" s="86"/>
      <c r="T9" s="87"/>
      <c r="U9" s="84"/>
      <c r="V9" s="85"/>
      <c r="W9" s="86"/>
      <c r="X9" s="90"/>
      <c r="Y9" s="84" t="s">
        <v>27</v>
      </c>
      <c r="Z9" s="89"/>
      <c r="AA9" s="91"/>
      <c r="AB9" s="87"/>
      <c r="AC9" s="84" t="s">
        <v>27</v>
      </c>
      <c r="AD9" s="89"/>
      <c r="AE9" s="109"/>
      <c r="AF9" s="90"/>
      <c r="AG9" s="84"/>
      <c r="AH9" s="92"/>
      <c r="AI9" s="86"/>
      <c r="AJ9" s="93"/>
      <c r="AK9" s="84" t="s">
        <v>27</v>
      </c>
      <c r="AL9" s="94"/>
      <c r="AM9" s="91"/>
      <c r="AN9" s="93"/>
      <c r="AO9" s="84"/>
      <c r="AP9" s="94"/>
      <c r="AQ9" s="91"/>
      <c r="AR9" s="93"/>
      <c r="AS9" s="84" t="s">
        <v>27</v>
      </c>
      <c r="AT9" s="85"/>
      <c r="AU9" s="96"/>
      <c r="AV9" s="93"/>
      <c r="AW9" s="84"/>
      <c r="AX9" s="92"/>
      <c r="AY9" s="91"/>
      <c r="AZ9" s="93"/>
      <c r="BA9" s="77"/>
      <c r="BB9" s="77"/>
      <c r="BC9" s="97"/>
      <c r="BD9" s="77"/>
    </row>
    <row r="10" ht="21.75" customHeight="1">
      <c r="A10" s="111">
        <v>109.0</v>
      </c>
      <c r="B10" s="56" t="str">
        <f>VLOOKUP($A10,LocalisationRemorque,2,0)</f>
        <v>Jodoigne</v>
      </c>
      <c r="C10" s="57" t="str">
        <f>VLOOKUP($A10,LocalisationRemorque,3,0)</f>
        <v>Mélin</v>
      </c>
      <c r="D10" s="59" t="str">
        <f>CONCATENATE(VLOOKUP($A10,LocalisationRemorque,6,0)," ► ",VLOOKUP($A10,LocalisationRemorque,5,0))</f>
        <v>Jodoigne ► Beauvechain</v>
      </c>
      <c r="E10" s="67"/>
      <c r="F10" s="63"/>
      <c r="G10" s="64"/>
      <c r="H10" s="66"/>
      <c r="I10" s="67"/>
      <c r="J10" s="63" t="s">
        <v>24</v>
      </c>
      <c r="K10" s="68"/>
      <c r="L10" s="63"/>
      <c r="M10" s="67"/>
      <c r="N10" s="63"/>
      <c r="O10" s="68"/>
      <c r="P10" s="78"/>
      <c r="Q10" s="67"/>
      <c r="R10" s="71"/>
      <c r="S10" s="68"/>
      <c r="T10" s="78"/>
      <c r="U10" s="67"/>
      <c r="V10" s="63"/>
      <c r="W10" s="68"/>
      <c r="X10" s="66"/>
      <c r="Y10" s="67"/>
      <c r="Z10" s="71"/>
      <c r="AA10" s="99"/>
      <c r="AB10" s="78"/>
      <c r="AC10" s="67"/>
      <c r="AD10" s="71"/>
      <c r="AE10" s="64"/>
      <c r="AF10" s="66"/>
      <c r="AG10" s="67"/>
      <c r="AH10" s="100"/>
      <c r="AI10" s="68"/>
      <c r="AJ10" s="101"/>
      <c r="AK10" s="67"/>
      <c r="AL10" s="102"/>
      <c r="AM10" s="99"/>
      <c r="AN10" s="101"/>
      <c r="AO10" s="103"/>
      <c r="AP10" s="102"/>
      <c r="AQ10" s="99"/>
      <c r="AR10" s="101"/>
      <c r="AS10" s="104"/>
      <c r="AT10" s="63"/>
      <c r="AU10" s="105"/>
      <c r="AV10" s="101"/>
      <c r="AW10" s="67"/>
      <c r="AX10" s="100"/>
      <c r="AY10" s="99"/>
      <c r="AZ10" s="101"/>
      <c r="BA10" s="70"/>
      <c r="BB10" s="70"/>
      <c r="BC10" s="79"/>
      <c r="BD10" s="70"/>
    </row>
    <row r="11" ht="21.75" customHeight="1">
      <c r="A11" s="80">
        <v>110.0</v>
      </c>
      <c r="B11" s="81" t="str">
        <f>VLOOKUP($A11,LocalisationRemorque,2,0)</f>
        <v>Jodoigne</v>
      </c>
      <c r="C11" s="82" t="str">
        <f>VLOOKUP($A11,LocalisationRemorque,3,0)</f>
        <v>Entree Jodoigne</v>
      </c>
      <c r="D11" s="83" t="str">
        <f>CONCATENATE(VLOOKUP($A11,LocalisationRemorque,6,0)," ► ",VLOOKUP($A11,LocalisationRemorque,5,0))</f>
        <v>Jodoigne ► Tirlemont</v>
      </c>
      <c r="E11" s="84"/>
      <c r="F11" s="85"/>
      <c r="G11" s="109"/>
      <c r="H11" s="90"/>
      <c r="I11" s="84"/>
      <c r="J11" s="85"/>
      <c r="K11" s="86"/>
      <c r="L11" s="85"/>
      <c r="M11" s="84"/>
      <c r="N11" s="85"/>
      <c r="O11" s="86"/>
      <c r="P11" s="87"/>
      <c r="Q11" s="84"/>
      <c r="R11" s="89"/>
      <c r="S11" s="86"/>
      <c r="T11" s="90"/>
      <c r="U11" s="84"/>
      <c r="V11" s="85"/>
      <c r="W11" s="86"/>
      <c r="X11" s="87"/>
      <c r="Y11" s="95"/>
      <c r="Z11" s="89"/>
      <c r="AA11" s="91"/>
      <c r="AB11" s="87"/>
      <c r="AC11" s="84"/>
      <c r="AD11" s="89"/>
      <c r="AE11" s="109"/>
      <c r="AF11" s="90"/>
      <c r="AG11" s="84"/>
      <c r="AH11" s="92"/>
      <c r="AI11" s="86"/>
      <c r="AJ11" s="93"/>
      <c r="AK11" s="84"/>
      <c r="AL11" s="94"/>
      <c r="AM11" s="91"/>
      <c r="AN11" s="93"/>
      <c r="AO11" s="110"/>
      <c r="AP11" s="94"/>
      <c r="AQ11" s="91"/>
      <c r="AR11" s="93"/>
      <c r="AS11" s="95"/>
      <c r="AT11" s="85"/>
      <c r="AU11" s="96"/>
      <c r="AV11" s="93"/>
      <c r="AW11" s="84"/>
      <c r="AX11" s="92"/>
      <c r="AY11" s="91"/>
      <c r="AZ11" s="93"/>
      <c r="BA11" s="77"/>
      <c r="BB11" s="77"/>
      <c r="BC11" s="97"/>
      <c r="BD11" s="77"/>
    </row>
    <row r="12" ht="21.75" customHeight="1">
      <c r="A12" s="111">
        <v>111.0</v>
      </c>
      <c r="B12" s="56" t="str">
        <f>VLOOKUP($A12,LocalisationRemorque,2,0)</f>
        <v>Beauvechain</v>
      </c>
      <c r="C12" s="57" t="str">
        <f>VLOOKUP($A12,LocalisationRemorque,3,0)</f>
        <v>Nodebais</v>
      </c>
      <c r="D12" s="59" t="str">
        <f>CONCATENATE(VLOOKUP($A12,LocalisationRemorque,6,0)," ► ",VLOOKUP($A12,LocalisationRemorque,5,0))</f>
        <v>Éghezée ► Hamme</v>
      </c>
      <c r="E12" s="67" t="s">
        <v>27</v>
      </c>
      <c r="F12" s="63"/>
      <c r="G12" s="64"/>
      <c r="H12" s="66"/>
      <c r="I12" s="67"/>
      <c r="J12" s="63"/>
      <c r="K12" s="68"/>
      <c r="L12" s="63"/>
      <c r="M12" s="67" t="s">
        <v>27</v>
      </c>
      <c r="N12" s="63"/>
      <c r="O12" s="68"/>
      <c r="P12" s="78"/>
      <c r="Q12" s="67"/>
      <c r="R12" s="71"/>
      <c r="S12" s="68"/>
      <c r="T12" s="78"/>
      <c r="U12" s="67"/>
      <c r="V12" s="63"/>
      <c r="W12" s="68"/>
      <c r="X12" s="66"/>
      <c r="Y12" s="67" t="s">
        <v>27</v>
      </c>
      <c r="Z12" s="71"/>
      <c r="AA12" s="99"/>
      <c r="AB12" s="78"/>
      <c r="AC12" s="67" t="s">
        <v>27</v>
      </c>
      <c r="AD12" s="71"/>
      <c r="AE12" s="64"/>
      <c r="AF12" s="66"/>
      <c r="AG12" s="67"/>
      <c r="AH12" s="100"/>
      <c r="AI12" s="68"/>
      <c r="AJ12" s="101"/>
      <c r="AK12" s="67" t="s">
        <v>27</v>
      </c>
      <c r="AL12" s="102"/>
      <c r="AM12" s="99"/>
      <c r="AN12" s="101"/>
      <c r="AO12" s="103"/>
      <c r="AP12" s="102"/>
      <c r="AQ12" s="99"/>
      <c r="AR12" s="66"/>
      <c r="AS12" s="67" t="s">
        <v>27</v>
      </c>
      <c r="AT12" s="63"/>
      <c r="AU12" s="105"/>
      <c r="AV12" s="101"/>
      <c r="AW12" s="67"/>
      <c r="AX12" s="71"/>
      <c r="AY12" s="64"/>
      <c r="AZ12" s="78"/>
      <c r="BA12" s="70"/>
      <c r="BB12" s="70"/>
      <c r="BC12" s="79"/>
      <c r="BD12" s="70"/>
    </row>
    <row r="13" ht="21.75" customHeight="1">
      <c r="A13" s="80">
        <v>112.0</v>
      </c>
      <c r="B13" s="81" t="str">
        <f>VLOOKUP($A13,LocalisationRemorque,2,0)</f>
        <v>Incourt</v>
      </c>
      <c r="C13" s="82" t="str">
        <f>VLOOKUP($A13,LocalisationRemorque,3,0)</f>
        <v>Incourt</v>
      </c>
      <c r="D13" s="83" t="str">
        <f>CONCATENATE(VLOOKUP($A13,LocalisationRemorque,6,0)," ► ",VLOOKUP($A13,LocalisationRemorque,5,0))</f>
        <v>Louvain ► Éghezée</v>
      </c>
      <c r="E13" s="84"/>
      <c r="F13" s="85"/>
      <c r="G13" s="109"/>
      <c r="H13" s="90"/>
      <c r="I13" s="84"/>
      <c r="J13" s="85"/>
      <c r="K13" s="86"/>
      <c r="L13" s="85"/>
      <c r="M13" s="84"/>
      <c r="N13" s="85"/>
      <c r="O13" s="86"/>
      <c r="P13" s="87"/>
      <c r="Q13" s="84"/>
      <c r="R13" s="89"/>
      <c r="S13" s="86"/>
      <c r="T13" s="90"/>
      <c r="U13" s="84"/>
      <c r="V13" s="85"/>
      <c r="W13" s="86"/>
      <c r="X13" s="87"/>
      <c r="Y13" s="84"/>
      <c r="Z13" s="89"/>
      <c r="AA13" s="91"/>
      <c r="AB13" s="87"/>
      <c r="AC13" s="84"/>
      <c r="AD13" s="89"/>
      <c r="AE13" s="109"/>
      <c r="AF13" s="90"/>
      <c r="AG13" s="84"/>
      <c r="AH13" s="92"/>
      <c r="AI13" s="86"/>
      <c r="AJ13" s="93"/>
      <c r="AK13" s="84"/>
      <c r="AL13" s="94"/>
      <c r="AM13" s="91"/>
      <c r="AN13" s="93"/>
      <c r="AO13" s="110"/>
      <c r="AP13" s="94"/>
      <c r="AQ13" s="91"/>
      <c r="AR13" s="93"/>
      <c r="AS13" s="84"/>
      <c r="AT13" s="94"/>
      <c r="AU13" s="91"/>
      <c r="AV13" s="93"/>
      <c r="AW13" s="84"/>
      <c r="AX13" s="94"/>
      <c r="AY13" s="91"/>
      <c r="AZ13" s="122"/>
      <c r="BA13" s="77"/>
      <c r="BB13" s="77"/>
      <c r="BC13" s="97"/>
      <c r="BD13" s="77"/>
    </row>
    <row r="14" ht="21.75" customHeight="1">
      <c r="A14" s="111">
        <v>113.0</v>
      </c>
      <c r="B14" s="56" t="str">
        <f>VLOOKUP($A14,LocalisationRemorque,2,0)</f>
        <v>Perwez</v>
      </c>
      <c r="C14" s="57" t="str">
        <f>VLOOKUP($A14,LocalisationRemorque,3,0)</f>
        <v>Perwez</v>
      </c>
      <c r="D14" s="59" t="str">
        <f>CONCATENATE(VLOOKUP($A14,LocalisationRemorque,6,0)," ► ",VLOOKUP($A14,LocalisationRemorque,5,0))</f>
        <v>Jodoigne ► E411</v>
      </c>
      <c r="E14" s="67"/>
      <c r="F14" s="63"/>
      <c r="G14" s="64"/>
      <c r="H14" s="66"/>
      <c r="I14" s="61"/>
      <c r="J14" s="71" t="s">
        <v>24</v>
      </c>
      <c r="K14" s="68"/>
      <c r="L14" s="63"/>
      <c r="M14" s="67"/>
      <c r="N14" s="63"/>
      <c r="O14" s="68"/>
      <c r="P14" s="78"/>
      <c r="Q14" s="67"/>
      <c r="R14" s="71"/>
      <c r="S14" s="68"/>
      <c r="T14" s="66"/>
      <c r="U14" s="67"/>
      <c r="V14" s="63"/>
      <c r="W14" s="68"/>
      <c r="X14" s="78"/>
      <c r="Y14" s="124"/>
      <c r="Z14" s="71"/>
      <c r="AA14" s="99"/>
      <c r="AB14" s="78"/>
      <c r="AC14" s="67"/>
      <c r="AD14" s="63"/>
      <c r="AE14" s="68"/>
      <c r="AF14" s="78"/>
      <c r="AG14" s="67"/>
      <c r="AH14" s="100"/>
      <c r="AI14" s="68"/>
      <c r="AJ14" s="101"/>
      <c r="AK14" s="67"/>
      <c r="AL14" s="102"/>
      <c r="AM14" s="99"/>
      <c r="AN14" s="101"/>
      <c r="AO14" s="103"/>
      <c r="AP14" s="102"/>
      <c r="AQ14" s="99"/>
      <c r="AR14" s="101"/>
      <c r="AS14" s="67"/>
      <c r="AT14" s="102"/>
      <c r="AU14" s="99"/>
      <c r="AV14" s="101"/>
      <c r="AW14" s="103"/>
      <c r="AX14" s="102"/>
      <c r="AY14" s="99"/>
      <c r="AZ14" s="125"/>
      <c r="BA14" s="70"/>
      <c r="BB14" s="70"/>
      <c r="BC14" s="79"/>
      <c r="BD14" s="70"/>
    </row>
    <row r="15" ht="21.75" customHeight="1">
      <c r="A15" s="113">
        <v>114.0</v>
      </c>
      <c r="B15" s="81" t="str">
        <f>VLOOKUP($A15,LocalisationRemorque,2,0)</f>
        <v>Perwez</v>
      </c>
      <c r="C15" s="82" t="str">
        <f>VLOOKUP($A15,LocalisationRemorque,3,0)</f>
        <v>Sortie E411</v>
      </c>
      <c r="D15" s="83" t="str">
        <f>CONCATENATE(VLOOKUP($A15,LocalisationRemorque,6,0)," ► ",VLOOKUP($A15,LocalisationRemorque,5,0))</f>
        <v>E411 ► Jodoigne</v>
      </c>
      <c r="E15" s="84" t="s">
        <v>25</v>
      </c>
      <c r="F15" s="85" t="s">
        <v>26</v>
      </c>
      <c r="G15" s="109"/>
      <c r="H15" s="90"/>
      <c r="I15" s="84"/>
      <c r="J15" s="85"/>
      <c r="K15" s="86"/>
      <c r="L15" s="85"/>
      <c r="M15" s="84"/>
      <c r="N15" s="85"/>
      <c r="O15" s="86"/>
      <c r="P15" s="87"/>
      <c r="Q15" s="84"/>
      <c r="R15" s="89"/>
      <c r="S15" s="86"/>
      <c r="T15" s="90"/>
      <c r="U15" s="84"/>
      <c r="V15" s="85"/>
      <c r="W15" s="86"/>
      <c r="X15" s="87"/>
      <c r="Y15" s="84"/>
      <c r="Z15" s="89"/>
      <c r="AA15" s="91"/>
      <c r="AB15" s="87"/>
      <c r="AC15" s="84"/>
      <c r="AD15" s="85"/>
      <c r="AE15" s="86"/>
      <c r="AF15" s="87"/>
      <c r="AG15" s="84"/>
      <c r="AH15" s="92"/>
      <c r="AI15" s="86"/>
      <c r="AJ15" s="93"/>
      <c r="AK15" s="126"/>
      <c r="AL15" s="94"/>
      <c r="AM15" s="91"/>
      <c r="AN15" s="93"/>
      <c r="AO15" s="84"/>
      <c r="AP15" s="94"/>
      <c r="AQ15" s="86"/>
      <c r="AR15" s="93"/>
      <c r="AS15" s="84"/>
      <c r="AT15" s="94"/>
      <c r="AU15" s="91"/>
      <c r="AV15" s="93"/>
      <c r="AW15" s="110"/>
      <c r="AX15" s="94"/>
      <c r="AY15" s="91"/>
      <c r="AZ15" s="122"/>
      <c r="BA15" s="127"/>
      <c r="BB15" s="127"/>
      <c r="BC15" s="128"/>
      <c r="BD15" s="127"/>
    </row>
    <row r="16" ht="21.75" customHeight="1">
      <c r="A16" s="129"/>
      <c r="B16" s="130"/>
      <c r="C16" s="131"/>
      <c r="D16" s="132"/>
      <c r="E16" s="133"/>
      <c r="F16" s="134"/>
      <c r="G16" s="135"/>
      <c r="H16" s="136"/>
      <c r="I16" s="137"/>
      <c r="J16" s="134"/>
      <c r="K16" s="138"/>
      <c r="L16" s="134"/>
      <c r="M16" s="133"/>
      <c r="N16" s="139"/>
      <c r="O16" s="140"/>
      <c r="P16" s="141"/>
      <c r="Q16" s="137"/>
      <c r="R16" s="142"/>
      <c r="S16" s="138"/>
      <c r="T16" s="136"/>
      <c r="U16" s="137"/>
      <c r="V16" s="134"/>
      <c r="W16" s="138"/>
      <c r="X16" s="136"/>
      <c r="Y16" s="143"/>
      <c r="Z16" s="142"/>
      <c r="AA16" s="144"/>
      <c r="AB16" s="145"/>
      <c r="AC16" s="133"/>
      <c r="AD16" s="139"/>
      <c r="AE16" s="140"/>
      <c r="AF16" s="141"/>
      <c r="AG16" s="137"/>
      <c r="AH16" s="146"/>
      <c r="AI16" s="138"/>
      <c r="AJ16" s="147"/>
      <c r="AK16" s="148"/>
      <c r="AL16" s="149"/>
      <c r="AM16" s="150"/>
      <c r="AN16" s="151"/>
      <c r="AO16" s="148"/>
      <c r="AP16" s="149"/>
      <c r="AQ16" s="150"/>
      <c r="AR16" s="151"/>
      <c r="AS16" s="137"/>
      <c r="AT16" s="152"/>
      <c r="AU16" s="144"/>
      <c r="AV16" s="151"/>
      <c r="AW16" s="148"/>
      <c r="AX16" s="149"/>
      <c r="AY16" s="150"/>
      <c r="AZ16" s="151"/>
      <c r="BA16" s="120"/>
      <c r="BB16" s="120"/>
      <c r="BC16" s="153"/>
      <c r="BD16" s="120"/>
    </row>
    <row r="17" ht="21.75" hidden="1" customHeight="1">
      <c r="A17" s="129"/>
      <c r="B17" s="130"/>
      <c r="C17" s="131"/>
      <c r="D17" s="132"/>
      <c r="E17" s="133"/>
      <c r="F17" s="134"/>
      <c r="G17" s="135"/>
      <c r="H17" s="136"/>
      <c r="I17" s="137"/>
      <c r="J17" s="134"/>
      <c r="K17" s="138"/>
      <c r="L17" s="134"/>
      <c r="M17" s="133"/>
      <c r="N17" s="139"/>
      <c r="O17" s="140"/>
      <c r="P17" s="141"/>
      <c r="Q17" s="137"/>
      <c r="R17" s="142"/>
      <c r="S17" s="138"/>
      <c r="T17" s="136"/>
      <c r="U17" s="137"/>
      <c r="V17" s="134"/>
      <c r="W17" s="138"/>
      <c r="X17" s="136"/>
      <c r="Y17" s="143"/>
      <c r="Z17" s="142"/>
      <c r="AA17" s="144"/>
      <c r="AB17" s="145"/>
      <c r="AC17" s="133"/>
      <c r="AD17" s="139"/>
      <c r="AE17" s="140"/>
      <c r="AF17" s="141"/>
      <c r="AG17" s="137"/>
      <c r="AH17" s="146"/>
      <c r="AI17" s="138"/>
      <c r="AJ17" s="147"/>
      <c r="AK17" s="148"/>
      <c r="AL17" s="149"/>
      <c r="AM17" s="150"/>
      <c r="AN17" s="151"/>
      <c r="AO17" s="148"/>
      <c r="AP17" s="149"/>
      <c r="AQ17" s="150"/>
      <c r="AR17" s="151"/>
      <c r="AS17" s="137"/>
      <c r="AT17" s="152"/>
      <c r="AU17" s="144"/>
      <c r="AV17" s="151"/>
      <c r="AW17" s="148"/>
      <c r="AX17" s="149"/>
      <c r="AY17" s="150"/>
      <c r="AZ17" s="151"/>
      <c r="BA17" s="120"/>
      <c r="BB17" s="120"/>
      <c r="BC17" s="153"/>
      <c r="BD17" s="120"/>
    </row>
    <row r="18" ht="21.75" hidden="1" customHeight="1">
      <c r="A18" s="129"/>
      <c r="B18" s="130"/>
      <c r="C18" s="131"/>
      <c r="D18" s="132"/>
      <c r="E18" s="133"/>
      <c r="F18" s="134"/>
      <c r="G18" s="135"/>
      <c r="H18" s="136"/>
      <c r="I18" s="137"/>
      <c r="J18" s="134"/>
      <c r="K18" s="138"/>
      <c r="L18" s="134"/>
      <c r="M18" s="133"/>
      <c r="N18" s="139"/>
      <c r="O18" s="140"/>
      <c r="P18" s="141"/>
      <c r="Q18" s="137"/>
      <c r="R18" s="142"/>
      <c r="S18" s="138"/>
      <c r="T18" s="136"/>
      <c r="U18" s="137"/>
      <c r="V18" s="134"/>
      <c r="W18" s="138"/>
      <c r="X18" s="136"/>
      <c r="Y18" s="143"/>
      <c r="Z18" s="142"/>
      <c r="AA18" s="144"/>
      <c r="AB18" s="145"/>
      <c r="AC18" s="133"/>
      <c r="AD18" s="139"/>
      <c r="AE18" s="140"/>
      <c r="AF18" s="141"/>
      <c r="AG18" s="137"/>
      <c r="AH18" s="146"/>
      <c r="AI18" s="138"/>
      <c r="AJ18" s="147"/>
      <c r="AK18" s="148"/>
      <c r="AL18" s="149"/>
      <c r="AM18" s="150"/>
      <c r="AN18" s="151"/>
      <c r="AO18" s="148"/>
      <c r="AP18" s="149"/>
      <c r="AQ18" s="150"/>
      <c r="AR18" s="151"/>
      <c r="AS18" s="137"/>
      <c r="AT18" s="152"/>
      <c r="AU18" s="144"/>
      <c r="AV18" s="151"/>
      <c r="AW18" s="148"/>
      <c r="AX18" s="149"/>
      <c r="AY18" s="150"/>
      <c r="AZ18" s="151"/>
      <c r="BA18" s="120"/>
      <c r="BB18" s="120"/>
      <c r="BC18" s="153"/>
      <c r="BD18" s="120"/>
    </row>
    <row r="19" ht="21.75" hidden="1" customHeight="1">
      <c r="A19" s="129"/>
      <c r="B19" s="130"/>
      <c r="C19" s="131"/>
      <c r="D19" s="132"/>
      <c r="E19" s="133"/>
      <c r="F19" s="134"/>
      <c r="G19" s="135"/>
      <c r="H19" s="136"/>
      <c r="I19" s="137"/>
      <c r="J19" s="134"/>
      <c r="K19" s="138"/>
      <c r="L19" s="134"/>
      <c r="M19" s="133"/>
      <c r="N19" s="139"/>
      <c r="O19" s="140"/>
      <c r="P19" s="141"/>
      <c r="Q19" s="137"/>
      <c r="R19" s="142"/>
      <c r="S19" s="138"/>
      <c r="T19" s="136"/>
      <c r="U19" s="137"/>
      <c r="V19" s="134"/>
      <c r="W19" s="138"/>
      <c r="X19" s="136"/>
      <c r="Y19" s="143"/>
      <c r="Z19" s="142"/>
      <c r="AA19" s="144"/>
      <c r="AB19" s="145"/>
      <c r="AC19" s="133"/>
      <c r="AD19" s="139"/>
      <c r="AE19" s="140"/>
      <c r="AF19" s="141"/>
      <c r="AG19" s="137"/>
      <c r="AH19" s="146"/>
      <c r="AI19" s="138"/>
      <c r="AJ19" s="147"/>
      <c r="AK19" s="148"/>
      <c r="AL19" s="149"/>
      <c r="AM19" s="150"/>
      <c r="AN19" s="151"/>
      <c r="AO19" s="148"/>
      <c r="AP19" s="149"/>
      <c r="AQ19" s="150"/>
      <c r="AR19" s="151"/>
      <c r="AS19" s="137"/>
      <c r="AT19" s="152"/>
      <c r="AU19" s="144"/>
      <c r="AV19" s="151"/>
      <c r="AW19" s="148"/>
      <c r="AX19" s="149"/>
      <c r="AY19" s="150"/>
      <c r="AZ19" s="151"/>
      <c r="BA19" s="120"/>
      <c r="BB19" s="120"/>
      <c r="BC19" s="153"/>
      <c r="BD19" s="120"/>
    </row>
    <row r="20" ht="21.75" hidden="1" customHeight="1">
      <c r="A20" s="129"/>
      <c r="B20" s="130"/>
      <c r="C20" s="131"/>
      <c r="D20" s="132"/>
      <c r="E20" s="133"/>
      <c r="F20" s="134"/>
      <c r="G20" s="135"/>
      <c r="H20" s="136"/>
      <c r="I20" s="137"/>
      <c r="J20" s="134"/>
      <c r="K20" s="138"/>
      <c r="L20" s="134"/>
      <c r="M20" s="133"/>
      <c r="N20" s="139"/>
      <c r="O20" s="140"/>
      <c r="P20" s="141"/>
      <c r="Q20" s="137"/>
      <c r="R20" s="142"/>
      <c r="S20" s="138"/>
      <c r="T20" s="136"/>
      <c r="U20" s="137"/>
      <c r="V20" s="134"/>
      <c r="W20" s="138"/>
      <c r="X20" s="136"/>
      <c r="Y20" s="143"/>
      <c r="Z20" s="142"/>
      <c r="AA20" s="144"/>
      <c r="AB20" s="145"/>
      <c r="AC20" s="133"/>
      <c r="AD20" s="139"/>
      <c r="AE20" s="140"/>
      <c r="AF20" s="141"/>
      <c r="AG20" s="137"/>
      <c r="AH20" s="146"/>
      <c r="AI20" s="138"/>
      <c r="AJ20" s="147"/>
      <c r="AK20" s="148"/>
      <c r="AL20" s="149"/>
      <c r="AM20" s="150"/>
      <c r="AN20" s="151"/>
      <c r="AO20" s="148"/>
      <c r="AP20" s="149"/>
      <c r="AQ20" s="150"/>
      <c r="AR20" s="151"/>
      <c r="AS20" s="137"/>
      <c r="AT20" s="152"/>
      <c r="AU20" s="144"/>
      <c r="AV20" s="151"/>
      <c r="AW20" s="148"/>
      <c r="AX20" s="149"/>
      <c r="AY20" s="150"/>
      <c r="AZ20" s="151"/>
      <c r="BA20" s="120"/>
      <c r="BB20" s="120"/>
      <c r="BC20" s="153"/>
      <c r="BD20" s="120"/>
    </row>
    <row r="21" ht="21.75" hidden="1" customHeight="1">
      <c r="A21" s="129"/>
      <c r="B21" s="130"/>
      <c r="C21" s="131"/>
      <c r="D21" s="132"/>
      <c r="E21" s="133"/>
      <c r="F21" s="134"/>
      <c r="G21" s="135"/>
      <c r="H21" s="136"/>
      <c r="I21" s="137"/>
      <c r="J21" s="134"/>
      <c r="K21" s="138"/>
      <c r="L21" s="134"/>
      <c r="M21" s="133"/>
      <c r="N21" s="139"/>
      <c r="O21" s="140"/>
      <c r="P21" s="141"/>
      <c r="Q21" s="137"/>
      <c r="R21" s="142"/>
      <c r="S21" s="138"/>
      <c r="T21" s="136"/>
      <c r="U21" s="137"/>
      <c r="V21" s="134"/>
      <c r="W21" s="138"/>
      <c r="X21" s="136"/>
      <c r="Y21" s="143"/>
      <c r="Z21" s="142"/>
      <c r="AA21" s="144"/>
      <c r="AB21" s="145"/>
      <c r="AC21" s="133"/>
      <c r="AD21" s="139"/>
      <c r="AE21" s="140"/>
      <c r="AF21" s="141"/>
      <c r="AG21" s="137"/>
      <c r="AH21" s="146"/>
      <c r="AI21" s="138"/>
      <c r="AJ21" s="147"/>
      <c r="AK21" s="148"/>
      <c r="AL21" s="149"/>
      <c r="AM21" s="150"/>
      <c r="AN21" s="151"/>
      <c r="AO21" s="148"/>
      <c r="AP21" s="149"/>
      <c r="AQ21" s="150"/>
      <c r="AR21" s="151"/>
      <c r="AS21" s="137"/>
      <c r="AT21" s="152"/>
      <c r="AU21" s="144"/>
      <c r="AV21" s="151"/>
      <c r="AW21" s="148"/>
      <c r="AX21" s="149"/>
      <c r="AY21" s="150"/>
      <c r="AZ21" s="151"/>
      <c r="BA21" s="120"/>
      <c r="BB21" s="120"/>
      <c r="BC21" s="153"/>
      <c r="BD21" s="120"/>
    </row>
    <row r="22" ht="21.75" hidden="1" customHeight="1">
      <c r="A22" s="129"/>
      <c r="B22" s="130"/>
      <c r="C22" s="131"/>
      <c r="D22" s="132"/>
      <c r="E22" s="133"/>
      <c r="F22" s="134"/>
      <c r="G22" s="135"/>
      <c r="H22" s="136"/>
      <c r="I22" s="137"/>
      <c r="J22" s="134"/>
      <c r="K22" s="138"/>
      <c r="L22" s="134"/>
      <c r="M22" s="133"/>
      <c r="N22" s="139"/>
      <c r="O22" s="140"/>
      <c r="P22" s="141"/>
      <c r="Q22" s="137"/>
      <c r="R22" s="142"/>
      <c r="S22" s="138"/>
      <c r="T22" s="136"/>
      <c r="U22" s="137"/>
      <c r="V22" s="134"/>
      <c r="W22" s="138"/>
      <c r="X22" s="136"/>
      <c r="Y22" s="143"/>
      <c r="Z22" s="142"/>
      <c r="AA22" s="144"/>
      <c r="AB22" s="145"/>
      <c r="AC22" s="133"/>
      <c r="AD22" s="139"/>
      <c r="AE22" s="140"/>
      <c r="AF22" s="141"/>
      <c r="AG22" s="137"/>
      <c r="AH22" s="146"/>
      <c r="AI22" s="138"/>
      <c r="AJ22" s="147"/>
      <c r="AK22" s="148"/>
      <c r="AL22" s="149"/>
      <c r="AM22" s="150"/>
      <c r="AN22" s="151"/>
      <c r="AO22" s="148"/>
      <c r="AP22" s="149"/>
      <c r="AQ22" s="150"/>
      <c r="AR22" s="151"/>
      <c r="AS22" s="137"/>
      <c r="AT22" s="152"/>
      <c r="AU22" s="144"/>
      <c r="AV22" s="151"/>
      <c r="AW22" s="148"/>
      <c r="AX22" s="149"/>
      <c r="AY22" s="150"/>
      <c r="AZ22" s="151"/>
      <c r="BA22" s="120"/>
      <c r="BB22" s="120"/>
      <c r="BC22" s="153"/>
      <c r="BD22" s="120"/>
    </row>
    <row r="23" ht="21.75" hidden="1" customHeight="1">
      <c r="A23" s="129"/>
      <c r="B23" s="130"/>
      <c r="C23" s="131"/>
      <c r="D23" s="132"/>
      <c r="E23" s="133"/>
      <c r="F23" s="134"/>
      <c r="G23" s="135"/>
      <c r="H23" s="136"/>
      <c r="I23" s="137"/>
      <c r="J23" s="134"/>
      <c r="K23" s="138"/>
      <c r="L23" s="134"/>
      <c r="M23" s="133"/>
      <c r="N23" s="139"/>
      <c r="O23" s="140"/>
      <c r="P23" s="141"/>
      <c r="Q23" s="137"/>
      <c r="R23" s="142"/>
      <c r="S23" s="138"/>
      <c r="T23" s="136"/>
      <c r="U23" s="137"/>
      <c r="V23" s="134"/>
      <c r="W23" s="138"/>
      <c r="X23" s="136"/>
      <c r="Y23" s="143"/>
      <c r="Z23" s="142"/>
      <c r="AA23" s="144"/>
      <c r="AB23" s="145"/>
      <c r="AC23" s="133"/>
      <c r="AD23" s="139"/>
      <c r="AE23" s="140"/>
      <c r="AF23" s="141"/>
      <c r="AG23" s="137"/>
      <c r="AH23" s="146"/>
      <c r="AI23" s="138"/>
      <c r="AJ23" s="147"/>
      <c r="AK23" s="148"/>
      <c r="AL23" s="149"/>
      <c r="AM23" s="150"/>
      <c r="AN23" s="151"/>
      <c r="AO23" s="148"/>
      <c r="AP23" s="149"/>
      <c r="AQ23" s="150"/>
      <c r="AR23" s="151"/>
      <c r="AS23" s="137"/>
      <c r="AT23" s="152"/>
      <c r="AU23" s="144"/>
      <c r="AV23" s="151"/>
      <c r="AW23" s="148"/>
      <c r="AX23" s="149"/>
      <c r="AY23" s="150"/>
      <c r="AZ23" s="151"/>
      <c r="BA23" s="120"/>
      <c r="BB23" s="120"/>
      <c r="BC23" s="153"/>
      <c r="BD23" s="120"/>
    </row>
    <row r="24" ht="21.75" hidden="1" customHeight="1">
      <c r="A24" s="129"/>
      <c r="B24" s="130"/>
      <c r="C24" s="131"/>
      <c r="D24" s="132"/>
      <c r="E24" s="133"/>
      <c r="F24" s="134"/>
      <c r="G24" s="135"/>
      <c r="H24" s="136"/>
      <c r="I24" s="137"/>
      <c r="J24" s="134"/>
      <c r="K24" s="138"/>
      <c r="L24" s="134"/>
      <c r="M24" s="133"/>
      <c r="N24" s="139"/>
      <c r="O24" s="140"/>
      <c r="P24" s="141"/>
      <c r="Q24" s="137"/>
      <c r="R24" s="142"/>
      <c r="S24" s="138"/>
      <c r="T24" s="136"/>
      <c r="U24" s="137"/>
      <c r="V24" s="134"/>
      <c r="W24" s="138"/>
      <c r="X24" s="136"/>
      <c r="Y24" s="143"/>
      <c r="Z24" s="142"/>
      <c r="AA24" s="144"/>
      <c r="AB24" s="145"/>
      <c r="AC24" s="133"/>
      <c r="AD24" s="139"/>
      <c r="AE24" s="140"/>
      <c r="AF24" s="141"/>
      <c r="AG24" s="137"/>
      <c r="AH24" s="146"/>
      <c r="AI24" s="138"/>
      <c r="AJ24" s="147"/>
      <c r="AK24" s="148"/>
      <c r="AL24" s="149"/>
      <c r="AM24" s="150"/>
      <c r="AN24" s="151"/>
      <c r="AO24" s="148"/>
      <c r="AP24" s="149"/>
      <c r="AQ24" s="150"/>
      <c r="AR24" s="151"/>
      <c r="AS24" s="137"/>
      <c r="AT24" s="152"/>
      <c r="AU24" s="144"/>
      <c r="AV24" s="151"/>
      <c r="AW24" s="148"/>
      <c r="AX24" s="149"/>
      <c r="AY24" s="150"/>
      <c r="AZ24" s="151"/>
      <c r="BA24" s="120"/>
      <c r="BB24" s="120"/>
      <c r="BC24" s="153"/>
      <c r="BD24" s="120"/>
    </row>
    <row r="25" ht="21.75" hidden="1" customHeight="1">
      <c r="A25" s="129"/>
      <c r="B25" s="130"/>
      <c r="C25" s="131"/>
      <c r="D25" s="132"/>
      <c r="E25" s="133"/>
      <c r="F25" s="134"/>
      <c r="G25" s="135"/>
      <c r="H25" s="136"/>
      <c r="I25" s="137"/>
      <c r="J25" s="134"/>
      <c r="K25" s="138"/>
      <c r="L25" s="134"/>
      <c r="M25" s="133"/>
      <c r="N25" s="139"/>
      <c r="O25" s="140"/>
      <c r="P25" s="141"/>
      <c r="Q25" s="137"/>
      <c r="R25" s="142"/>
      <c r="S25" s="138"/>
      <c r="T25" s="136"/>
      <c r="U25" s="137"/>
      <c r="V25" s="134"/>
      <c r="W25" s="138"/>
      <c r="X25" s="136"/>
      <c r="Y25" s="143"/>
      <c r="Z25" s="142"/>
      <c r="AA25" s="144"/>
      <c r="AB25" s="145"/>
      <c r="AC25" s="133"/>
      <c r="AD25" s="139"/>
      <c r="AE25" s="140"/>
      <c r="AF25" s="141"/>
      <c r="AG25" s="137"/>
      <c r="AH25" s="146"/>
      <c r="AI25" s="138"/>
      <c r="AJ25" s="147"/>
      <c r="AK25" s="148"/>
      <c r="AL25" s="149"/>
      <c r="AM25" s="150"/>
      <c r="AN25" s="151"/>
      <c r="AO25" s="148"/>
      <c r="AP25" s="149"/>
      <c r="AQ25" s="150"/>
      <c r="AR25" s="151"/>
      <c r="AS25" s="137"/>
      <c r="AT25" s="152"/>
      <c r="AU25" s="144"/>
      <c r="AV25" s="151"/>
      <c r="AW25" s="148"/>
      <c r="AX25" s="149"/>
      <c r="AY25" s="150"/>
      <c r="AZ25" s="151"/>
      <c r="BA25" s="120"/>
      <c r="BB25" s="120"/>
      <c r="BC25" s="153"/>
      <c r="BD25" s="120"/>
    </row>
    <row r="26" ht="21.75" customHeight="1">
      <c r="A26" s="154">
        <v>201.0</v>
      </c>
      <c r="B26" s="56" t="str">
        <f>VLOOKUP($A26,LocalisationRemorque,2,0)</f>
        <v>Hannut</v>
      </c>
      <c r="C26" s="57" t="str">
        <f>VLOOKUP($A26,LocalisationRemorque,3,0)</f>
        <v>Hannut-Saint Trond</v>
      </c>
      <c r="D26" s="59" t="str">
        <f>CONCATENATE(VLOOKUP($A26,LocalisationRemorque,6,0)," ► ",VLOOKUP($A26,LocalisationRemorque,5,0))</f>
        <v>Hannut ► Saint-Trond</v>
      </c>
      <c r="E26" s="67"/>
      <c r="F26" s="63"/>
      <c r="G26" s="64"/>
      <c r="H26" s="66"/>
      <c r="I26" s="67"/>
      <c r="J26" s="63"/>
      <c r="K26" s="68"/>
      <c r="L26" s="63"/>
      <c r="M26" s="67"/>
      <c r="N26" s="63"/>
      <c r="O26" s="68"/>
      <c r="P26" s="78"/>
      <c r="Q26" s="67"/>
      <c r="R26" s="71"/>
      <c r="S26" s="68"/>
      <c r="T26" s="78"/>
      <c r="U26" s="68"/>
      <c r="V26" s="63"/>
      <c r="W26" s="68"/>
      <c r="X26" s="78"/>
      <c r="Y26" s="61"/>
      <c r="Z26" s="71"/>
      <c r="AA26" s="99"/>
      <c r="AB26" s="78"/>
      <c r="AC26" s="67"/>
      <c r="AD26" s="63"/>
      <c r="AE26" s="99"/>
      <c r="AF26" s="101"/>
      <c r="AG26" s="67"/>
      <c r="AH26" s="100"/>
      <c r="AI26" s="68"/>
      <c r="AJ26" s="101"/>
      <c r="AK26" s="67"/>
      <c r="AL26" s="102"/>
      <c r="AM26" s="99"/>
      <c r="AN26" s="101"/>
      <c r="AO26" s="67"/>
      <c r="AP26" s="63"/>
      <c r="AQ26" s="68"/>
      <c r="AR26" s="101"/>
      <c r="AS26" s="67"/>
      <c r="AT26" s="102"/>
      <c r="AU26" s="99"/>
      <c r="AV26" s="101"/>
      <c r="AW26" s="156"/>
      <c r="AX26" s="100"/>
      <c r="AY26" s="99"/>
      <c r="AZ26" s="101"/>
      <c r="BA26" s="70"/>
      <c r="BB26" s="70"/>
      <c r="BC26" s="79"/>
      <c r="BD26" s="70"/>
    </row>
    <row r="27" ht="21.75" customHeight="1">
      <c r="A27" s="80">
        <v>202.0</v>
      </c>
      <c r="B27" s="81" t="str">
        <f>VLOOKUP($A27,LocalisationRemorque,2,0)</f>
        <v>Hannut</v>
      </c>
      <c r="C27" s="82" t="str">
        <f>VLOOKUP($A27,LocalisationRemorque,3,0)</f>
        <v>Braives</v>
      </c>
      <c r="D27" s="83" t="str">
        <f>CONCATENATE(VLOOKUP($A27,LocalisationRemorque,6,0)," ► ",VLOOKUP($A27,LocalisationRemorque,5,0))</f>
        <v>Hannut ► E42</v>
      </c>
      <c r="E27" s="84"/>
      <c r="F27" s="85"/>
      <c r="G27" s="109"/>
      <c r="H27" s="90"/>
      <c r="I27" s="84"/>
      <c r="J27" s="85"/>
      <c r="K27" s="86"/>
      <c r="L27" s="85"/>
      <c r="M27" s="84"/>
      <c r="N27" s="85"/>
      <c r="O27" s="86"/>
      <c r="P27" s="87"/>
      <c r="Q27" s="84"/>
      <c r="R27" s="85"/>
      <c r="S27" s="86"/>
      <c r="T27" s="87"/>
      <c r="U27" s="86"/>
      <c r="V27" s="85"/>
      <c r="W27" s="86"/>
      <c r="X27" s="122"/>
      <c r="Y27" s="107"/>
      <c r="Z27" s="89"/>
      <c r="AA27" s="91"/>
      <c r="AB27" s="87"/>
      <c r="AC27" s="84"/>
      <c r="AD27" s="94"/>
      <c r="AE27" s="96"/>
      <c r="AF27" s="122"/>
      <c r="AG27" s="84"/>
      <c r="AH27" s="92"/>
      <c r="AI27" s="86"/>
      <c r="AJ27" s="93"/>
      <c r="AK27" s="84"/>
      <c r="AL27" s="94"/>
      <c r="AM27" s="91"/>
      <c r="AN27" s="122"/>
      <c r="AO27" s="84"/>
      <c r="AP27" s="94"/>
      <c r="AQ27" s="91"/>
      <c r="AR27" s="93"/>
      <c r="AS27" s="84"/>
      <c r="AT27" s="94"/>
      <c r="AU27" s="91"/>
      <c r="AV27" s="122"/>
      <c r="AW27" s="84"/>
      <c r="AX27" s="94"/>
      <c r="AY27" s="91"/>
      <c r="AZ27" s="93"/>
      <c r="BA27" s="77"/>
      <c r="BB27" s="77"/>
      <c r="BC27" s="97"/>
      <c r="BD27" s="77"/>
    </row>
    <row r="28" ht="21.75" customHeight="1">
      <c r="A28" s="111">
        <v>203.0</v>
      </c>
      <c r="B28" s="56" t="str">
        <f>VLOOKUP($A28,LocalisationRemorque,2,0)</f>
        <v>Huy</v>
      </c>
      <c r="C28" s="57" t="str">
        <f>VLOOKUP($A28,LocalisationRemorque,3,0)</f>
        <v>Wanze</v>
      </c>
      <c r="D28" s="59" t="str">
        <f>CONCATENATE(VLOOKUP($A28,LocalisationRemorque,6,0)," ► ",VLOOKUP($A28,LocalisationRemorque,5,0))</f>
        <v>Éghezée ► E42</v>
      </c>
      <c r="E28" s="67" t="s">
        <v>19</v>
      </c>
      <c r="F28" s="63"/>
      <c r="G28" s="64"/>
      <c r="H28" s="66"/>
      <c r="I28" s="67" t="s">
        <v>19</v>
      </c>
      <c r="J28" s="63"/>
      <c r="K28" s="68"/>
      <c r="L28" s="63"/>
      <c r="M28" s="67" t="s">
        <v>19</v>
      </c>
      <c r="N28" s="63"/>
      <c r="O28" s="68"/>
      <c r="P28" s="78"/>
      <c r="Q28" s="67" t="s">
        <v>19</v>
      </c>
      <c r="R28" s="63"/>
      <c r="S28" s="68"/>
      <c r="T28" s="78"/>
      <c r="U28" s="67" t="s">
        <v>19</v>
      </c>
      <c r="V28" s="63"/>
      <c r="W28" s="68"/>
      <c r="X28" s="78"/>
      <c r="Y28" s="67"/>
      <c r="Z28" s="71"/>
      <c r="AA28" s="99"/>
      <c r="AB28" s="101"/>
      <c r="AC28" s="67"/>
      <c r="AD28" s="102"/>
      <c r="AE28" s="99"/>
      <c r="AF28" s="101"/>
      <c r="AG28" s="67"/>
      <c r="AH28" s="100"/>
      <c r="AI28" s="68"/>
      <c r="AJ28" s="101"/>
      <c r="AK28" s="103"/>
      <c r="AL28" s="102"/>
      <c r="AM28" s="99"/>
      <c r="AN28" s="101"/>
      <c r="AO28" s="67"/>
      <c r="AP28" s="102"/>
      <c r="AQ28" s="99"/>
      <c r="AR28" s="101"/>
      <c r="AS28" s="67"/>
      <c r="AT28" s="102"/>
      <c r="AU28" s="99"/>
      <c r="AV28" s="101"/>
      <c r="AW28" s="67"/>
      <c r="AX28" s="102"/>
      <c r="AY28" s="99"/>
      <c r="AZ28" s="101"/>
      <c r="BA28" s="70" t="s">
        <v>17</v>
      </c>
      <c r="BB28" s="70"/>
      <c r="BC28" s="157" t="s">
        <v>28</v>
      </c>
      <c r="BD28" s="70"/>
    </row>
    <row r="29" ht="21.75" customHeight="1">
      <c r="A29" s="80">
        <v>204.0</v>
      </c>
      <c r="B29" s="81" t="str">
        <f>VLOOKUP($A29,LocalisationRemorque,2,0)</f>
        <v>Huy</v>
      </c>
      <c r="C29" s="82" t="str">
        <f>VLOOKUP($A29,LocalisationRemorque,3,0)</f>
        <v>Vinalmont</v>
      </c>
      <c r="D29" s="83" t="str">
        <f>CONCATENATE(VLOOKUP($A29,LocalisationRemorque,6,0)," ► ",VLOOKUP($A29,LocalisationRemorque,5,0))</f>
        <v>Huy ► E42</v>
      </c>
      <c r="E29" s="84" t="s">
        <v>19</v>
      </c>
      <c r="F29" s="85"/>
      <c r="G29" s="109"/>
      <c r="H29" s="90"/>
      <c r="I29" s="84" t="s">
        <v>19</v>
      </c>
      <c r="J29" s="85"/>
      <c r="K29" s="86"/>
      <c r="L29" s="85"/>
      <c r="M29" s="84" t="s">
        <v>19</v>
      </c>
      <c r="N29" s="85"/>
      <c r="O29" s="86"/>
      <c r="P29" s="87"/>
      <c r="Q29" s="84" t="s">
        <v>19</v>
      </c>
      <c r="R29" s="85"/>
      <c r="S29" s="86"/>
      <c r="T29" s="87"/>
      <c r="U29" s="84" t="s">
        <v>19</v>
      </c>
      <c r="V29" s="85"/>
      <c r="W29" s="86"/>
      <c r="X29" s="87"/>
      <c r="Y29" s="84"/>
      <c r="Z29" s="89"/>
      <c r="AA29" s="91"/>
      <c r="AB29" s="93"/>
      <c r="AC29" s="107"/>
      <c r="AD29" s="94"/>
      <c r="AE29" s="91"/>
      <c r="AF29" s="93"/>
      <c r="AG29" s="84"/>
      <c r="AH29" s="94"/>
      <c r="AI29" s="91"/>
      <c r="AJ29" s="93"/>
      <c r="AK29" s="84"/>
      <c r="AL29" s="94"/>
      <c r="AM29" s="91"/>
      <c r="AN29" s="93"/>
      <c r="AO29" s="84"/>
      <c r="AP29" s="94"/>
      <c r="AQ29" s="91"/>
      <c r="AR29" s="93"/>
      <c r="AS29" s="84"/>
      <c r="AT29" s="94"/>
      <c r="AU29" s="91"/>
      <c r="AV29" s="93"/>
      <c r="AW29" s="84"/>
      <c r="AX29" s="94"/>
      <c r="AY29" s="91"/>
      <c r="AZ29" s="93"/>
      <c r="BA29" s="77" t="s">
        <v>17</v>
      </c>
      <c r="BB29" s="77"/>
      <c r="BC29" s="159" t="s">
        <v>28</v>
      </c>
      <c r="BD29" s="77"/>
    </row>
    <row r="30" ht="21.75" customHeight="1">
      <c r="A30" s="111">
        <v>205.0</v>
      </c>
      <c r="B30" s="56" t="str">
        <f>VLOOKUP($A30,LocalisationRemorque,2,0)</f>
        <v>Huy</v>
      </c>
      <c r="C30" s="57" t="str">
        <f>VLOOKUP($A30,LocalisationRemorque,3,0)</f>
        <v>Villers-Le-Bouillet</v>
      </c>
      <c r="D30" s="59" t="str">
        <f>CONCATENATE(VLOOKUP($A30,LocalisationRemorque,6,0)," ► ",VLOOKUP($A30,LocalisationRemorque,5,0))</f>
        <v>Huy ► E42</v>
      </c>
      <c r="E30" s="67" t="s">
        <v>19</v>
      </c>
      <c r="F30" s="63"/>
      <c r="G30" s="64"/>
      <c r="H30" s="66"/>
      <c r="I30" s="67" t="s">
        <v>19</v>
      </c>
      <c r="J30" s="63"/>
      <c r="K30" s="68"/>
      <c r="L30" s="63"/>
      <c r="M30" s="67" t="s">
        <v>19</v>
      </c>
      <c r="N30" s="63"/>
      <c r="O30" s="68"/>
      <c r="P30" s="78"/>
      <c r="Q30" s="67" t="s">
        <v>19</v>
      </c>
      <c r="R30" s="63"/>
      <c r="S30" s="68"/>
      <c r="T30" s="78"/>
      <c r="U30" s="67" t="s">
        <v>19</v>
      </c>
      <c r="V30" s="63"/>
      <c r="W30" s="68"/>
      <c r="X30" s="66"/>
      <c r="Y30" s="67"/>
      <c r="Z30" s="71"/>
      <c r="AA30" s="99"/>
      <c r="AB30" s="101"/>
      <c r="AC30" s="67"/>
      <c r="AD30" s="102"/>
      <c r="AE30" s="99"/>
      <c r="AF30" s="101"/>
      <c r="AG30" s="67"/>
      <c r="AH30" s="102"/>
      <c r="AI30" s="99"/>
      <c r="AJ30" s="101"/>
      <c r="AK30" s="67"/>
      <c r="AL30" s="100"/>
      <c r="AM30" s="160"/>
      <c r="AN30" s="101"/>
      <c r="AO30" s="67"/>
      <c r="AP30" s="102"/>
      <c r="AQ30" s="99"/>
      <c r="AR30" s="101"/>
      <c r="AS30" s="67"/>
      <c r="AT30" s="102"/>
      <c r="AU30" s="99"/>
      <c r="AV30" s="101"/>
      <c r="AW30" s="67"/>
      <c r="AX30" s="102"/>
      <c r="AY30" s="99"/>
      <c r="AZ30" s="101"/>
      <c r="BA30" s="70" t="s">
        <v>17</v>
      </c>
      <c r="BB30" s="70"/>
      <c r="BC30" s="157" t="s">
        <v>28</v>
      </c>
      <c r="BD30" s="70"/>
    </row>
    <row r="31" ht="21.75" customHeight="1">
      <c r="A31" s="80">
        <v>206.0</v>
      </c>
      <c r="B31" s="81" t="str">
        <f>VLOOKUP($A31,LocalisationRemorque,2,0)</f>
        <v>Huy</v>
      </c>
      <c r="C31" s="82" t="str">
        <f>VLOOKUP($A31,LocalisationRemorque,3,0)</f>
        <v>Ombret</v>
      </c>
      <c r="D31" s="83" t="str">
        <f>CONCATENATE(VLOOKUP($A31,LocalisationRemorque,6,0)," ► ",VLOOKUP($A31,LocalisationRemorque,5,0))</f>
        <v>Seraing ► Huy</v>
      </c>
      <c r="E31" s="84" t="s">
        <v>19</v>
      </c>
      <c r="F31" s="85"/>
      <c r="G31" s="109"/>
      <c r="H31" s="90"/>
      <c r="I31" s="84" t="s">
        <v>19</v>
      </c>
      <c r="J31" s="85"/>
      <c r="K31" s="86"/>
      <c r="L31" s="85"/>
      <c r="M31" s="84" t="s">
        <v>19</v>
      </c>
      <c r="N31" s="85"/>
      <c r="O31" s="95"/>
      <c r="P31" s="161"/>
      <c r="Q31" s="84" t="s">
        <v>19</v>
      </c>
      <c r="R31" s="85"/>
      <c r="S31" s="86"/>
      <c r="T31" s="90"/>
      <c r="U31" s="84" t="s">
        <v>19</v>
      </c>
      <c r="V31" s="85"/>
      <c r="W31" s="86"/>
      <c r="X31" s="90"/>
      <c r="Y31" s="84"/>
      <c r="Z31" s="89"/>
      <c r="AA31" s="91"/>
      <c r="AB31" s="93"/>
      <c r="AC31" s="107"/>
      <c r="AD31" s="94"/>
      <c r="AE31" s="91"/>
      <c r="AF31" s="93"/>
      <c r="AG31" s="110"/>
      <c r="AH31" s="94"/>
      <c r="AI31" s="91"/>
      <c r="AJ31" s="93"/>
      <c r="AK31" s="84"/>
      <c r="AL31" s="94"/>
      <c r="AM31" s="86"/>
      <c r="AN31" s="93"/>
      <c r="AO31" s="110"/>
      <c r="AP31" s="94"/>
      <c r="AQ31" s="91"/>
      <c r="AR31" s="93"/>
      <c r="AS31" s="84"/>
      <c r="AT31" s="94"/>
      <c r="AU31" s="91"/>
      <c r="AV31" s="93"/>
      <c r="AW31" s="84"/>
      <c r="AX31" s="94"/>
      <c r="AY31" s="91"/>
      <c r="AZ31" s="93"/>
      <c r="BA31" s="77" t="s">
        <v>17</v>
      </c>
      <c r="BB31" s="77"/>
      <c r="BC31" s="159" t="s">
        <v>28</v>
      </c>
      <c r="BD31" s="77"/>
    </row>
    <row r="32" ht="21.75" customHeight="1">
      <c r="A32" s="111">
        <v>207.0</v>
      </c>
      <c r="B32" s="56" t="str">
        <f>VLOOKUP($A32,LocalisationRemorque,2,0)</f>
        <v>Huy</v>
      </c>
      <c r="C32" s="57" t="str">
        <f>VLOOKUP($A32,LocalisationRemorque,3,0)</f>
        <v>Solière</v>
      </c>
      <c r="D32" s="59" t="str">
        <f>CONCATENATE(VLOOKUP($A32,LocalisationRemorque,6,0)," ► ",VLOOKUP($A32,LocalisationRemorque,5,0))</f>
        <v>Ohey ► Huy</v>
      </c>
      <c r="E32" s="67" t="s">
        <v>19</v>
      </c>
      <c r="F32" s="63"/>
      <c r="G32" s="64"/>
      <c r="H32" s="66"/>
      <c r="I32" s="67" t="s">
        <v>19</v>
      </c>
      <c r="J32" s="63"/>
      <c r="K32" s="68"/>
      <c r="L32" s="63"/>
      <c r="M32" s="67" t="s">
        <v>19</v>
      </c>
      <c r="N32" s="63"/>
      <c r="O32" s="68"/>
      <c r="P32" s="78"/>
      <c r="Q32" s="67" t="s">
        <v>19</v>
      </c>
      <c r="R32" s="63"/>
      <c r="S32" s="68"/>
      <c r="T32" s="78"/>
      <c r="U32" s="67" t="s">
        <v>19</v>
      </c>
      <c r="V32" s="63"/>
      <c r="W32" s="68"/>
      <c r="X32" s="66"/>
      <c r="Y32" s="67"/>
      <c r="Z32" s="71"/>
      <c r="AA32" s="99"/>
      <c r="AB32" s="101"/>
      <c r="AC32" s="67"/>
      <c r="AD32" s="102"/>
      <c r="AE32" s="99"/>
      <c r="AF32" s="101"/>
      <c r="AG32" s="103"/>
      <c r="AH32" s="102"/>
      <c r="AI32" s="99"/>
      <c r="AJ32" s="101"/>
      <c r="AK32" s="61"/>
      <c r="AL32" s="102"/>
      <c r="AM32" s="105"/>
      <c r="AN32" s="101"/>
      <c r="AO32" s="103"/>
      <c r="AP32" s="102"/>
      <c r="AQ32" s="99"/>
      <c r="AR32" s="101"/>
      <c r="AS32" s="67"/>
      <c r="AT32" s="100"/>
      <c r="AU32" s="105"/>
      <c r="AV32" s="101"/>
      <c r="AW32" s="67"/>
      <c r="AX32" s="102"/>
      <c r="AY32" s="99"/>
      <c r="AZ32" s="101"/>
      <c r="BA32" s="70" t="s">
        <v>17</v>
      </c>
      <c r="BB32" s="70"/>
      <c r="BC32" s="157" t="s">
        <v>28</v>
      </c>
      <c r="BD32" s="70"/>
    </row>
    <row r="33" ht="21.75" customHeight="1">
      <c r="A33" s="80">
        <v>208.0</v>
      </c>
      <c r="B33" s="81" t="str">
        <f>VLOOKUP($A33,LocalisationRemorque,2,0)</f>
        <v>Huy</v>
      </c>
      <c r="C33" s="82" t="str">
        <f>VLOOKUP($A33,LocalisationRemorque,3,0)</f>
        <v>Tihange</v>
      </c>
      <c r="D33" s="83" t="str">
        <f>CONCATENATE(VLOOKUP($A33,LocalisationRemorque,6,0)," ► ",VLOOKUP($A33,LocalisationRemorque,5,0))</f>
        <v>Hamoir ► Huy</v>
      </c>
      <c r="E33" s="84" t="s">
        <v>19</v>
      </c>
      <c r="F33" s="85"/>
      <c r="G33" s="109"/>
      <c r="H33" s="90"/>
      <c r="I33" s="84" t="s">
        <v>19</v>
      </c>
      <c r="J33" s="85"/>
      <c r="K33" s="86"/>
      <c r="L33" s="85"/>
      <c r="M33" s="84" t="s">
        <v>19</v>
      </c>
      <c r="N33" s="85"/>
      <c r="O33" s="86"/>
      <c r="P33" s="161"/>
      <c r="Q33" s="84" t="s">
        <v>19</v>
      </c>
      <c r="R33" s="85"/>
      <c r="S33" s="86"/>
      <c r="T33" s="90"/>
      <c r="U33" s="84" t="s">
        <v>19</v>
      </c>
      <c r="V33" s="85"/>
      <c r="W33" s="86"/>
      <c r="X33" s="87"/>
      <c r="Y33" s="84"/>
      <c r="Z33" s="89"/>
      <c r="AA33" s="91"/>
      <c r="AB33" s="93"/>
      <c r="AC33" s="107"/>
      <c r="AD33" s="94"/>
      <c r="AE33" s="91"/>
      <c r="AF33" s="93"/>
      <c r="AG33" s="110"/>
      <c r="AH33" s="94"/>
      <c r="AI33" s="91"/>
      <c r="AJ33" s="93"/>
      <c r="AK33" s="107"/>
      <c r="AL33" s="89"/>
      <c r="AM33" s="96"/>
      <c r="AN33" s="93"/>
      <c r="AO33" s="110"/>
      <c r="AP33" s="94"/>
      <c r="AQ33" s="91"/>
      <c r="AR33" s="93"/>
      <c r="AS33" s="84"/>
      <c r="AT33" s="92"/>
      <c r="AU33" s="91"/>
      <c r="AV33" s="93"/>
      <c r="AW33" s="84"/>
      <c r="AX33" s="94"/>
      <c r="AY33" s="91"/>
      <c r="AZ33" s="93"/>
      <c r="BA33" s="77" t="s">
        <v>17</v>
      </c>
      <c r="BB33" s="77"/>
      <c r="BC33" s="159" t="s">
        <v>28</v>
      </c>
      <c r="BD33" s="77"/>
    </row>
    <row r="34" ht="21.75" customHeight="1">
      <c r="A34" s="111">
        <v>209.0</v>
      </c>
      <c r="B34" s="56" t="str">
        <f>VLOOKUP($A34,LocalisationRemorque,2,0)</f>
        <v>Huy</v>
      </c>
      <c r="C34" s="57" t="str">
        <f>VLOOKUP($A34,LocalisationRemorque,3,0)</f>
        <v>Pont de bonne</v>
      </c>
      <c r="D34" s="59" t="str">
        <f>CONCATENATE(VLOOKUP($A34,LocalisationRemorque,6,0)," ► ",VLOOKUP($A34,LocalisationRemorque,5,0))</f>
        <v>Havelange ► Huy</v>
      </c>
      <c r="E34" s="67" t="s">
        <v>19</v>
      </c>
      <c r="F34" s="63"/>
      <c r="G34" s="64"/>
      <c r="H34" s="66"/>
      <c r="I34" s="67" t="s">
        <v>19</v>
      </c>
      <c r="J34" s="63"/>
      <c r="K34" s="68"/>
      <c r="L34" s="63"/>
      <c r="M34" s="67" t="s">
        <v>19</v>
      </c>
      <c r="N34" s="163"/>
      <c r="O34" s="68"/>
      <c r="P34" s="78"/>
      <c r="Q34" s="67" t="s">
        <v>19</v>
      </c>
      <c r="R34" s="63"/>
      <c r="S34" s="68"/>
      <c r="T34" s="78"/>
      <c r="U34" s="67" t="s">
        <v>19</v>
      </c>
      <c r="V34" s="63"/>
      <c r="W34" s="67"/>
      <c r="X34" s="78"/>
      <c r="Y34" s="67"/>
      <c r="Z34" s="71"/>
      <c r="AA34" s="99"/>
      <c r="AB34" s="101"/>
      <c r="AC34" s="67"/>
      <c r="AD34" s="102"/>
      <c r="AE34" s="99"/>
      <c r="AF34" s="101"/>
      <c r="AG34" s="103"/>
      <c r="AH34" s="102"/>
      <c r="AI34" s="99"/>
      <c r="AJ34" s="101"/>
      <c r="AK34" s="103"/>
      <c r="AL34" s="102"/>
      <c r="AM34" s="105"/>
      <c r="AN34" s="101"/>
      <c r="AO34" s="61"/>
      <c r="AP34" s="102"/>
      <c r="AQ34" s="99"/>
      <c r="AR34" s="101"/>
      <c r="AS34" s="67"/>
      <c r="AT34" s="100"/>
      <c r="AU34" s="105"/>
      <c r="AV34" s="101"/>
      <c r="AW34" s="103"/>
      <c r="AX34" s="102"/>
      <c r="AY34" s="99"/>
      <c r="AZ34" s="101"/>
      <c r="BA34" s="70" t="s">
        <v>17</v>
      </c>
      <c r="BB34" s="70"/>
      <c r="BC34" s="157" t="s">
        <v>28</v>
      </c>
      <c r="BD34" s="70"/>
    </row>
    <row r="35" ht="21.75" customHeight="1">
      <c r="A35" s="80">
        <v>210.0</v>
      </c>
      <c r="B35" s="81" t="str">
        <f>VLOOKUP($A35,LocalisationRemorque,2,0)</f>
        <v>Huy</v>
      </c>
      <c r="C35" s="82" t="str">
        <f>VLOOKUP($A35,LocalisationRemorque,3,0)</f>
        <v>Nandrin</v>
      </c>
      <c r="D35" s="83" t="str">
        <f>CONCATENATE(VLOOKUP($A35,LocalisationRemorque,6,0)," ► ",VLOOKUP($A35,LocalisationRemorque,5,0))</f>
        <v>Marche-en-Famenne ► Liege</v>
      </c>
      <c r="E35" s="84" t="s">
        <v>19</v>
      </c>
      <c r="F35" s="85"/>
      <c r="G35" s="86"/>
      <c r="H35" s="90"/>
      <c r="I35" s="84" t="s">
        <v>19</v>
      </c>
      <c r="J35" s="85"/>
      <c r="K35" s="86"/>
      <c r="L35" s="85"/>
      <c r="M35" s="84" t="s">
        <v>19</v>
      </c>
      <c r="N35" s="85"/>
      <c r="O35" s="86"/>
      <c r="P35" s="87"/>
      <c r="Q35" s="84" t="s">
        <v>19</v>
      </c>
      <c r="R35" s="85"/>
      <c r="S35" s="86"/>
      <c r="T35" s="87"/>
      <c r="U35" s="84" t="s">
        <v>19</v>
      </c>
      <c r="V35" s="85"/>
      <c r="W35" s="84"/>
      <c r="X35" s="90"/>
      <c r="Y35" s="84"/>
      <c r="Z35" s="89"/>
      <c r="AA35" s="91"/>
      <c r="AB35" s="87"/>
      <c r="AC35" s="165" t="s">
        <v>29</v>
      </c>
      <c r="AD35" s="94"/>
      <c r="AE35" s="91"/>
      <c r="AF35" s="87"/>
      <c r="AG35" s="165" t="s">
        <v>29</v>
      </c>
      <c r="AH35" s="94"/>
      <c r="AI35" s="91"/>
      <c r="AJ35" s="93"/>
      <c r="AK35" s="84"/>
      <c r="AL35" s="92"/>
      <c r="AM35" s="96"/>
      <c r="AN35" s="93"/>
      <c r="AO35" s="165" t="s">
        <v>29</v>
      </c>
      <c r="AP35" s="94"/>
      <c r="AQ35" s="91"/>
      <c r="AR35" s="93"/>
      <c r="AS35" s="86"/>
      <c r="AT35" s="85"/>
      <c r="AU35" s="96"/>
      <c r="AV35" s="93"/>
      <c r="AW35" s="110"/>
      <c r="AX35" s="94"/>
      <c r="AY35" s="91"/>
      <c r="AZ35" s="93"/>
      <c r="BA35" s="77" t="s">
        <v>17</v>
      </c>
      <c r="BB35" s="77"/>
      <c r="BC35" s="159" t="s">
        <v>28</v>
      </c>
      <c r="BD35" s="77"/>
    </row>
    <row r="36" ht="21.75" customHeight="1">
      <c r="A36" s="111">
        <v>211.0</v>
      </c>
      <c r="B36" s="56" t="str">
        <f>VLOOKUP($A36,LocalisationRemorque,2,0)</f>
        <v>Huy</v>
      </c>
      <c r="C36" s="57" t="str">
        <f>VLOOKUP($A36,LocalisationRemorque,3,0)</f>
        <v>Soheit-Tinlot</v>
      </c>
      <c r="D36" s="59" t="str">
        <f>CONCATENATE(VLOOKUP($A36,LocalisationRemorque,6,0)," ► ",VLOOKUP($A36,LocalisationRemorque,5,0))</f>
        <v>Marche-en-Famenne ► Liege</v>
      </c>
      <c r="E36" s="67" t="s">
        <v>19</v>
      </c>
      <c r="F36" s="63"/>
      <c r="G36" s="64"/>
      <c r="H36" s="66"/>
      <c r="I36" s="67" t="s">
        <v>19</v>
      </c>
      <c r="J36" s="63"/>
      <c r="K36" s="68"/>
      <c r="L36" s="63"/>
      <c r="M36" s="67" t="s">
        <v>19</v>
      </c>
      <c r="N36" s="63"/>
      <c r="O36" s="68"/>
      <c r="P36" s="78"/>
      <c r="Q36" s="67" t="s">
        <v>19</v>
      </c>
      <c r="R36" s="63"/>
      <c r="S36" s="68"/>
      <c r="T36" s="78"/>
      <c r="U36" s="67" t="s">
        <v>19</v>
      </c>
      <c r="V36" s="63"/>
      <c r="W36" s="68"/>
      <c r="X36" s="78"/>
      <c r="Y36" s="67"/>
      <c r="Z36" s="71"/>
      <c r="AA36" s="99"/>
      <c r="AB36" s="101"/>
      <c r="AC36" s="67"/>
      <c r="AD36" s="102"/>
      <c r="AE36" s="99"/>
      <c r="AF36" s="78"/>
      <c r="AG36" s="103"/>
      <c r="AH36" s="102"/>
      <c r="AI36" s="99"/>
      <c r="AJ36" s="101"/>
      <c r="AK36" s="156"/>
      <c r="AL36" s="63"/>
      <c r="AM36" s="68"/>
      <c r="AN36" s="101"/>
      <c r="AO36" s="67"/>
      <c r="AP36" s="102"/>
      <c r="AQ36" s="99"/>
      <c r="AR36" s="101"/>
      <c r="AS36" s="68"/>
      <c r="AT36" s="63"/>
      <c r="AU36" s="105"/>
      <c r="AV36" s="101"/>
      <c r="AW36" s="103"/>
      <c r="AX36" s="102"/>
      <c r="AY36" s="99"/>
      <c r="AZ36" s="101"/>
      <c r="BA36" s="70" t="s">
        <v>17</v>
      </c>
      <c r="BB36" s="70"/>
      <c r="BC36" s="157" t="s">
        <v>28</v>
      </c>
      <c r="BD36" s="70"/>
    </row>
    <row r="37" ht="21.75" hidden="1" customHeight="1">
      <c r="A37" s="166">
        <v>212.0</v>
      </c>
      <c r="B37" s="167" t="str">
        <f>VLOOKUP($A37,LocalisationRemorque,2,0)</f>
        <v>Flemalle</v>
      </c>
      <c r="C37" s="168" t="str">
        <f>VLOOKUP($A37,LocalisationRemorque,3,0)</f>
        <v>Pont dYvoz-Ramet</v>
      </c>
      <c r="D37" s="169" t="str">
        <f>CONCATENATE(VLOOKUP($A37,LocalisationRemorque,6,0)," ► ",VLOOKUP($A37,LocalisationRemorque,5,0))</f>
        <v>Liège ► Huy</v>
      </c>
      <c r="E37" s="86"/>
      <c r="F37" s="85"/>
      <c r="G37" s="109"/>
      <c r="H37" s="90"/>
      <c r="I37" s="84"/>
      <c r="J37" s="85"/>
      <c r="K37" s="86"/>
      <c r="L37" s="85"/>
      <c r="M37" s="84"/>
      <c r="N37" s="85"/>
      <c r="O37" s="86"/>
      <c r="P37" s="87"/>
      <c r="Q37" s="84"/>
      <c r="R37" s="85"/>
      <c r="S37" s="86"/>
      <c r="T37" s="87"/>
      <c r="U37" s="84"/>
      <c r="V37" s="85"/>
      <c r="W37" s="86"/>
      <c r="X37" s="90"/>
      <c r="Y37" s="107"/>
      <c r="Z37" s="89"/>
      <c r="AA37" s="91"/>
      <c r="AB37" s="93"/>
      <c r="AC37" s="107"/>
      <c r="AD37" s="94"/>
      <c r="AE37" s="91"/>
      <c r="AF37" s="93"/>
      <c r="AG37" s="110"/>
      <c r="AH37" s="94"/>
      <c r="AI37" s="91"/>
      <c r="AJ37" s="93"/>
      <c r="AK37" s="84"/>
      <c r="AL37" s="85"/>
      <c r="AM37" s="86"/>
      <c r="AN37" s="93"/>
      <c r="AO37" s="110"/>
      <c r="AP37" s="94"/>
      <c r="AQ37" s="91"/>
      <c r="AR37" s="93"/>
      <c r="AS37" s="110"/>
      <c r="AT37" s="92"/>
      <c r="AU37" s="96"/>
      <c r="AV37" s="93"/>
      <c r="AW37" s="110"/>
      <c r="AX37" s="94"/>
      <c r="AY37" s="91"/>
      <c r="AZ37" s="93"/>
      <c r="BA37" s="155"/>
      <c r="BB37" s="155"/>
      <c r="BC37" s="128"/>
      <c r="BD37" s="155"/>
    </row>
    <row r="38" ht="21.75" customHeight="1">
      <c r="A38" s="111">
        <v>213.0</v>
      </c>
      <c r="B38" s="56" t="str">
        <f>VLOOKUP($A38,LocalisationRemorque,2,0)</f>
        <v>Fexhe-le-Haut-Clocher</v>
      </c>
      <c r="C38" s="57" t="str">
        <f>VLOOKUP($A38,LocalisationRemorque,3,0)</f>
        <v>Simonis</v>
      </c>
      <c r="D38" s="59" t="str">
        <f>CONCATENATE(VLOOKUP($A38,LocalisationRemorque,6,0)," ► ",VLOOKUP($A38,LocalisationRemorque,5,0))</f>
        <v>Waremme ► Bierset</v>
      </c>
      <c r="E38" s="61"/>
      <c r="F38" s="63"/>
      <c r="G38" s="64"/>
      <c r="H38" s="66"/>
      <c r="I38" s="67"/>
      <c r="J38" s="63"/>
      <c r="K38" s="68"/>
      <c r="L38" s="63"/>
      <c r="M38" s="67"/>
      <c r="N38" s="63"/>
      <c r="O38" s="68"/>
      <c r="P38" s="78"/>
      <c r="Q38" s="67"/>
      <c r="R38" s="63"/>
      <c r="S38" s="68"/>
      <c r="T38" s="78"/>
      <c r="U38" s="67"/>
      <c r="V38" s="63"/>
      <c r="W38" s="68"/>
      <c r="X38" s="66"/>
      <c r="Y38" s="61"/>
      <c r="Z38" s="71"/>
      <c r="AA38" s="99"/>
      <c r="AB38" s="101"/>
      <c r="AC38" s="67"/>
      <c r="AD38" s="102"/>
      <c r="AE38" s="99"/>
      <c r="AF38" s="101"/>
      <c r="AG38" s="103"/>
      <c r="AH38" s="102"/>
      <c r="AI38" s="99"/>
      <c r="AJ38" s="101"/>
      <c r="AK38" s="156"/>
      <c r="AL38" s="63"/>
      <c r="AM38" s="68"/>
      <c r="AN38" s="101"/>
      <c r="AO38" s="103"/>
      <c r="AP38" s="102"/>
      <c r="AQ38" s="99"/>
      <c r="AR38" s="101"/>
      <c r="AS38" s="67"/>
      <c r="AT38" s="63"/>
      <c r="AU38" s="105"/>
      <c r="AV38" s="101"/>
      <c r="AW38" s="103"/>
      <c r="AX38" s="102"/>
      <c r="AY38" s="99"/>
      <c r="AZ38" s="101"/>
      <c r="BA38" s="70"/>
      <c r="BB38" s="70"/>
      <c r="BC38" s="79"/>
      <c r="BD38" s="70"/>
    </row>
    <row r="39" ht="21.75" customHeight="1">
      <c r="A39" s="80">
        <v>214.0</v>
      </c>
      <c r="B39" s="81" t="str">
        <f>VLOOKUP($A39,LocalisationRemorque,2,0)</f>
        <v>Fexhe-le-Haut-Clocher</v>
      </c>
      <c r="C39" s="82" t="str">
        <f>VLOOKUP($A39,LocalisationRemorque,3,0)</f>
        <v>Château d'eau Jeneffe</v>
      </c>
      <c r="D39" s="83" t="str">
        <f>CONCATENATE(VLOOKUP($A39,LocalisationRemorque,6,0)," ► ",VLOOKUP($A39,LocalisationRemorque,5,0))</f>
        <v>Tongres ► Amay</v>
      </c>
      <c r="E39" s="84"/>
      <c r="F39" s="85"/>
      <c r="G39" s="109"/>
      <c r="H39" s="90"/>
      <c r="I39" s="84"/>
      <c r="J39" s="85"/>
      <c r="K39" s="86"/>
      <c r="L39" s="85"/>
      <c r="M39" s="84"/>
      <c r="N39" s="85"/>
      <c r="O39" s="86"/>
      <c r="P39" s="87"/>
      <c r="Q39" s="84"/>
      <c r="R39" s="85"/>
      <c r="S39" s="86"/>
      <c r="T39" s="90"/>
      <c r="U39" s="84"/>
      <c r="V39" s="85"/>
      <c r="W39" s="109"/>
      <c r="X39" s="90"/>
      <c r="Y39" s="107"/>
      <c r="Z39" s="89"/>
      <c r="AA39" s="91"/>
      <c r="AB39" s="93"/>
      <c r="AC39" s="107"/>
      <c r="AD39" s="94"/>
      <c r="AE39" s="91"/>
      <c r="AF39" s="93"/>
      <c r="AG39" s="110"/>
      <c r="AH39" s="94"/>
      <c r="AI39" s="91"/>
      <c r="AJ39" s="93"/>
      <c r="AK39" s="126"/>
      <c r="AL39" s="85"/>
      <c r="AM39" s="86"/>
      <c r="AN39" s="93"/>
      <c r="AO39" s="110"/>
      <c r="AP39" s="94"/>
      <c r="AQ39" s="91"/>
      <c r="AR39" s="93"/>
      <c r="AS39" s="110"/>
      <c r="AT39" s="85"/>
      <c r="AU39" s="96"/>
      <c r="AV39" s="93"/>
      <c r="AW39" s="110"/>
      <c r="AX39" s="94"/>
      <c r="AY39" s="91"/>
      <c r="AZ39" s="93"/>
      <c r="BA39" s="155"/>
      <c r="BB39" s="155"/>
      <c r="BC39" s="128"/>
      <c r="BD39" s="155"/>
    </row>
    <row r="40" ht="21.75" customHeight="1">
      <c r="A40" s="111">
        <v>215.0</v>
      </c>
      <c r="B40" s="56" t="str">
        <f>VLOOKUP($A40,LocalisationRemorque,2,0)</f>
        <v>Fexhe-le-Haut-Clocher</v>
      </c>
      <c r="C40" s="57" t="str">
        <f>VLOOKUP($A40,LocalisationRemorque,3,0)</f>
        <v>Noville</v>
      </c>
      <c r="D40" s="59" t="str">
        <f>CONCATENATE(VLOOKUP($A40,LocalisationRemorque,6,0)," ► ",VLOOKUP($A40,LocalisationRemorque,5,0))</f>
        <v>Amay ► E40</v>
      </c>
      <c r="E40" s="68"/>
      <c r="F40" s="63"/>
      <c r="G40" s="64"/>
      <c r="H40" s="66"/>
      <c r="I40" s="67"/>
      <c r="J40" s="63"/>
      <c r="K40" s="68"/>
      <c r="L40" s="63"/>
      <c r="M40" s="67"/>
      <c r="N40" s="63"/>
      <c r="O40" s="68"/>
      <c r="P40" s="78"/>
      <c r="Q40" s="67"/>
      <c r="R40" s="63"/>
      <c r="S40" s="68"/>
      <c r="T40" s="66"/>
      <c r="U40" s="67"/>
      <c r="V40" s="63"/>
      <c r="W40" s="68"/>
      <c r="X40" s="78"/>
      <c r="Y40" s="61"/>
      <c r="Z40" s="71"/>
      <c r="AA40" s="99"/>
      <c r="AB40" s="101"/>
      <c r="AC40" s="67"/>
      <c r="AD40" s="102"/>
      <c r="AE40" s="99"/>
      <c r="AF40" s="101"/>
      <c r="AG40" s="103"/>
      <c r="AH40" s="102"/>
      <c r="AI40" s="99"/>
      <c r="AJ40" s="101"/>
      <c r="AK40" s="67"/>
      <c r="AL40" s="63"/>
      <c r="AM40" s="68"/>
      <c r="AN40" s="101"/>
      <c r="AO40" s="103"/>
      <c r="AP40" s="102"/>
      <c r="AQ40" s="99"/>
      <c r="AR40" s="101"/>
      <c r="AS40" s="68"/>
      <c r="AT40" s="63"/>
      <c r="AU40" s="105"/>
      <c r="AV40" s="101"/>
      <c r="AW40" s="103"/>
      <c r="AX40" s="102"/>
      <c r="AY40" s="99"/>
      <c r="AZ40" s="101"/>
      <c r="BA40" s="88"/>
      <c r="BB40" s="88"/>
      <c r="BC40" s="106"/>
      <c r="BD40" s="88"/>
    </row>
    <row r="41" ht="21.75" customHeight="1">
      <c r="A41" s="80">
        <v>216.0</v>
      </c>
      <c r="B41" s="81" t="str">
        <f>VLOOKUP($A41,LocalisationRemorque,2,0)</f>
        <v>Waremme</v>
      </c>
      <c r="C41" s="82" t="str">
        <f>VLOOKUP($A41,LocalisationRemorque,3,0)</f>
        <v>Waremme 1</v>
      </c>
      <c r="D41" s="83" t="str">
        <f>CONCATENATE(VLOOKUP($A41,LocalisationRemorque,6,0)," ► ",VLOOKUP($A41,LocalisationRemorque,5,0))</f>
        <v>Huy ► Waremme</v>
      </c>
      <c r="E41" s="84"/>
      <c r="F41" s="85"/>
      <c r="G41" s="109"/>
      <c r="H41" s="90"/>
      <c r="I41" s="84"/>
      <c r="J41" s="85"/>
      <c r="K41" s="86"/>
      <c r="L41" s="85"/>
      <c r="M41" s="84"/>
      <c r="N41" s="85"/>
      <c r="O41" s="86"/>
      <c r="P41" s="87"/>
      <c r="Q41" s="84"/>
      <c r="R41" s="85"/>
      <c r="S41" s="86"/>
      <c r="T41" s="90"/>
      <c r="U41" s="84"/>
      <c r="V41" s="85"/>
      <c r="W41" s="86"/>
      <c r="X41" s="87"/>
      <c r="Y41" s="107"/>
      <c r="Z41" s="89"/>
      <c r="AA41" s="91"/>
      <c r="AB41" s="93"/>
      <c r="AC41" s="107"/>
      <c r="AD41" s="94"/>
      <c r="AE41" s="91"/>
      <c r="AF41" s="93"/>
      <c r="AG41" s="110"/>
      <c r="AH41" s="94"/>
      <c r="AI41" s="91"/>
      <c r="AJ41" s="93"/>
      <c r="AK41" s="84"/>
      <c r="AL41" s="85"/>
      <c r="AM41" s="86"/>
      <c r="AN41" s="93"/>
      <c r="AO41" s="84"/>
      <c r="AP41" s="85"/>
      <c r="AQ41" s="91"/>
      <c r="AR41" s="93"/>
      <c r="AS41" s="84"/>
      <c r="AT41" s="85"/>
      <c r="AU41" s="96"/>
      <c r="AV41" s="93"/>
      <c r="AW41" s="84"/>
      <c r="AX41" s="94"/>
      <c r="AY41" s="91"/>
      <c r="AZ41" s="93"/>
      <c r="BA41" s="155"/>
      <c r="BB41" s="155"/>
      <c r="BC41" s="128"/>
      <c r="BD41" s="155"/>
    </row>
    <row r="42" ht="21.75" customHeight="1">
      <c r="A42" s="111">
        <v>227.0</v>
      </c>
      <c r="B42" s="56" t="str">
        <f>VLOOKUP($A42,LocalisationRemorque,2,0)</f>
        <v>Waremme</v>
      </c>
      <c r="C42" s="57" t="str">
        <f>VLOOKUP($A42,LocalisationRemorque,3,0)</f>
        <v>Waremme 2</v>
      </c>
      <c r="D42" s="59" t="str">
        <f>CONCATENATE(VLOOKUP($A42,LocalisationRemorque,6,0)," ► ",VLOOKUP($A42,LocalisationRemorque,5,0))</f>
        <v>Huy ► Waremme</v>
      </c>
      <c r="E42" s="67"/>
      <c r="F42" s="63"/>
      <c r="G42" s="64"/>
      <c r="H42" s="66"/>
      <c r="I42" s="67"/>
      <c r="J42" s="63"/>
      <c r="K42" s="68"/>
      <c r="L42" s="63"/>
      <c r="M42" s="67"/>
      <c r="N42" s="63"/>
      <c r="O42" s="68"/>
      <c r="P42" s="66"/>
      <c r="Q42" s="67"/>
      <c r="R42" s="63"/>
      <c r="S42" s="68"/>
      <c r="T42" s="78"/>
      <c r="U42" s="67"/>
      <c r="V42" s="63"/>
      <c r="W42" s="68"/>
      <c r="X42" s="66"/>
      <c r="Y42" s="61"/>
      <c r="Z42" s="71"/>
      <c r="AA42" s="99"/>
      <c r="AB42" s="101"/>
      <c r="AC42" s="67"/>
      <c r="AD42" s="102"/>
      <c r="AE42" s="99"/>
      <c r="AF42" s="101"/>
      <c r="AG42" s="103"/>
      <c r="AH42" s="102"/>
      <c r="AI42" s="99"/>
      <c r="AJ42" s="101"/>
      <c r="AK42" s="67"/>
      <c r="AL42" s="100"/>
      <c r="AM42" s="105"/>
      <c r="AN42" s="101"/>
      <c r="AO42" s="67"/>
      <c r="AP42" s="102"/>
      <c r="AQ42" s="99"/>
      <c r="AR42" s="101"/>
      <c r="AS42" s="68"/>
      <c r="AT42" s="63"/>
      <c r="AU42" s="68"/>
      <c r="AV42" s="101"/>
      <c r="AW42" s="67"/>
      <c r="AX42" s="102"/>
      <c r="AY42" s="99"/>
      <c r="AZ42" s="101"/>
      <c r="BA42" s="88"/>
      <c r="BB42" s="88"/>
      <c r="BC42" s="106"/>
      <c r="BD42" s="88"/>
    </row>
    <row r="43" ht="21.75" customHeight="1">
      <c r="A43" s="80">
        <v>217.0</v>
      </c>
      <c r="B43" s="81" t="str">
        <f>VLOOKUP($A43,LocalisationRemorque,2,0)</f>
        <v>Viemme</v>
      </c>
      <c r="C43" s="82" t="str">
        <f>VLOOKUP($A43,LocalisationRemorque,3,0)</f>
        <v>Viemme Rond-Point</v>
      </c>
      <c r="D43" s="83" t="str">
        <f>CONCATENATE(VLOOKUP($A43,LocalisationRemorque,6,0)," ► ",VLOOKUP($A43,LocalisationRemorque,5,0))</f>
        <v>Waremme ► Huy</v>
      </c>
      <c r="E43" s="84"/>
      <c r="F43" s="85"/>
      <c r="G43" s="109"/>
      <c r="H43" s="90"/>
      <c r="I43" s="84"/>
      <c r="J43" s="85"/>
      <c r="K43" s="86"/>
      <c r="L43" s="85"/>
      <c r="M43" s="84"/>
      <c r="N43" s="85"/>
      <c r="O43" s="86"/>
      <c r="P43" s="87"/>
      <c r="Q43" s="84"/>
      <c r="R43" s="85"/>
      <c r="S43" s="109"/>
      <c r="T43" s="90"/>
      <c r="U43" s="84"/>
      <c r="V43" s="85"/>
      <c r="W43" s="86"/>
      <c r="X43" s="87"/>
      <c r="Y43" s="107"/>
      <c r="Z43" s="89"/>
      <c r="AA43" s="91"/>
      <c r="AB43" s="93"/>
      <c r="AC43" s="107"/>
      <c r="AD43" s="94"/>
      <c r="AE43" s="91"/>
      <c r="AF43" s="93"/>
      <c r="AG43" s="110"/>
      <c r="AH43" s="94"/>
      <c r="AI43" s="91"/>
      <c r="AJ43" s="93"/>
      <c r="AK43" s="84"/>
      <c r="AL43" s="92"/>
      <c r="AM43" s="96"/>
      <c r="AN43" s="93"/>
      <c r="AO43" s="84"/>
      <c r="AP43" s="85"/>
      <c r="AQ43" s="91"/>
      <c r="AR43" s="93"/>
      <c r="AS43" s="86"/>
      <c r="AT43" s="85"/>
      <c r="AU43" s="96"/>
      <c r="AV43" s="93"/>
      <c r="AW43" s="126"/>
      <c r="AX43" s="94"/>
      <c r="AY43" s="91"/>
      <c r="AZ43" s="93"/>
      <c r="BA43" s="155"/>
      <c r="BB43" s="155"/>
      <c r="BC43" s="128"/>
      <c r="BD43" s="155"/>
    </row>
    <row r="44" ht="21.75" customHeight="1">
      <c r="A44" s="111">
        <v>218.0</v>
      </c>
      <c r="B44" s="56" t="str">
        <f>VLOOKUP($A44,LocalisationRemorque,2,0)</f>
        <v>Oreye</v>
      </c>
      <c r="C44" s="57" t="str">
        <f>VLOOKUP($A44,LocalisationRemorque,3,0)</f>
        <v>Carrefour Otrange/Vechmaal</v>
      </c>
      <c r="D44" s="59" t="str">
        <f>CONCATENATE(VLOOKUP($A44,LocalisationRemorque,6,0)," ► ",VLOOKUP($A44,LocalisationRemorque,5,0))</f>
        <v>Oreye ► Veechmaal</v>
      </c>
      <c r="E44" s="67"/>
      <c r="F44" s="63"/>
      <c r="G44" s="64"/>
      <c r="H44" s="66"/>
      <c r="I44" s="67"/>
      <c r="J44" s="63"/>
      <c r="K44" s="68"/>
      <c r="L44" s="63"/>
      <c r="M44" s="67"/>
      <c r="N44" s="63"/>
      <c r="O44" s="68"/>
      <c r="P44" s="172"/>
      <c r="Q44" s="67"/>
      <c r="R44" s="63"/>
      <c r="S44" s="68"/>
      <c r="T44" s="66"/>
      <c r="U44" s="68"/>
      <c r="V44" s="63"/>
      <c r="W44" s="68"/>
      <c r="X44" s="66"/>
      <c r="Y44" s="61"/>
      <c r="Z44" s="71"/>
      <c r="AA44" s="99"/>
      <c r="AB44" s="101"/>
      <c r="AC44" s="67"/>
      <c r="AD44" s="102"/>
      <c r="AE44" s="99"/>
      <c r="AF44" s="101"/>
      <c r="AG44" s="103"/>
      <c r="AH44" s="102"/>
      <c r="AI44" s="99"/>
      <c r="AJ44" s="101"/>
      <c r="AK44" s="156"/>
      <c r="AL44" s="100"/>
      <c r="AM44" s="105"/>
      <c r="AN44" s="101"/>
      <c r="AO44" s="103"/>
      <c r="AP44" s="102"/>
      <c r="AQ44" s="99"/>
      <c r="AR44" s="101"/>
      <c r="AS44" s="68"/>
      <c r="AT44" s="63"/>
      <c r="AU44" s="105"/>
      <c r="AV44" s="101"/>
      <c r="AW44" s="103"/>
      <c r="AX44" s="102"/>
      <c r="AY44" s="99"/>
      <c r="AZ44" s="101"/>
      <c r="BA44" s="88"/>
      <c r="BB44" s="88"/>
      <c r="BC44" s="106"/>
      <c r="BD44" s="88"/>
    </row>
    <row r="45" ht="21.75" hidden="1" customHeight="1">
      <c r="A45" s="182"/>
      <c r="B45" s="81" t="str">
        <f>VLOOKUP($A45,LocalisationRemorque,2,0)</f>
        <v> Remorque non listée</v>
      </c>
      <c r="C45" s="82" t="str">
        <f>VLOOKUP($A45,LocalisationRemorque,3,0)</f>
        <v/>
      </c>
      <c r="D45" s="83" t="str">
        <f>CONCATENATE(VLOOKUP($A45,LocalisationRemorque,6,0)," ► ",VLOOKUP($A45,LocalisationRemorque,5,0))</f>
        <v> ► </v>
      </c>
      <c r="E45" s="110"/>
      <c r="F45" s="85"/>
      <c r="G45" s="109"/>
      <c r="H45" s="90"/>
      <c r="I45" s="84"/>
      <c r="J45" s="85"/>
      <c r="K45" s="86"/>
      <c r="L45" s="85"/>
      <c r="M45" s="84"/>
      <c r="N45" s="85"/>
      <c r="O45" s="86"/>
      <c r="P45" s="190"/>
      <c r="Q45" s="84"/>
      <c r="R45" s="85"/>
      <c r="S45" s="86"/>
      <c r="T45" s="90"/>
      <c r="U45" s="84"/>
      <c r="V45" s="85"/>
      <c r="W45" s="86"/>
      <c r="X45" s="87"/>
      <c r="Y45" s="107"/>
      <c r="Z45" s="89"/>
      <c r="AA45" s="91"/>
      <c r="AB45" s="93"/>
      <c r="AC45" s="84"/>
      <c r="AD45" s="94"/>
      <c r="AE45" s="91"/>
      <c r="AF45" s="93"/>
      <c r="AG45" s="110"/>
      <c r="AH45" s="94"/>
      <c r="AI45" s="91"/>
      <c r="AJ45" s="93"/>
      <c r="AK45" s="84"/>
      <c r="AL45" s="92"/>
      <c r="AM45" s="96"/>
      <c r="AN45" s="93"/>
      <c r="AO45" s="110"/>
      <c r="AP45" s="85"/>
      <c r="AQ45" s="91"/>
      <c r="AR45" s="93"/>
      <c r="AS45" s="126"/>
      <c r="AT45" s="92"/>
      <c r="AU45" s="96"/>
      <c r="AV45" s="93"/>
      <c r="AW45" s="110"/>
      <c r="AX45" s="94"/>
      <c r="AY45" s="91"/>
      <c r="AZ45" s="195"/>
      <c r="BA45" s="162"/>
      <c r="BB45" s="162"/>
      <c r="BC45" s="128"/>
      <c r="BD45" s="162"/>
    </row>
    <row r="46" ht="21.75" customHeight="1">
      <c r="A46" s="200">
        <v>220.0</v>
      </c>
      <c r="B46" s="56" t="str">
        <f>VLOOKUP($A46,LocalisationRemorque,2,0)</f>
        <v>Theux</v>
      </c>
      <c r="C46" s="57" t="str">
        <f>VLOOKUP($A46,LocalisationRemorque,3,0)</f>
        <v>Hautregard Haut</v>
      </c>
      <c r="D46" s="59" t="str">
        <f>CONCATENATE(VLOOKUP($A46,LocalisationRemorque,6,0)," ► ",VLOOKUP($A46,LocalisationRemorque,5,0))</f>
        <v>Aywaille ► Theux</v>
      </c>
      <c r="E46" s="156"/>
      <c r="F46" s="63"/>
      <c r="G46" s="64"/>
      <c r="H46" s="66"/>
      <c r="I46" s="67"/>
      <c r="J46" s="63"/>
      <c r="K46" s="68"/>
      <c r="L46" s="63"/>
      <c r="M46" s="67"/>
      <c r="N46" s="63"/>
      <c r="O46" s="68"/>
      <c r="P46" s="172"/>
      <c r="Q46" s="67"/>
      <c r="R46" s="63"/>
      <c r="S46" s="68"/>
      <c r="T46" s="66"/>
      <c r="U46" s="103"/>
      <c r="V46" s="63"/>
      <c r="W46" s="68"/>
      <c r="X46" s="66"/>
      <c r="Y46" s="61"/>
      <c r="Z46" s="71"/>
      <c r="AA46" s="99"/>
      <c r="AB46" s="101"/>
      <c r="AC46" s="67"/>
      <c r="AD46" s="102"/>
      <c r="AE46" s="67"/>
      <c r="AF46" s="101"/>
      <c r="AG46" s="103"/>
      <c r="AH46" s="102"/>
      <c r="AI46" s="67"/>
      <c r="AJ46" s="101"/>
      <c r="AK46" s="67"/>
      <c r="AL46" s="100"/>
      <c r="AM46" s="105"/>
      <c r="AN46" s="101"/>
      <c r="AO46" s="103"/>
      <c r="AP46" s="102"/>
      <c r="AQ46" s="99"/>
      <c r="AR46" s="101"/>
      <c r="AS46" s="103"/>
      <c r="AT46" s="100"/>
      <c r="AU46" s="105"/>
      <c r="AV46" s="101"/>
      <c r="AW46" s="103"/>
      <c r="AX46" s="102"/>
      <c r="AY46" s="99"/>
      <c r="AZ46" s="101"/>
      <c r="BA46" s="70" t="s">
        <v>17</v>
      </c>
      <c r="BB46" s="70"/>
      <c r="BC46" s="79"/>
      <c r="BD46" s="70"/>
    </row>
    <row r="47" ht="21.75" customHeight="1">
      <c r="A47" s="232">
        <v>221.0</v>
      </c>
      <c r="B47" s="81" t="str">
        <f>VLOOKUP($A47,LocalisationRemorque,2,0)</f>
        <v>Theux</v>
      </c>
      <c r="C47" s="82" t="str">
        <f>VLOOKUP($A47,LocalisationRemorque,3,0)</f>
        <v>Hautregard Bas</v>
      </c>
      <c r="D47" s="83" t="str">
        <f>CONCATENATE(VLOOKUP($A47,LocalisationRemorque,6,0)," ► ",VLOOKUP($A47,LocalisationRemorque,5,0))</f>
        <v>Aywaille ► Spa</v>
      </c>
      <c r="E47" s="110"/>
      <c r="F47" s="85"/>
      <c r="G47" s="109"/>
      <c r="H47" s="90"/>
      <c r="I47" s="84"/>
      <c r="J47" s="85"/>
      <c r="K47" s="86"/>
      <c r="L47" s="85"/>
      <c r="M47" s="84"/>
      <c r="N47" s="85"/>
      <c r="O47" s="86"/>
      <c r="P47" s="190"/>
      <c r="Q47" s="84"/>
      <c r="R47" s="85"/>
      <c r="S47" s="86"/>
      <c r="T47" s="90"/>
      <c r="U47" s="84"/>
      <c r="V47" s="85"/>
      <c r="W47" s="86"/>
      <c r="X47" s="90"/>
      <c r="Y47" s="107"/>
      <c r="Z47" s="89"/>
      <c r="AA47" s="91"/>
      <c r="AB47" s="93"/>
      <c r="AC47" s="84"/>
      <c r="AD47" s="94"/>
      <c r="AE47" s="91"/>
      <c r="AF47" s="93"/>
      <c r="AG47" s="84"/>
      <c r="AH47" s="94"/>
      <c r="AI47" s="91"/>
      <c r="AJ47" s="93"/>
      <c r="AK47" s="84"/>
      <c r="AL47" s="92"/>
      <c r="AM47" s="96"/>
      <c r="AN47" s="93"/>
      <c r="AO47" s="84"/>
      <c r="AP47" s="85"/>
      <c r="AQ47" s="91"/>
      <c r="AR47" s="93"/>
      <c r="AS47" s="84"/>
      <c r="AT47" s="85"/>
      <c r="AU47" s="96"/>
      <c r="AV47" s="93"/>
      <c r="AW47" s="84"/>
      <c r="AX47" s="94"/>
      <c r="AY47" s="91"/>
      <c r="AZ47" s="93"/>
      <c r="BA47" s="77" t="s">
        <v>17</v>
      </c>
      <c r="BB47" s="77"/>
      <c r="BC47" s="97"/>
      <c r="BD47" s="77"/>
    </row>
    <row r="48" ht="21.75" customHeight="1">
      <c r="A48" s="200">
        <v>226.0</v>
      </c>
      <c r="B48" s="56" t="str">
        <f>VLOOKUP($A48,LocalisationRemorque,2,0)</f>
        <v>Theux</v>
      </c>
      <c r="C48" s="57" t="str">
        <f>VLOOKUP($A48,LocalisationRemorque,3,0)</f>
        <v>La Reid</v>
      </c>
      <c r="D48" s="59" t="str">
        <f>CONCATENATE(VLOOKUP($A48,LocalisationRemorque,6,0)," ► ",VLOOKUP($A48,LocalisationRemorque,5,0))</f>
        <v>Aywaille ► Spa</v>
      </c>
      <c r="E48" s="67"/>
      <c r="F48" s="63"/>
      <c r="G48" s="64"/>
      <c r="H48" s="66"/>
      <c r="I48" s="67"/>
      <c r="J48" s="63"/>
      <c r="K48" s="68"/>
      <c r="L48" s="63"/>
      <c r="M48" s="67"/>
      <c r="N48" s="63"/>
      <c r="O48" s="68"/>
      <c r="P48" s="172"/>
      <c r="Q48" s="67"/>
      <c r="R48" s="63"/>
      <c r="S48" s="68"/>
      <c r="T48" s="66"/>
      <c r="U48" s="67"/>
      <c r="V48" s="63"/>
      <c r="W48" s="68"/>
      <c r="X48" s="66"/>
      <c r="Y48" s="61"/>
      <c r="Z48" s="71"/>
      <c r="AA48" s="99"/>
      <c r="AB48" s="101"/>
      <c r="AC48" s="67"/>
      <c r="AD48" s="102"/>
      <c r="AE48" s="67"/>
      <c r="AF48" s="101"/>
      <c r="AG48" s="104"/>
      <c r="AH48" s="102"/>
      <c r="AI48" s="67"/>
      <c r="AJ48" s="101"/>
      <c r="AK48" s="67"/>
      <c r="AL48" s="100"/>
      <c r="AM48" s="105"/>
      <c r="AN48" s="101"/>
      <c r="AO48" s="103"/>
      <c r="AP48" s="102"/>
      <c r="AQ48" s="99"/>
      <c r="AR48" s="101"/>
      <c r="AS48" s="103"/>
      <c r="AT48" s="63"/>
      <c r="AU48" s="105"/>
      <c r="AV48" s="101"/>
      <c r="AW48" s="67"/>
      <c r="AX48" s="63"/>
      <c r="AY48" s="99"/>
      <c r="AZ48" s="101"/>
      <c r="BA48" s="70" t="s">
        <v>17</v>
      </c>
      <c r="BB48" s="70"/>
      <c r="BC48" s="79"/>
      <c r="BD48" s="70"/>
    </row>
    <row r="49" ht="21.75" customHeight="1">
      <c r="A49" s="232">
        <v>222.0</v>
      </c>
      <c r="B49" s="81" t="str">
        <f>VLOOKUP($A49,LocalisationRemorque,2,0)</f>
        <v>Sprimont</v>
      </c>
      <c r="C49" s="82" t="str">
        <f>VLOOKUP($A49,LocalisationRemorque,3,0)</f>
        <v>Sprimont - Theux</v>
      </c>
      <c r="D49" s="83" t="str">
        <f>CONCATENATE(VLOOKUP($A49,LocalisationRemorque,6,0)," ► ",VLOOKUP($A49,LocalisationRemorque,5,0))</f>
        <v>Sprimont ► Theux</v>
      </c>
      <c r="E49" s="84"/>
      <c r="F49" s="85"/>
      <c r="G49" s="109"/>
      <c r="H49" s="90"/>
      <c r="I49" s="84"/>
      <c r="J49" s="85"/>
      <c r="K49" s="86"/>
      <c r="L49" s="85"/>
      <c r="M49" s="84"/>
      <c r="N49" s="85"/>
      <c r="O49" s="86"/>
      <c r="P49" s="190"/>
      <c r="Q49" s="84"/>
      <c r="R49" s="85"/>
      <c r="S49" s="86"/>
      <c r="T49" s="90"/>
      <c r="U49" s="84"/>
      <c r="V49" s="85"/>
      <c r="W49" s="86"/>
      <c r="X49" s="87"/>
      <c r="Y49" s="107"/>
      <c r="Z49" s="89"/>
      <c r="AA49" s="91"/>
      <c r="AB49" s="93"/>
      <c r="AC49" s="84"/>
      <c r="AD49" s="94"/>
      <c r="AE49" s="84"/>
      <c r="AF49" s="93"/>
      <c r="AG49" s="95"/>
      <c r="AH49" s="94"/>
      <c r="AI49" s="84"/>
      <c r="AJ49" s="93"/>
      <c r="AK49" s="84"/>
      <c r="AL49" s="92"/>
      <c r="AM49" s="96"/>
      <c r="AN49" s="93"/>
      <c r="AO49" s="84"/>
      <c r="AP49" s="85"/>
      <c r="AQ49" s="91"/>
      <c r="AR49" s="93"/>
      <c r="AS49" s="110"/>
      <c r="AT49" s="85"/>
      <c r="AU49" s="96"/>
      <c r="AV49" s="93"/>
      <c r="AW49" s="84"/>
      <c r="AX49" s="85"/>
      <c r="AY49" s="91"/>
      <c r="AZ49" s="93"/>
      <c r="BA49" s="77" t="s">
        <v>17</v>
      </c>
      <c r="BB49" s="77"/>
      <c r="BC49" s="97"/>
      <c r="BD49" s="77"/>
    </row>
    <row r="50" ht="21.75" customHeight="1">
      <c r="A50" s="111">
        <v>224.0</v>
      </c>
      <c r="B50" s="56" t="str">
        <f>VLOOKUP($A50,LocalisationRemorque,2,0)</f>
        <v>Crisnee</v>
      </c>
      <c r="C50" s="57" t="str">
        <f>VLOOKUP($A50,LocalisationRemorque,3,0)</f>
        <v>Station Ledouble</v>
      </c>
      <c r="D50" s="59" t="str">
        <f>CONCATENATE(VLOOKUP($A50,LocalisationRemorque,6,0)," ► ",VLOOKUP($A50,LocalisationRemorque,5,0))</f>
        <v>Saint-Trond ► Liege</v>
      </c>
      <c r="E50" s="103"/>
      <c r="F50" s="63"/>
      <c r="G50" s="64"/>
      <c r="H50" s="66"/>
      <c r="I50" s="67"/>
      <c r="J50" s="63"/>
      <c r="K50" s="68"/>
      <c r="L50" s="63"/>
      <c r="M50" s="67"/>
      <c r="N50" s="63"/>
      <c r="O50" s="68"/>
      <c r="P50" s="172"/>
      <c r="Q50" s="67"/>
      <c r="R50" s="63"/>
      <c r="S50" s="68"/>
      <c r="T50" s="66"/>
      <c r="U50" s="104"/>
      <c r="V50" s="63"/>
      <c r="W50" s="64"/>
      <c r="X50" s="66"/>
      <c r="Y50" s="67"/>
      <c r="Z50" s="102"/>
      <c r="AA50" s="99"/>
      <c r="AB50" s="101"/>
      <c r="AC50" s="67"/>
      <c r="AD50" s="102"/>
      <c r="AE50" s="99"/>
      <c r="AF50" s="101"/>
      <c r="AG50" s="104"/>
      <c r="AH50" s="102"/>
      <c r="AI50" s="99"/>
      <c r="AJ50" s="101"/>
      <c r="AK50" s="156"/>
      <c r="AL50" s="100"/>
      <c r="AM50" s="105"/>
      <c r="AN50" s="101"/>
      <c r="AO50" s="67"/>
      <c r="AP50" s="102"/>
      <c r="AQ50" s="99"/>
      <c r="AR50" s="101"/>
      <c r="AS50" s="103"/>
      <c r="AT50" s="63"/>
      <c r="AU50" s="105"/>
      <c r="AV50" s="101"/>
      <c r="AW50" s="67"/>
      <c r="AX50" s="63"/>
      <c r="AY50" s="99"/>
      <c r="AZ50" s="101"/>
      <c r="BA50" s="70" t="s">
        <v>17</v>
      </c>
      <c r="BB50" s="70"/>
      <c r="BC50" s="79"/>
      <c r="BD50" s="70"/>
    </row>
    <row r="51" ht="21.75" customHeight="1">
      <c r="A51" s="272">
        <v>223.0</v>
      </c>
      <c r="B51" s="81" t="str">
        <f>VLOOKUP($A51,LocalisationRemorque,2,0)</f>
        <v>Clavier</v>
      </c>
      <c r="C51" s="82" t="str">
        <f>VLOOKUP($A51,LocalisationRemorque,3,0)</f>
        <v>Bois-et-Borsu</v>
      </c>
      <c r="D51" s="83" t="str">
        <f>CONCATENATE(VLOOKUP($A51,LocalisationRemorque,6,0)," ► ",VLOOKUP($A51,LocalisationRemorque,5,0))</f>
        <v>Marche-en-Famenne ► Liège</v>
      </c>
      <c r="E51" s="84"/>
      <c r="F51" s="85"/>
      <c r="G51" s="109"/>
      <c r="H51" s="90"/>
      <c r="I51" s="84"/>
      <c r="J51" s="85"/>
      <c r="K51" s="86"/>
      <c r="L51" s="85"/>
      <c r="M51" s="84"/>
      <c r="N51" s="85"/>
      <c r="O51" s="86"/>
      <c r="P51" s="190"/>
      <c r="Q51" s="84"/>
      <c r="R51" s="85"/>
      <c r="S51" s="86"/>
      <c r="T51" s="87"/>
      <c r="U51" s="84"/>
      <c r="V51" s="85"/>
      <c r="W51" s="86"/>
      <c r="X51" s="87"/>
      <c r="Y51" s="84"/>
      <c r="Z51" s="85"/>
      <c r="AA51" s="86"/>
      <c r="AB51" s="87"/>
      <c r="AC51" s="84"/>
      <c r="AD51" s="85"/>
      <c r="AE51" s="86"/>
      <c r="AF51" s="87"/>
      <c r="AG51" s="126"/>
      <c r="AH51" s="94"/>
      <c r="AI51" s="96"/>
      <c r="AJ51" s="93"/>
      <c r="AK51" s="126"/>
      <c r="AL51" s="92"/>
      <c r="AM51" s="96"/>
      <c r="AN51" s="93"/>
      <c r="AO51" s="126"/>
      <c r="AP51" s="85"/>
      <c r="AQ51" s="86"/>
      <c r="AR51" s="93"/>
      <c r="AS51" s="126"/>
      <c r="AT51" s="85"/>
      <c r="AU51" s="96"/>
      <c r="AV51" s="93"/>
      <c r="AW51" s="84"/>
      <c r="AX51" s="85"/>
      <c r="AY51" s="91"/>
      <c r="AZ51" s="93"/>
      <c r="BA51" s="127"/>
      <c r="BB51" s="127"/>
      <c r="BC51" s="128"/>
      <c r="BD51" s="127"/>
    </row>
    <row r="52" ht="21.75" customHeight="1">
      <c r="A52" s="111">
        <v>225.0</v>
      </c>
      <c r="B52" s="56" t="str">
        <f>VLOOKUP($A52,LocalisationRemorque,2,0)</f>
        <v>Clavier</v>
      </c>
      <c r="C52" s="57" t="str">
        <f>VLOOKUP($A52,LocalisationRemorque,3,0)</f>
        <v>Bois-et-Borsu</v>
      </c>
      <c r="D52" s="59" t="str">
        <f>CONCATENATE(VLOOKUP($A52,LocalisationRemorque,6,0)," ► ",VLOOKUP($A52,LocalisationRemorque,5,0))</f>
        <v>Liège ► Marche-en-Famenne</v>
      </c>
      <c r="E52" s="67"/>
      <c r="F52" s="63" t="s">
        <v>180</v>
      </c>
      <c r="G52" s="68"/>
      <c r="H52" s="78"/>
      <c r="I52" s="67"/>
      <c r="J52" s="63"/>
      <c r="K52" s="68"/>
      <c r="L52" s="63"/>
      <c r="M52" s="67"/>
      <c r="N52" s="102"/>
      <c r="O52" s="68"/>
      <c r="P52" s="172"/>
      <c r="Q52" s="67" t="s">
        <v>20</v>
      </c>
      <c r="R52" s="63"/>
      <c r="S52" s="68"/>
      <c r="T52" s="66"/>
      <c r="U52" s="67"/>
      <c r="V52" s="63"/>
      <c r="W52" s="68"/>
      <c r="X52" s="78"/>
      <c r="Y52" s="67" t="s">
        <v>20</v>
      </c>
      <c r="Z52" s="63"/>
      <c r="AA52" s="68"/>
      <c r="AB52" s="101"/>
      <c r="AC52" s="67" t="s">
        <v>20</v>
      </c>
      <c r="AD52" s="63"/>
      <c r="AE52" s="67"/>
      <c r="AF52" s="78"/>
      <c r="AG52" s="293"/>
      <c r="AH52" s="102"/>
      <c r="AI52" s="67"/>
      <c r="AJ52" s="78"/>
      <c r="AK52" s="67" t="s">
        <v>20</v>
      </c>
      <c r="AL52" s="63"/>
      <c r="AM52" s="68"/>
      <c r="AN52" s="101"/>
      <c r="AO52" s="67"/>
      <c r="AP52" s="63"/>
      <c r="AQ52" s="99"/>
      <c r="AR52" s="78"/>
      <c r="AS52" s="67" t="s">
        <v>20</v>
      </c>
      <c r="AT52" s="63"/>
      <c r="AU52" s="105"/>
      <c r="AV52" s="101"/>
      <c r="AW52" s="67" t="s">
        <v>20</v>
      </c>
      <c r="AX52" s="63"/>
      <c r="AY52" s="99"/>
      <c r="AZ52" s="101"/>
      <c r="BA52" s="70" t="s">
        <v>17</v>
      </c>
      <c r="BB52" s="70"/>
      <c r="BC52" s="79"/>
      <c r="BD52" s="70"/>
    </row>
    <row r="53" ht="21.75" customHeight="1">
      <c r="A53" s="80">
        <v>230.0</v>
      </c>
      <c r="B53" s="308" t="str">
        <f>VLOOKUP($A53,LocalisationRemorque,2,0)</f>
        <v>Stavelot</v>
      </c>
      <c r="C53" s="311" t="str">
        <f>VLOOKUP($A53,LocalisationRemorque,3,0)</f>
        <v>Stavelot</v>
      </c>
      <c r="D53" s="312" t="str">
        <f>CONCATENATE(VLOOKUP($A53,LocalisationRemorque,6,0)," ► ",VLOOKUP($A53,LocalisationRemorque,5,0))</f>
        <v>Malmedy ► Trois-Pont</v>
      </c>
      <c r="E53" s="84"/>
      <c r="F53" s="85"/>
      <c r="G53" s="109"/>
      <c r="H53" s="90"/>
      <c r="I53" s="84"/>
      <c r="J53" s="85"/>
      <c r="K53" s="86"/>
      <c r="L53" s="85"/>
      <c r="M53" s="84"/>
      <c r="N53" s="85"/>
      <c r="O53" s="86"/>
      <c r="P53" s="190"/>
      <c r="Q53" s="84"/>
      <c r="R53" s="85"/>
      <c r="S53" s="86" t="s">
        <v>20</v>
      </c>
      <c r="T53" s="87"/>
      <c r="U53" s="84"/>
      <c r="V53" s="85"/>
      <c r="W53" s="86" t="s">
        <v>20</v>
      </c>
      <c r="X53" s="87"/>
      <c r="Y53" s="95"/>
      <c r="Z53" s="85"/>
      <c r="AA53" s="86" t="s">
        <v>20</v>
      </c>
      <c r="AB53" s="87"/>
      <c r="AC53" s="165" t="s">
        <v>29</v>
      </c>
      <c r="AD53" s="85"/>
      <c r="AE53" s="84"/>
      <c r="AF53" s="87"/>
      <c r="AG53" s="165" t="s">
        <v>29</v>
      </c>
      <c r="AH53" s="94"/>
      <c r="AI53" s="84"/>
      <c r="AJ53" s="93"/>
      <c r="AK53" s="84"/>
      <c r="AL53" s="92"/>
      <c r="AM53" s="96"/>
      <c r="AN53" s="93"/>
      <c r="AO53" s="165" t="s">
        <v>29</v>
      </c>
      <c r="AP53" s="85"/>
      <c r="AQ53" s="86"/>
      <c r="AR53" s="93"/>
      <c r="AS53" s="84" t="s">
        <v>20</v>
      </c>
      <c r="AT53" s="85"/>
      <c r="AU53" s="96"/>
      <c r="AV53" s="93"/>
      <c r="AW53" s="84" t="s">
        <v>20</v>
      </c>
      <c r="AX53" s="85"/>
      <c r="AY53" s="91"/>
      <c r="AZ53" s="93"/>
      <c r="BA53" s="77" t="s">
        <v>17</v>
      </c>
      <c r="BB53" s="77"/>
      <c r="BC53" s="97"/>
      <c r="BD53" s="77"/>
    </row>
    <row r="54" ht="21.75" customHeight="1">
      <c r="A54" s="316">
        <v>231.0</v>
      </c>
      <c r="B54" s="317" t="str">
        <f>VLOOKUP($A54,LocalisationRemorque,2,0)</f>
        <v>Aywaille</v>
      </c>
      <c r="C54" s="318" t="str">
        <f>VLOOKUP($A54,LocalisationRemorque,3,0)</f>
        <v>Houssonloge</v>
      </c>
      <c r="D54" s="319" t="str">
        <f>CONCATENATE(VLOOKUP($A54,LocalisationRemorque,6,0)," ► ",VLOOKUP($A54,LocalisationRemorque,5,0))</f>
        <v>Stoumont ► Aywaille</v>
      </c>
      <c r="E54" s="67"/>
      <c r="F54" s="63"/>
      <c r="G54" s="64"/>
      <c r="H54" s="66"/>
      <c r="I54" s="67"/>
      <c r="J54" s="63"/>
      <c r="K54" s="68"/>
      <c r="L54" s="63"/>
      <c r="M54" s="67"/>
      <c r="N54" s="63"/>
      <c r="O54" s="68"/>
      <c r="P54" s="172"/>
      <c r="Q54" s="67"/>
      <c r="R54" s="63"/>
      <c r="S54" s="68"/>
      <c r="T54" s="78"/>
      <c r="U54" s="67"/>
      <c r="V54" s="63"/>
      <c r="W54" s="68"/>
      <c r="X54" s="78"/>
      <c r="Y54" s="67"/>
      <c r="Z54" s="63"/>
      <c r="AA54" s="68"/>
      <c r="AB54" s="78"/>
      <c r="AC54" s="321"/>
      <c r="AD54" s="63"/>
      <c r="AE54" s="68"/>
      <c r="AF54" s="78"/>
      <c r="AG54" s="321"/>
      <c r="AH54" s="102"/>
      <c r="AI54" s="105"/>
      <c r="AJ54" s="101"/>
      <c r="AK54" s="156"/>
      <c r="AL54" s="100"/>
      <c r="AM54" s="105"/>
      <c r="AN54" s="101"/>
      <c r="AO54" s="321"/>
      <c r="AP54" s="63"/>
      <c r="AQ54" s="68"/>
      <c r="AR54" s="101"/>
      <c r="AS54" s="156"/>
      <c r="AT54" s="63"/>
      <c r="AU54" s="105"/>
      <c r="AV54" s="101"/>
      <c r="AW54" s="67"/>
      <c r="AX54" s="63"/>
      <c r="AY54" s="99"/>
      <c r="AZ54" s="101"/>
      <c r="BA54" s="171"/>
      <c r="BB54" s="171"/>
      <c r="BC54" s="106"/>
      <c r="BD54" s="171"/>
    </row>
    <row r="55" ht="21.75" customHeight="1">
      <c r="A55" s="129"/>
      <c r="B55" s="130"/>
      <c r="C55" s="131"/>
      <c r="D55" s="132"/>
      <c r="E55" s="133"/>
      <c r="F55" s="134"/>
      <c r="G55" s="135"/>
      <c r="H55" s="136"/>
      <c r="I55" s="137"/>
      <c r="J55" s="134"/>
      <c r="K55" s="138"/>
      <c r="L55" s="134"/>
      <c r="M55" s="133"/>
      <c r="N55" s="139"/>
      <c r="O55" s="140"/>
      <c r="P55" s="324"/>
      <c r="Q55" s="137"/>
      <c r="R55" s="134"/>
      <c r="S55" s="140"/>
      <c r="T55" s="141"/>
      <c r="U55" s="133"/>
      <c r="V55" s="134"/>
      <c r="W55" s="140"/>
      <c r="X55" s="141"/>
      <c r="Y55" s="133"/>
      <c r="Z55" s="139"/>
      <c r="AA55" s="140"/>
      <c r="AB55" s="141"/>
      <c r="AC55" s="133"/>
      <c r="AD55" s="139"/>
      <c r="AE55" s="140"/>
      <c r="AF55" s="141"/>
      <c r="AG55" s="148"/>
      <c r="AH55" s="149"/>
      <c r="AI55" s="150"/>
      <c r="AJ55" s="151"/>
      <c r="AK55" s="148"/>
      <c r="AL55" s="146"/>
      <c r="AM55" s="326"/>
      <c r="AN55" s="151"/>
      <c r="AO55" s="148"/>
      <c r="AP55" s="134"/>
      <c r="AQ55" s="138"/>
      <c r="AR55" s="151"/>
      <c r="AS55" s="148"/>
      <c r="AT55" s="134"/>
      <c r="AU55" s="326"/>
      <c r="AV55" s="147"/>
      <c r="AW55" s="137"/>
      <c r="AX55" s="134"/>
      <c r="AY55" s="144"/>
      <c r="AZ55" s="147"/>
      <c r="BA55" s="120"/>
      <c r="BB55" s="120"/>
      <c r="BC55" s="153"/>
      <c r="BD55" s="120"/>
    </row>
    <row r="56" ht="21.75" hidden="1" customHeight="1">
      <c r="A56" s="129"/>
      <c r="B56" s="130"/>
      <c r="C56" s="131"/>
      <c r="D56" s="132"/>
      <c r="E56" s="133"/>
      <c r="F56" s="134"/>
      <c r="G56" s="135"/>
      <c r="H56" s="136"/>
      <c r="I56" s="137"/>
      <c r="J56" s="134"/>
      <c r="K56" s="138"/>
      <c r="L56" s="134"/>
      <c r="M56" s="133"/>
      <c r="N56" s="139"/>
      <c r="O56" s="140"/>
      <c r="P56" s="324"/>
      <c r="Q56" s="137"/>
      <c r="R56" s="134"/>
      <c r="S56" s="140"/>
      <c r="T56" s="141"/>
      <c r="U56" s="133"/>
      <c r="V56" s="134"/>
      <c r="W56" s="140"/>
      <c r="X56" s="141"/>
      <c r="Y56" s="133"/>
      <c r="Z56" s="139"/>
      <c r="AA56" s="140"/>
      <c r="AB56" s="141"/>
      <c r="AC56" s="133"/>
      <c r="AD56" s="139"/>
      <c r="AE56" s="140"/>
      <c r="AF56" s="141"/>
      <c r="AG56" s="148"/>
      <c r="AH56" s="149"/>
      <c r="AI56" s="150"/>
      <c r="AJ56" s="151"/>
      <c r="AK56" s="148"/>
      <c r="AL56" s="146"/>
      <c r="AM56" s="326"/>
      <c r="AN56" s="151"/>
      <c r="AO56" s="148"/>
      <c r="AP56" s="134"/>
      <c r="AQ56" s="138"/>
      <c r="AR56" s="151"/>
      <c r="AS56" s="148"/>
      <c r="AT56" s="134"/>
      <c r="AU56" s="326"/>
      <c r="AV56" s="147"/>
      <c r="AW56" s="137"/>
      <c r="AX56" s="134"/>
      <c r="AY56" s="144"/>
      <c r="AZ56" s="147"/>
      <c r="BA56" s="120"/>
      <c r="BB56" s="120"/>
      <c r="BC56" s="153"/>
      <c r="BD56" s="120"/>
    </row>
    <row r="57" ht="21.75" hidden="1" customHeight="1">
      <c r="A57" s="129"/>
      <c r="B57" s="130"/>
      <c r="C57" s="131"/>
      <c r="D57" s="132"/>
      <c r="E57" s="133"/>
      <c r="F57" s="134"/>
      <c r="G57" s="135"/>
      <c r="H57" s="136"/>
      <c r="I57" s="137"/>
      <c r="J57" s="134"/>
      <c r="K57" s="138"/>
      <c r="L57" s="134"/>
      <c r="M57" s="133"/>
      <c r="N57" s="139"/>
      <c r="O57" s="140"/>
      <c r="P57" s="324"/>
      <c r="Q57" s="137"/>
      <c r="R57" s="134"/>
      <c r="S57" s="140"/>
      <c r="T57" s="141"/>
      <c r="U57" s="133"/>
      <c r="V57" s="134"/>
      <c r="W57" s="140"/>
      <c r="X57" s="141"/>
      <c r="Y57" s="133"/>
      <c r="Z57" s="139"/>
      <c r="AA57" s="140"/>
      <c r="AB57" s="141"/>
      <c r="AC57" s="133"/>
      <c r="AD57" s="139"/>
      <c r="AE57" s="140"/>
      <c r="AF57" s="141"/>
      <c r="AG57" s="148"/>
      <c r="AH57" s="149"/>
      <c r="AI57" s="150"/>
      <c r="AJ57" s="151"/>
      <c r="AK57" s="148"/>
      <c r="AL57" s="146"/>
      <c r="AM57" s="326"/>
      <c r="AN57" s="151"/>
      <c r="AO57" s="148"/>
      <c r="AP57" s="134"/>
      <c r="AQ57" s="138"/>
      <c r="AR57" s="151"/>
      <c r="AS57" s="148"/>
      <c r="AT57" s="134"/>
      <c r="AU57" s="326"/>
      <c r="AV57" s="147"/>
      <c r="AW57" s="137"/>
      <c r="AX57" s="134"/>
      <c r="AY57" s="144"/>
      <c r="AZ57" s="147"/>
      <c r="BA57" s="120"/>
      <c r="BB57" s="120"/>
      <c r="BC57" s="153"/>
      <c r="BD57" s="120"/>
    </row>
    <row r="58" ht="21.75" hidden="1" customHeight="1">
      <c r="A58" s="129"/>
      <c r="B58" s="130"/>
      <c r="C58" s="131"/>
      <c r="D58" s="132"/>
      <c r="E58" s="133"/>
      <c r="F58" s="134"/>
      <c r="G58" s="135"/>
      <c r="H58" s="136"/>
      <c r="I58" s="137"/>
      <c r="J58" s="134"/>
      <c r="K58" s="138"/>
      <c r="L58" s="134"/>
      <c r="M58" s="133"/>
      <c r="N58" s="139"/>
      <c r="O58" s="140"/>
      <c r="P58" s="324"/>
      <c r="Q58" s="137"/>
      <c r="R58" s="134"/>
      <c r="S58" s="140"/>
      <c r="T58" s="141"/>
      <c r="U58" s="133"/>
      <c r="V58" s="134"/>
      <c r="W58" s="140"/>
      <c r="X58" s="141"/>
      <c r="Y58" s="133"/>
      <c r="Z58" s="139"/>
      <c r="AA58" s="140"/>
      <c r="AB58" s="141"/>
      <c r="AC58" s="133"/>
      <c r="AD58" s="139"/>
      <c r="AE58" s="140"/>
      <c r="AF58" s="141"/>
      <c r="AG58" s="148"/>
      <c r="AH58" s="149"/>
      <c r="AI58" s="150"/>
      <c r="AJ58" s="151"/>
      <c r="AK58" s="148"/>
      <c r="AL58" s="146"/>
      <c r="AM58" s="326"/>
      <c r="AN58" s="151"/>
      <c r="AO58" s="148"/>
      <c r="AP58" s="134"/>
      <c r="AQ58" s="138"/>
      <c r="AR58" s="151"/>
      <c r="AS58" s="148"/>
      <c r="AT58" s="134"/>
      <c r="AU58" s="326"/>
      <c r="AV58" s="147"/>
      <c r="AW58" s="137"/>
      <c r="AX58" s="134"/>
      <c r="AY58" s="144"/>
      <c r="AZ58" s="147"/>
      <c r="BA58" s="120"/>
      <c r="BB58" s="120"/>
      <c r="BC58" s="153"/>
      <c r="BD58" s="120"/>
    </row>
    <row r="59" ht="21.75" hidden="1" customHeight="1">
      <c r="A59" s="129"/>
      <c r="B59" s="130"/>
      <c r="C59" s="131"/>
      <c r="D59" s="132"/>
      <c r="E59" s="133"/>
      <c r="F59" s="134"/>
      <c r="G59" s="135"/>
      <c r="H59" s="136"/>
      <c r="I59" s="137"/>
      <c r="J59" s="134"/>
      <c r="K59" s="138"/>
      <c r="L59" s="134"/>
      <c r="M59" s="133"/>
      <c r="N59" s="139"/>
      <c r="O59" s="140"/>
      <c r="P59" s="324"/>
      <c r="Q59" s="137"/>
      <c r="R59" s="134"/>
      <c r="S59" s="140"/>
      <c r="T59" s="141"/>
      <c r="U59" s="133"/>
      <c r="V59" s="134"/>
      <c r="W59" s="140"/>
      <c r="X59" s="141"/>
      <c r="Y59" s="133"/>
      <c r="Z59" s="139"/>
      <c r="AA59" s="140"/>
      <c r="AB59" s="141"/>
      <c r="AC59" s="133"/>
      <c r="AD59" s="139"/>
      <c r="AE59" s="140"/>
      <c r="AF59" s="141"/>
      <c r="AG59" s="148"/>
      <c r="AH59" s="149"/>
      <c r="AI59" s="150"/>
      <c r="AJ59" s="151"/>
      <c r="AK59" s="148"/>
      <c r="AL59" s="146"/>
      <c r="AM59" s="326"/>
      <c r="AN59" s="151"/>
      <c r="AO59" s="148"/>
      <c r="AP59" s="134"/>
      <c r="AQ59" s="138"/>
      <c r="AR59" s="151"/>
      <c r="AS59" s="148"/>
      <c r="AT59" s="134"/>
      <c r="AU59" s="326"/>
      <c r="AV59" s="147"/>
      <c r="AW59" s="137"/>
      <c r="AX59" s="134"/>
      <c r="AY59" s="144"/>
      <c r="AZ59" s="147"/>
      <c r="BA59" s="120"/>
      <c r="BB59" s="120"/>
      <c r="BC59" s="153"/>
      <c r="BD59" s="120"/>
    </row>
    <row r="60" ht="21.75" hidden="1" customHeight="1">
      <c r="A60" s="129"/>
      <c r="B60" s="130"/>
      <c r="C60" s="131"/>
      <c r="D60" s="132"/>
      <c r="E60" s="133"/>
      <c r="F60" s="134"/>
      <c r="G60" s="135"/>
      <c r="H60" s="136"/>
      <c r="I60" s="137"/>
      <c r="J60" s="134"/>
      <c r="K60" s="138"/>
      <c r="L60" s="134"/>
      <c r="M60" s="133"/>
      <c r="N60" s="139"/>
      <c r="O60" s="140"/>
      <c r="P60" s="324"/>
      <c r="Q60" s="137"/>
      <c r="R60" s="134"/>
      <c r="S60" s="140"/>
      <c r="T60" s="141"/>
      <c r="U60" s="133"/>
      <c r="V60" s="134"/>
      <c r="W60" s="140"/>
      <c r="X60" s="141"/>
      <c r="Y60" s="133"/>
      <c r="Z60" s="139"/>
      <c r="AA60" s="140"/>
      <c r="AB60" s="141"/>
      <c r="AC60" s="133"/>
      <c r="AD60" s="139"/>
      <c r="AE60" s="140"/>
      <c r="AF60" s="141"/>
      <c r="AG60" s="148"/>
      <c r="AH60" s="149"/>
      <c r="AI60" s="150"/>
      <c r="AJ60" s="151"/>
      <c r="AK60" s="148"/>
      <c r="AL60" s="146"/>
      <c r="AM60" s="326"/>
      <c r="AN60" s="151"/>
      <c r="AO60" s="148"/>
      <c r="AP60" s="134"/>
      <c r="AQ60" s="138"/>
      <c r="AR60" s="151"/>
      <c r="AS60" s="148"/>
      <c r="AT60" s="134"/>
      <c r="AU60" s="326"/>
      <c r="AV60" s="147"/>
      <c r="AW60" s="137"/>
      <c r="AX60" s="134"/>
      <c r="AY60" s="144"/>
      <c r="AZ60" s="147"/>
      <c r="BA60" s="120"/>
      <c r="BB60" s="120"/>
      <c r="BC60" s="153"/>
      <c r="BD60" s="120"/>
    </row>
    <row r="61" ht="21.75" hidden="1" customHeight="1">
      <c r="A61" s="129"/>
      <c r="B61" s="130"/>
      <c r="C61" s="131"/>
      <c r="D61" s="132"/>
      <c r="E61" s="133"/>
      <c r="F61" s="134"/>
      <c r="G61" s="135"/>
      <c r="H61" s="136"/>
      <c r="I61" s="137"/>
      <c r="J61" s="134"/>
      <c r="K61" s="138"/>
      <c r="L61" s="134"/>
      <c r="M61" s="133"/>
      <c r="N61" s="139"/>
      <c r="O61" s="140"/>
      <c r="P61" s="324"/>
      <c r="Q61" s="137"/>
      <c r="R61" s="134"/>
      <c r="S61" s="140"/>
      <c r="T61" s="141"/>
      <c r="U61" s="133"/>
      <c r="V61" s="134"/>
      <c r="W61" s="140"/>
      <c r="X61" s="141"/>
      <c r="Y61" s="133"/>
      <c r="Z61" s="139"/>
      <c r="AA61" s="140"/>
      <c r="AB61" s="141"/>
      <c r="AC61" s="133"/>
      <c r="AD61" s="139"/>
      <c r="AE61" s="140"/>
      <c r="AF61" s="141"/>
      <c r="AG61" s="148"/>
      <c r="AH61" s="149"/>
      <c r="AI61" s="150"/>
      <c r="AJ61" s="151"/>
      <c r="AK61" s="148"/>
      <c r="AL61" s="146"/>
      <c r="AM61" s="326"/>
      <c r="AN61" s="151"/>
      <c r="AO61" s="148"/>
      <c r="AP61" s="134"/>
      <c r="AQ61" s="138"/>
      <c r="AR61" s="151"/>
      <c r="AS61" s="148"/>
      <c r="AT61" s="134"/>
      <c r="AU61" s="326"/>
      <c r="AV61" s="147"/>
      <c r="AW61" s="137"/>
      <c r="AX61" s="134"/>
      <c r="AY61" s="144"/>
      <c r="AZ61" s="147"/>
      <c r="BA61" s="120"/>
      <c r="BB61" s="120"/>
      <c r="BC61" s="153"/>
      <c r="BD61" s="120"/>
    </row>
    <row r="62" ht="21.75" hidden="1" customHeight="1">
      <c r="A62" s="129"/>
      <c r="B62" s="130"/>
      <c r="C62" s="131"/>
      <c r="D62" s="132"/>
      <c r="E62" s="133"/>
      <c r="F62" s="134"/>
      <c r="G62" s="135"/>
      <c r="H62" s="136"/>
      <c r="I62" s="137"/>
      <c r="J62" s="134"/>
      <c r="K62" s="138"/>
      <c r="L62" s="134"/>
      <c r="M62" s="133"/>
      <c r="N62" s="139"/>
      <c r="O62" s="140"/>
      <c r="P62" s="324"/>
      <c r="Q62" s="137"/>
      <c r="R62" s="134"/>
      <c r="S62" s="140"/>
      <c r="T62" s="141"/>
      <c r="U62" s="133"/>
      <c r="V62" s="134"/>
      <c r="W62" s="140"/>
      <c r="X62" s="141"/>
      <c r="Y62" s="133"/>
      <c r="Z62" s="139"/>
      <c r="AA62" s="140"/>
      <c r="AB62" s="141"/>
      <c r="AC62" s="133"/>
      <c r="AD62" s="139"/>
      <c r="AE62" s="140"/>
      <c r="AF62" s="141"/>
      <c r="AG62" s="148"/>
      <c r="AH62" s="149"/>
      <c r="AI62" s="150"/>
      <c r="AJ62" s="151"/>
      <c r="AK62" s="148"/>
      <c r="AL62" s="146"/>
      <c r="AM62" s="326"/>
      <c r="AN62" s="151"/>
      <c r="AO62" s="148"/>
      <c r="AP62" s="134"/>
      <c r="AQ62" s="138"/>
      <c r="AR62" s="151"/>
      <c r="AS62" s="148"/>
      <c r="AT62" s="134"/>
      <c r="AU62" s="326"/>
      <c r="AV62" s="147"/>
      <c r="AW62" s="137"/>
      <c r="AX62" s="134"/>
      <c r="AY62" s="144"/>
      <c r="AZ62" s="147"/>
      <c r="BA62" s="120"/>
      <c r="BB62" s="120"/>
      <c r="BC62" s="153"/>
      <c r="BD62" s="120"/>
    </row>
    <row r="63" ht="21.75" hidden="1" customHeight="1">
      <c r="A63" s="129"/>
      <c r="B63" s="130"/>
      <c r="C63" s="131"/>
      <c r="D63" s="132"/>
      <c r="E63" s="133"/>
      <c r="F63" s="134"/>
      <c r="G63" s="135"/>
      <c r="H63" s="136"/>
      <c r="I63" s="137"/>
      <c r="J63" s="134"/>
      <c r="K63" s="138"/>
      <c r="L63" s="134"/>
      <c r="M63" s="133"/>
      <c r="N63" s="139"/>
      <c r="O63" s="140"/>
      <c r="P63" s="324"/>
      <c r="Q63" s="137"/>
      <c r="R63" s="134"/>
      <c r="S63" s="140"/>
      <c r="T63" s="141"/>
      <c r="U63" s="133"/>
      <c r="V63" s="134"/>
      <c r="W63" s="140"/>
      <c r="X63" s="141"/>
      <c r="Y63" s="133"/>
      <c r="Z63" s="139"/>
      <c r="AA63" s="140"/>
      <c r="AB63" s="141"/>
      <c r="AC63" s="133"/>
      <c r="AD63" s="139"/>
      <c r="AE63" s="140"/>
      <c r="AF63" s="141"/>
      <c r="AG63" s="148"/>
      <c r="AH63" s="149"/>
      <c r="AI63" s="150"/>
      <c r="AJ63" s="151"/>
      <c r="AK63" s="148"/>
      <c r="AL63" s="146"/>
      <c r="AM63" s="326"/>
      <c r="AN63" s="151"/>
      <c r="AO63" s="148"/>
      <c r="AP63" s="134"/>
      <c r="AQ63" s="138"/>
      <c r="AR63" s="151"/>
      <c r="AS63" s="148"/>
      <c r="AT63" s="134"/>
      <c r="AU63" s="326"/>
      <c r="AV63" s="147"/>
      <c r="AW63" s="137"/>
      <c r="AX63" s="134"/>
      <c r="AY63" s="144"/>
      <c r="AZ63" s="147"/>
      <c r="BA63" s="120"/>
      <c r="BB63" s="120"/>
      <c r="BC63" s="153"/>
      <c r="BD63" s="120"/>
    </row>
    <row r="64" ht="21.75" hidden="1" customHeight="1">
      <c r="A64" s="129"/>
      <c r="B64" s="130"/>
      <c r="C64" s="131"/>
      <c r="D64" s="132"/>
      <c r="E64" s="133"/>
      <c r="F64" s="134"/>
      <c r="G64" s="135"/>
      <c r="H64" s="136"/>
      <c r="I64" s="137"/>
      <c r="J64" s="134"/>
      <c r="K64" s="138"/>
      <c r="L64" s="134"/>
      <c r="M64" s="133"/>
      <c r="N64" s="139"/>
      <c r="O64" s="140"/>
      <c r="P64" s="324"/>
      <c r="Q64" s="137"/>
      <c r="R64" s="134"/>
      <c r="S64" s="140"/>
      <c r="T64" s="141"/>
      <c r="U64" s="133"/>
      <c r="V64" s="134"/>
      <c r="W64" s="140"/>
      <c r="X64" s="141"/>
      <c r="Y64" s="133"/>
      <c r="Z64" s="139"/>
      <c r="AA64" s="140"/>
      <c r="AB64" s="141"/>
      <c r="AC64" s="133"/>
      <c r="AD64" s="139"/>
      <c r="AE64" s="140"/>
      <c r="AF64" s="141"/>
      <c r="AG64" s="148"/>
      <c r="AH64" s="149"/>
      <c r="AI64" s="150"/>
      <c r="AJ64" s="151"/>
      <c r="AK64" s="148"/>
      <c r="AL64" s="146"/>
      <c r="AM64" s="326"/>
      <c r="AN64" s="151"/>
      <c r="AO64" s="148"/>
      <c r="AP64" s="134"/>
      <c r="AQ64" s="138"/>
      <c r="AR64" s="151"/>
      <c r="AS64" s="148"/>
      <c r="AT64" s="134"/>
      <c r="AU64" s="326"/>
      <c r="AV64" s="147"/>
      <c r="AW64" s="137"/>
      <c r="AX64" s="134"/>
      <c r="AY64" s="144"/>
      <c r="AZ64" s="147"/>
      <c r="BA64" s="120"/>
      <c r="BB64" s="120"/>
      <c r="BC64" s="153"/>
      <c r="BD64" s="120"/>
    </row>
    <row r="65" ht="21.75" customHeight="1">
      <c r="A65" s="111">
        <v>301.0</v>
      </c>
      <c r="B65" s="56" t="str">
        <f>VLOOKUP($A65,LocalisationRemorque,2,0)</f>
        <v>Andenne</v>
      </c>
      <c r="C65" s="57" t="str">
        <f>VLOOKUP($A65,LocalisationRemorque,3,0)</f>
        <v>Sclayn pas de garage</v>
      </c>
      <c r="D65" s="59" t="str">
        <f>CONCATENATE(VLOOKUP($A65,LocalisationRemorque,6,0)," ► ",VLOOKUP($A65,LocalisationRemorque,5,0))</f>
        <v>Andenne ► Namur</v>
      </c>
      <c r="E65" s="67" t="s">
        <v>19</v>
      </c>
      <c r="F65" s="63"/>
      <c r="G65" s="64"/>
      <c r="H65" s="66"/>
      <c r="I65" s="67" t="s">
        <v>19</v>
      </c>
      <c r="J65" s="63"/>
      <c r="K65" s="68"/>
      <c r="L65" s="63"/>
      <c r="M65" s="67" t="s">
        <v>19</v>
      </c>
      <c r="N65" s="63"/>
      <c r="O65" s="68"/>
      <c r="P65" s="172"/>
      <c r="Q65" s="67" t="s">
        <v>19</v>
      </c>
      <c r="R65" s="63"/>
      <c r="S65" s="68"/>
      <c r="T65" s="68"/>
      <c r="U65" s="67" t="s">
        <v>19</v>
      </c>
      <c r="V65" s="63"/>
      <c r="W65" s="68"/>
      <c r="X65" s="78"/>
      <c r="Y65" s="67"/>
      <c r="Z65" s="71"/>
      <c r="AA65" s="68"/>
      <c r="AB65" s="101"/>
      <c r="AC65" s="67"/>
      <c r="AD65" s="63"/>
      <c r="AE65" s="105"/>
      <c r="AF65" s="101"/>
      <c r="AG65" s="67"/>
      <c r="AH65" s="102"/>
      <c r="AI65" s="99"/>
      <c r="AJ65" s="101"/>
      <c r="AK65" s="67"/>
      <c r="AL65" s="100"/>
      <c r="AM65" s="105"/>
      <c r="AN65" s="101"/>
      <c r="AO65" s="67"/>
      <c r="AP65" s="63"/>
      <c r="AQ65" s="68"/>
      <c r="AR65" s="342"/>
      <c r="AS65" s="67"/>
      <c r="AT65" s="63"/>
      <c r="AU65" s="105"/>
      <c r="AV65" s="101"/>
      <c r="AW65" s="67"/>
      <c r="AX65" s="63"/>
      <c r="AY65" s="99"/>
      <c r="AZ65" s="101"/>
      <c r="BA65" s="70" t="s">
        <v>17</v>
      </c>
      <c r="BB65" s="70"/>
      <c r="BC65" s="157" t="s">
        <v>28</v>
      </c>
      <c r="BD65" s="70"/>
    </row>
    <row r="66" ht="21.75" hidden="1" customHeight="1">
      <c r="A66" s="113"/>
      <c r="B66" s="81" t="str">
        <f>VLOOKUP($A66,LocalisationRemorque,2,0)</f>
        <v> Remorque non listée</v>
      </c>
      <c r="C66" s="82" t="str">
        <f>VLOOKUP($A66,LocalisationRemorque,3,0)</f>
        <v/>
      </c>
      <c r="D66" s="83" t="str">
        <f>CONCATENATE(VLOOKUP($A66,LocalisationRemorque,6,0)," ► ",VLOOKUP($A66,LocalisationRemorque,5,0))</f>
        <v> ► </v>
      </c>
      <c r="E66" s="84"/>
      <c r="F66" s="85"/>
      <c r="G66" s="109"/>
      <c r="H66" s="90"/>
      <c r="I66" s="84" t="s">
        <v>19</v>
      </c>
      <c r="J66" s="85"/>
      <c r="K66" s="86"/>
      <c r="L66" s="85"/>
      <c r="M66" s="84"/>
      <c r="N66" s="85"/>
      <c r="O66" s="86"/>
      <c r="P66" s="190"/>
      <c r="Q66" s="84"/>
      <c r="R66" s="85"/>
      <c r="S66" s="86"/>
      <c r="T66" s="161"/>
      <c r="U66" s="84"/>
      <c r="V66" s="85"/>
      <c r="W66" s="86"/>
      <c r="X66" s="346"/>
      <c r="Y66" s="84"/>
      <c r="Z66" s="89"/>
      <c r="AA66" s="86"/>
      <c r="AB66" s="90"/>
      <c r="AC66" s="84"/>
      <c r="AD66" s="85"/>
      <c r="AE66" s="86"/>
      <c r="AF66" s="90"/>
      <c r="AG66" s="126"/>
      <c r="AH66" s="92"/>
      <c r="AI66" s="96"/>
      <c r="AJ66" s="93"/>
      <c r="AK66" s="110"/>
      <c r="AL66" s="92"/>
      <c r="AM66" s="96"/>
      <c r="AN66" s="122"/>
      <c r="AO66" s="84"/>
      <c r="AP66" s="85"/>
      <c r="AQ66" s="86"/>
      <c r="AR66" s="349"/>
      <c r="AS66" s="126"/>
      <c r="AT66" s="85"/>
      <c r="AU66" s="96"/>
      <c r="AV66" s="93"/>
      <c r="AW66" s="84"/>
      <c r="AX66" s="85"/>
      <c r="AY66" s="91"/>
      <c r="AZ66" s="93"/>
      <c r="BA66" s="155"/>
      <c r="BB66" s="155"/>
      <c r="BC66" s="128"/>
      <c r="BD66" s="155"/>
    </row>
    <row r="67" ht="21.75" customHeight="1">
      <c r="A67" s="111">
        <v>303.0</v>
      </c>
      <c r="B67" s="56" t="str">
        <f>VLOOKUP($A67,LocalisationRemorque,2,0)</f>
        <v>Andenne</v>
      </c>
      <c r="C67" s="57" t="str">
        <f>VLOOKUP($A67,LocalisationRemorque,3,0)</f>
        <v>Haute Bise</v>
      </c>
      <c r="D67" s="59" t="str">
        <f>CONCATENATE(VLOOKUP($A67,LocalisationRemorque,6,0)," ► ",VLOOKUP($A67,LocalisationRemorque,5,0))</f>
        <v>Andenne ► Ciney</v>
      </c>
      <c r="E67" s="67" t="s">
        <v>19</v>
      </c>
      <c r="F67" s="63"/>
      <c r="G67" s="64"/>
      <c r="H67" s="66"/>
      <c r="I67" s="67" t="s">
        <v>19</v>
      </c>
      <c r="J67" s="63"/>
      <c r="K67" s="68"/>
      <c r="L67" s="63"/>
      <c r="M67" s="67" t="s">
        <v>19</v>
      </c>
      <c r="N67" s="63"/>
      <c r="O67" s="68"/>
      <c r="P67" s="172"/>
      <c r="Q67" s="67" t="s">
        <v>19</v>
      </c>
      <c r="R67" s="63"/>
      <c r="S67" s="68"/>
      <c r="T67" s="78"/>
      <c r="U67" s="67" t="s">
        <v>19</v>
      </c>
      <c r="V67" s="71"/>
      <c r="W67" s="68"/>
      <c r="X67" s="78"/>
      <c r="Y67" s="67"/>
      <c r="Z67" s="63"/>
      <c r="AA67" s="68"/>
      <c r="AB67" s="66"/>
      <c r="AC67" s="67"/>
      <c r="AD67" s="71"/>
      <c r="AE67" s="68"/>
      <c r="AF67" s="78"/>
      <c r="AG67" s="156"/>
      <c r="AH67" s="100"/>
      <c r="AI67" s="105"/>
      <c r="AJ67" s="101"/>
      <c r="AK67" s="68"/>
      <c r="AL67" s="100"/>
      <c r="AM67" s="105"/>
      <c r="AN67" s="101"/>
      <c r="AO67" s="67"/>
      <c r="AP67" s="63"/>
      <c r="AQ67" s="68"/>
      <c r="AR67" s="101"/>
      <c r="AS67" s="67"/>
      <c r="AT67" s="63"/>
      <c r="AU67" s="105"/>
      <c r="AV67" s="101"/>
      <c r="AW67" s="67"/>
      <c r="AX67" s="63"/>
      <c r="AY67" s="99"/>
      <c r="AZ67" s="101"/>
      <c r="BA67" s="70" t="s">
        <v>17</v>
      </c>
      <c r="BB67" s="70" t="s">
        <v>344</v>
      </c>
      <c r="BC67" s="157" t="s">
        <v>28</v>
      </c>
      <c r="BD67" s="70"/>
    </row>
    <row r="68" ht="21.75" customHeight="1">
      <c r="A68" s="80">
        <v>304.0</v>
      </c>
      <c r="B68" s="81" t="str">
        <f>VLOOKUP($A68,LocalisationRemorque,2,0)</f>
        <v>Andenne</v>
      </c>
      <c r="C68" s="82" t="str">
        <f>VLOOKUP($A68,LocalisationRemorque,3,0)</f>
        <v>Ohey</v>
      </c>
      <c r="D68" s="83" t="str">
        <f>CONCATENATE(VLOOKUP($A68,LocalisationRemorque,6,0)," ► ",VLOOKUP($A68,LocalisationRemorque,5,0))</f>
        <v>Ciney ► Andenne</v>
      </c>
      <c r="E68" s="84" t="s">
        <v>19</v>
      </c>
      <c r="F68" s="85"/>
      <c r="G68" s="86"/>
      <c r="H68" s="87" t="s">
        <v>180</v>
      </c>
      <c r="I68" s="84" t="s">
        <v>19</v>
      </c>
      <c r="J68" s="85"/>
      <c r="K68" s="86"/>
      <c r="L68" s="85"/>
      <c r="M68" s="84" t="s">
        <v>19</v>
      </c>
      <c r="N68" s="85"/>
      <c r="O68" s="86"/>
      <c r="P68" s="190"/>
      <c r="Q68" s="84" t="s">
        <v>19</v>
      </c>
      <c r="R68" s="85"/>
      <c r="S68" s="86"/>
      <c r="T68" s="87"/>
      <c r="U68" s="84" t="s">
        <v>19</v>
      </c>
      <c r="V68" s="89"/>
      <c r="W68" s="86"/>
      <c r="X68" s="87"/>
      <c r="Y68" s="84"/>
      <c r="Z68" s="85"/>
      <c r="AA68" s="86"/>
      <c r="AB68" s="87"/>
      <c r="AC68" s="84"/>
      <c r="AD68" s="89"/>
      <c r="AE68" s="86"/>
      <c r="AF68" s="87"/>
      <c r="AG68" s="84"/>
      <c r="AH68" s="85"/>
      <c r="AI68" s="91"/>
      <c r="AJ68" s="93"/>
      <c r="AK68" s="84"/>
      <c r="AL68" s="92"/>
      <c r="AM68" s="96"/>
      <c r="AN68" s="85"/>
      <c r="AO68" s="84"/>
      <c r="AP68" s="85"/>
      <c r="AQ68" s="86"/>
      <c r="AR68" s="87"/>
      <c r="AS68" s="84"/>
      <c r="AT68" s="85"/>
      <c r="AU68" s="96"/>
      <c r="AV68" s="93"/>
      <c r="AW68" s="84"/>
      <c r="AX68" s="85"/>
      <c r="AY68" s="91"/>
      <c r="AZ68" s="93"/>
      <c r="BA68" s="77" t="s">
        <v>17</v>
      </c>
      <c r="BB68" s="77" t="s">
        <v>344</v>
      </c>
      <c r="BC68" s="159" t="s">
        <v>28</v>
      </c>
      <c r="BD68" s="77"/>
    </row>
    <row r="69" ht="21.75" customHeight="1">
      <c r="A69" s="111">
        <v>305.0</v>
      </c>
      <c r="B69" s="56" t="str">
        <f>VLOOKUP($A69,LocalisationRemorque,2,0)</f>
        <v>Andenne</v>
      </c>
      <c r="C69" s="57" t="str">
        <f>VLOOKUP($A69,LocalisationRemorque,3,0)</f>
        <v>Bierwart</v>
      </c>
      <c r="D69" s="59" t="str">
        <f>CONCATENATE(VLOOKUP($A69,LocalisationRemorque,6,0)," ► ",VLOOKUP($A69,LocalisationRemorque,5,0))</f>
        <v>Hannut ► Fernelmont</v>
      </c>
      <c r="E69" s="68"/>
      <c r="F69" s="63"/>
      <c r="G69" s="64"/>
      <c r="H69" s="66"/>
      <c r="I69" s="67"/>
      <c r="J69" s="63"/>
      <c r="K69" s="68"/>
      <c r="L69" s="63"/>
      <c r="M69" s="124"/>
      <c r="N69" s="63"/>
      <c r="O69" s="68"/>
      <c r="P69" s="172"/>
      <c r="Q69" s="67"/>
      <c r="R69" s="63"/>
      <c r="S69" s="68"/>
      <c r="T69" s="362"/>
      <c r="U69" s="67"/>
      <c r="V69" s="71"/>
      <c r="W69" s="68"/>
      <c r="X69" s="78"/>
      <c r="Y69" s="124"/>
      <c r="Z69" s="71"/>
      <c r="AA69" s="104"/>
      <c r="AB69" s="101"/>
      <c r="AC69" s="156"/>
      <c r="AD69" s="102"/>
      <c r="AE69" s="99"/>
      <c r="AF69" s="101"/>
      <c r="AG69" s="103"/>
      <c r="AH69" s="102"/>
      <c r="AI69" s="99"/>
      <c r="AJ69" s="101"/>
      <c r="AK69" s="104"/>
      <c r="AL69" s="100"/>
      <c r="AM69" s="105"/>
      <c r="AN69" s="101"/>
      <c r="AO69" s="67"/>
      <c r="AP69" s="63"/>
      <c r="AQ69" s="68"/>
      <c r="AR69" s="342"/>
      <c r="AS69" s="156"/>
      <c r="AT69" s="63"/>
      <c r="AU69" s="105"/>
      <c r="AV69" s="101"/>
      <c r="AW69" s="67"/>
      <c r="AX69" s="63"/>
      <c r="AY69" s="99"/>
      <c r="AZ69" s="101"/>
      <c r="BA69" s="70" t="s">
        <v>17</v>
      </c>
      <c r="BB69" s="70"/>
      <c r="BC69" s="79"/>
      <c r="BD69" s="70"/>
    </row>
    <row r="70" ht="21.75" customHeight="1">
      <c r="A70" s="80">
        <v>306.0</v>
      </c>
      <c r="B70" s="81" t="str">
        <f>VLOOKUP($A70,LocalisationRemorque,2,0)</f>
        <v>Beauraing</v>
      </c>
      <c r="C70" s="82" t="str">
        <f>VLOOKUP($A70,LocalisationRemorque,3,0)</f>
        <v>Focant</v>
      </c>
      <c r="D70" s="83" t="str">
        <f>CONCATENATE(VLOOKUP($A70,LocalisationRemorque,6,0)," ► ",VLOOKUP($A70,LocalisationRemorque,5,0))</f>
        <v>Beauraing ► Rochefort</v>
      </c>
      <c r="E70" s="95"/>
      <c r="F70" s="85"/>
      <c r="G70" s="109"/>
      <c r="H70" s="90"/>
      <c r="I70" s="84"/>
      <c r="J70" s="85"/>
      <c r="K70" s="86"/>
      <c r="L70" s="85"/>
      <c r="M70" s="84"/>
      <c r="N70" s="85"/>
      <c r="O70" s="86"/>
      <c r="P70" s="190"/>
      <c r="Q70" s="84"/>
      <c r="R70" s="85"/>
      <c r="S70" s="86"/>
      <c r="T70" s="87"/>
      <c r="U70" s="84"/>
      <c r="V70" s="89"/>
      <c r="W70" s="86"/>
      <c r="X70" s="87"/>
      <c r="Y70" s="84"/>
      <c r="Z70" s="89"/>
      <c r="AA70" s="109"/>
      <c r="AB70" s="90"/>
      <c r="AC70" s="84"/>
      <c r="AD70" s="85"/>
      <c r="AE70" s="86"/>
      <c r="AF70" s="87"/>
      <c r="AG70" s="84"/>
      <c r="AH70" s="94"/>
      <c r="AI70" s="91"/>
      <c r="AJ70" s="93"/>
      <c r="AK70" s="84"/>
      <c r="AL70" s="92"/>
      <c r="AM70" s="96"/>
      <c r="AN70" s="93"/>
      <c r="AO70" s="84"/>
      <c r="AP70" s="85"/>
      <c r="AQ70" s="86"/>
      <c r="AR70" s="85"/>
      <c r="AS70" s="110"/>
      <c r="AT70" s="85"/>
      <c r="AU70" s="96"/>
      <c r="AV70" s="93"/>
      <c r="AW70" s="84"/>
      <c r="AX70" s="85"/>
      <c r="AY70" s="91"/>
      <c r="AZ70" s="93"/>
      <c r="BA70" s="77" t="s">
        <v>17</v>
      </c>
      <c r="BB70" s="77"/>
      <c r="BC70" s="97"/>
      <c r="BD70" s="77"/>
    </row>
    <row r="71" ht="21.75" customHeight="1">
      <c r="A71" s="111">
        <v>307.0</v>
      </c>
      <c r="B71" s="56" t="str">
        <f>VLOOKUP($A71,LocalisationRemorque,2,0)</f>
        <v>Hamois</v>
      </c>
      <c r="C71" s="57" t="str">
        <f>VLOOKUP($A71,LocalisationRemorque,3,0)</f>
        <v>Hamois</v>
      </c>
      <c r="D71" s="59" t="str">
        <f>CONCATENATE(VLOOKUP($A71,LocalisationRemorque,6,0)," ► ",VLOOKUP($A71,LocalisationRemorque,5,0))</f>
        <v>Ciney ► Havelange</v>
      </c>
      <c r="E71" s="67"/>
      <c r="F71" s="63" t="s">
        <v>180</v>
      </c>
      <c r="G71" s="64"/>
      <c r="H71" s="66"/>
      <c r="I71" s="67"/>
      <c r="J71" s="63"/>
      <c r="K71" s="68"/>
      <c r="L71" s="63"/>
      <c r="M71" s="67"/>
      <c r="N71" s="63"/>
      <c r="O71" s="68"/>
      <c r="P71" s="172"/>
      <c r="Q71" s="67"/>
      <c r="R71" s="63"/>
      <c r="S71" s="68"/>
      <c r="T71" s="66"/>
      <c r="U71" s="67"/>
      <c r="V71" s="71"/>
      <c r="W71" s="68"/>
      <c r="X71" s="78"/>
      <c r="Y71" s="68"/>
      <c r="Z71" s="63"/>
      <c r="AA71" s="68"/>
      <c r="AB71" s="66"/>
      <c r="AC71" s="67"/>
      <c r="AD71" s="63"/>
      <c r="AE71" s="68" t="s">
        <v>294</v>
      </c>
      <c r="AF71" s="66"/>
      <c r="AG71" s="67"/>
      <c r="AH71" s="63"/>
      <c r="AI71" s="68"/>
      <c r="AJ71" s="78"/>
      <c r="AK71" s="67"/>
      <c r="AL71" s="63"/>
      <c r="AM71" s="99"/>
      <c r="AN71" s="63"/>
      <c r="AO71" s="67"/>
      <c r="AP71" s="63"/>
      <c r="AQ71" s="68"/>
      <c r="AR71" s="63"/>
      <c r="AS71" s="103"/>
      <c r="AT71" s="63"/>
      <c r="AU71" s="105"/>
      <c r="AV71" s="101"/>
      <c r="AW71" s="67"/>
      <c r="AX71" s="63"/>
      <c r="AY71" s="99"/>
      <c r="AZ71" s="101"/>
      <c r="BA71" s="70" t="s">
        <v>17</v>
      </c>
      <c r="BB71" s="70" t="s">
        <v>344</v>
      </c>
      <c r="BC71" s="79"/>
      <c r="BD71" s="70"/>
    </row>
    <row r="72" ht="21.75" customHeight="1">
      <c r="A72" s="113">
        <v>367.0</v>
      </c>
      <c r="B72" s="81" t="str">
        <f>VLOOKUP($A72,LocalisationRemorque,2,0)</f>
        <v>Hamois</v>
      </c>
      <c r="C72" s="82" t="str">
        <f>VLOOKUP($A72,LocalisationRemorque,3,0)</f>
        <v>Hamois 2</v>
      </c>
      <c r="D72" s="83" t="str">
        <f>CONCATENATE(VLOOKUP($A72,LocalisationRemorque,6,0)," ► ",VLOOKUP($A72,LocalisationRemorque,5,0))</f>
        <v>Havelange ► Ciney</v>
      </c>
      <c r="E72" s="86"/>
      <c r="F72" s="85"/>
      <c r="G72" s="109"/>
      <c r="H72" s="90"/>
      <c r="I72" s="84"/>
      <c r="J72" s="85"/>
      <c r="K72" s="86"/>
      <c r="L72" s="85"/>
      <c r="M72" s="84"/>
      <c r="N72" s="85"/>
      <c r="O72" s="86"/>
      <c r="P72" s="190"/>
      <c r="Q72" s="84"/>
      <c r="R72" s="85"/>
      <c r="S72" s="86"/>
      <c r="T72" s="87"/>
      <c r="U72" s="84"/>
      <c r="V72" s="89"/>
      <c r="W72" s="86"/>
      <c r="X72" s="87"/>
      <c r="Y72" s="84"/>
      <c r="Z72" s="85"/>
      <c r="AA72" s="86"/>
      <c r="AB72" s="87"/>
      <c r="AC72" s="84"/>
      <c r="AD72" s="85"/>
      <c r="AE72" s="86"/>
      <c r="AF72" s="90"/>
      <c r="AG72" s="84"/>
      <c r="AH72" s="85"/>
      <c r="AI72" s="96"/>
      <c r="AJ72" s="122"/>
      <c r="AK72" s="84"/>
      <c r="AL72" s="85"/>
      <c r="AM72" s="91"/>
      <c r="AN72" s="93"/>
      <c r="AO72" s="86"/>
      <c r="AP72" s="85"/>
      <c r="AQ72" s="86"/>
      <c r="AR72" s="85"/>
      <c r="AS72" s="110"/>
      <c r="AT72" s="85"/>
      <c r="AU72" s="96"/>
      <c r="AV72" s="93"/>
      <c r="AW72" s="84" t="s">
        <v>294</v>
      </c>
      <c r="AX72" s="85"/>
      <c r="AY72" s="91"/>
      <c r="AZ72" s="93"/>
      <c r="BA72" s="77" t="s">
        <v>17</v>
      </c>
      <c r="BB72" s="77" t="s">
        <v>344</v>
      </c>
      <c r="BC72" s="97"/>
      <c r="BD72" s="77"/>
    </row>
    <row r="73" ht="21.75" customHeight="1">
      <c r="A73" s="111">
        <v>308.0</v>
      </c>
      <c r="B73" s="56" t="str">
        <f>VLOOKUP($A73,LocalisationRemorque,2,0)</f>
        <v>Ciney</v>
      </c>
      <c r="C73" s="57" t="str">
        <f>VLOOKUP($A73,LocalisationRemorque,3,0)</f>
        <v>Barcène</v>
      </c>
      <c r="D73" s="59" t="str">
        <f>CONCATENATE(VLOOKUP($A73,LocalisationRemorque,6,0)," ► ",VLOOKUP($A73,LocalisationRemorque,5,0))</f>
        <v>Rochefort ► Ciney</v>
      </c>
      <c r="E73" s="67"/>
      <c r="F73" s="63"/>
      <c r="G73" s="64"/>
      <c r="H73" s="66"/>
      <c r="I73" s="67"/>
      <c r="J73" s="63"/>
      <c r="K73" s="68"/>
      <c r="L73" s="63"/>
      <c r="M73" s="67"/>
      <c r="N73" s="63"/>
      <c r="O73" s="68"/>
      <c r="P73" s="172"/>
      <c r="Q73" s="67"/>
      <c r="R73" s="63"/>
      <c r="S73" s="68"/>
      <c r="T73" s="78"/>
      <c r="U73" s="67"/>
      <c r="V73" s="71"/>
      <c r="W73" s="68"/>
      <c r="X73" s="78"/>
      <c r="Y73" s="67"/>
      <c r="Z73" s="63"/>
      <c r="AA73" s="68"/>
      <c r="AB73" s="66"/>
      <c r="AC73" s="67"/>
      <c r="AD73" s="63"/>
      <c r="AE73" s="68"/>
      <c r="AF73" s="78"/>
      <c r="AG73" s="67"/>
      <c r="AH73" s="63"/>
      <c r="AI73" s="68"/>
      <c r="AJ73" s="101"/>
      <c r="AK73" s="67"/>
      <c r="AL73" s="63"/>
      <c r="AM73" s="99"/>
      <c r="AN73" s="78"/>
      <c r="AO73" s="67"/>
      <c r="AP73" s="63"/>
      <c r="AQ73" s="68"/>
      <c r="AR73" s="63"/>
      <c r="AS73" s="103"/>
      <c r="AT73" s="63"/>
      <c r="AU73" s="105"/>
      <c r="AV73" s="101"/>
      <c r="AW73" s="67"/>
      <c r="AX73" s="63"/>
      <c r="AY73" s="99"/>
      <c r="AZ73" s="101"/>
      <c r="BA73" s="70" t="s">
        <v>17</v>
      </c>
      <c r="BB73" s="70"/>
      <c r="BC73" s="79"/>
      <c r="BD73" s="70"/>
    </row>
    <row r="74" ht="21.75" customHeight="1">
      <c r="A74" s="113">
        <v>319.0</v>
      </c>
      <c r="B74" s="81" t="str">
        <f>VLOOKUP($A74,LocalisationRemorque,2,0)</f>
        <v>Ciney</v>
      </c>
      <c r="C74" s="82" t="str">
        <f>VLOOKUP($A74,LocalisationRemorque,3,0)</f>
        <v>Lienne Haut</v>
      </c>
      <c r="D74" s="83" t="str">
        <f>CONCATENATE(VLOOKUP($A74,LocalisationRemorque,6,0)," ► ",VLOOKUP($A74,LocalisationRemorque,5,0))</f>
        <v>Ciney ► Andenne</v>
      </c>
      <c r="E74" s="84"/>
      <c r="F74" s="85"/>
      <c r="G74" s="109"/>
      <c r="H74" s="90"/>
      <c r="I74" s="84"/>
      <c r="J74" s="85"/>
      <c r="K74" s="86"/>
      <c r="L74" s="85"/>
      <c r="M74" s="84"/>
      <c r="N74" s="85"/>
      <c r="O74" s="86"/>
      <c r="P74" s="190"/>
      <c r="Q74" s="84"/>
      <c r="R74" s="85"/>
      <c r="S74" s="86"/>
      <c r="T74" s="90"/>
      <c r="U74" s="84"/>
      <c r="V74" s="89"/>
      <c r="W74" s="86"/>
      <c r="X74" s="87"/>
      <c r="Y74" s="84"/>
      <c r="Z74" s="85"/>
      <c r="AA74" s="86"/>
      <c r="AB74" s="87"/>
      <c r="AC74" s="84"/>
      <c r="AD74" s="85"/>
      <c r="AE74" s="86"/>
      <c r="AF74" s="87"/>
      <c r="AG74" s="84"/>
      <c r="AH74" s="85"/>
      <c r="AI74" s="86"/>
      <c r="AJ74" s="93"/>
      <c r="AK74" s="84"/>
      <c r="AL74" s="94"/>
      <c r="AM74" s="91"/>
      <c r="AN74" s="87"/>
      <c r="AO74" s="84"/>
      <c r="AP74" s="85"/>
      <c r="AQ74" s="86"/>
      <c r="AR74" s="85"/>
      <c r="AS74" s="110"/>
      <c r="AT74" s="85"/>
      <c r="AU74" s="96"/>
      <c r="AV74" s="93"/>
      <c r="AW74" s="84"/>
      <c r="AX74" s="85"/>
      <c r="AY74" s="91"/>
      <c r="AZ74" s="93"/>
      <c r="BA74" s="77" t="s">
        <v>17</v>
      </c>
      <c r="BB74" s="77"/>
      <c r="BC74" s="97"/>
      <c r="BD74" s="77"/>
    </row>
    <row r="75" ht="21.75" customHeight="1">
      <c r="A75" s="111">
        <v>309.0</v>
      </c>
      <c r="B75" s="56" t="str">
        <f>VLOOKUP($A75,LocalisationRemorque,2,0)</f>
        <v>Ciney</v>
      </c>
      <c r="C75" s="57" t="str">
        <f>VLOOKUP($A75,LocalisationRemorque,3,0)</f>
        <v>Lienne Bas</v>
      </c>
      <c r="D75" s="59" t="str">
        <f>CONCATENATE(VLOOKUP($A75,LocalisationRemorque,6,0)," ► ",VLOOKUP($A75,LocalisationRemorque,5,0))</f>
        <v>Andenne ► Ciney Centre</v>
      </c>
      <c r="E75" s="67"/>
      <c r="F75" s="63"/>
      <c r="G75" s="64"/>
      <c r="H75" s="66"/>
      <c r="I75" s="67"/>
      <c r="J75" s="63"/>
      <c r="K75" s="68"/>
      <c r="L75" s="63"/>
      <c r="M75" s="67"/>
      <c r="N75" s="63"/>
      <c r="O75" s="68"/>
      <c r="P75" s="172"/>
      <c r="Q75" s="67"/>
      <c r="R75" s="63"/>
      <c r="S75" s="68"/>
      <c r="T75" s="66"/>
      <c r="U75" s="67"/>
      <c r="V75" s="71"/>
      <c r="W75" s="68"/>
      <c r="X75" s="78"/>
      <c r="Y75" s="67"/>
      <c r="Z75" s="63"/>
      <c r="AA75" s="68"/>
      <c r="AB75" s="78"/>
      <c r="AC75" s="67"/>
      <c r="AD75" s="63"/>
      <c r="AE75" s="68"/>
      <c r="AF75" s="66"/>
      <c r="AG75" s="67"/>
      <c r="AH75" s="63"/>
      <c r="AI75" s="68"/>
      <c r="AJ75" s="78"/>
      <c r="AK75" s="68"/>
      <c r="AL75" s="78"/>
      <c r="AM75" s="99"/>
      <c r="AN75" s="78"/>
      <c r="AO75" s="67"/>
      <c r="AP75" s="63"/>
      <c r="AQ75" s="68"/>
      <c r="AR75" s="101"/>
      <c r="AS75" s="67"/>
      <c r="AT75" s="63"/>
      <c r="AU75" s="105"/>
      <c r="AV75" s="101"/>
      <c r="AW75" s="67"/>
      <c r="AX75" s="63"/>
      <c r="AY75" s="99"/>
      <c r="AZ75" s="101"/>
      <c r="BA75" s="70" t="s">
        <v>17</v>
      </c>
      <c r="BB75" s="70"/>
      <c r="BC75" s="79"/>
      <c r="BD75" s="70"/>
    </row>
    <row r="76" ht="21.75" customHeight="1">
      <c r="A76" s="80">
        <v>310.0</v>
      </c>
      <c r="B76" s="81" t="str">
        <f>VLOOKUP($A76,LocalisationRemorque,2,0)</f>
        <v>Ciney</v>
      </c>
      <c r="C76" s="82" t="str">
        <f>VLOOKUP($A76,LocalisationRemorque,3,0)</f>
        <v>Biron Bas</v>
      </c>
      <c r="D76" s="83" t="str">
        <f>CONCATENATE(VLOOKUP($A76,LocalisationRemorque,6,0)," ► ",VLOOKUP($A76,LocalisationRemorque,5,0))</f>
        <v>Ciney ► N4</v>
      </c>
      <c r="E76" s="84"/>
      <c r="F76" s="85"/>
      <c r="G76" s="109"/>
      <c r="H76" s="90"/>
      <c r="I76" s="84"/>
      <c r="J76" s="85"/>
      <c r="K76" s="86"/>
      <c r="L76" s="85"/>
      <c r="M76" s="84"/>
      <c r="N76" s="85"/>
      <c r="O76" s="86"/>
      <c r="P76" s="90"/>
      <c r="Q76" s="84"/>
      <c r="R76" s="85"/>
      <c r="S76" s="86"/>
      <c r="T76" s="85"/>
      <c r="U76" s="84"/>
      <c r="V76" s="89"/>
      <c r="W76" s="86"/>
      <c r="X76" s="87"/>
      <c r="Y76" s="84"/>
      <c r="Z76" s="85"/>
      <c r="AA76" s="86"/>
      <c r="AB76" s="87"/>
      <c r="AC76" s="84"/>
      <c r="AD76" s="85"/>
      <c r="AE76" s="86"/>
      <c r="AF76" s="90"/>
      <c r="AG76" s="84"/>
      <c r="AH76" s="94"/>
      <c r="AI76" s="86"/>
      <c r="AJ76" s="85"/>
      <c r="AK76" s="84"/>
      <c r="AL76" s="85"/>
      <c r="AM76" s="86" t="s">
        <v>294</v>
      </c>
      <c r="AN76" s="93"/>
      <c r="AO76" s="84"/>
      <c r="AP76" s="94"/>
      <c r="AQ76" s="86"/>
      <c r="AR76" s="349"/>
      <c r="AS76" s="84"/>
      <c r="AT76" s="85"/>
      <c r="AU76" s="96"/>
      <c r="AV76" s="93"/>
      <c r="AW76" s="84"/>
      <c r="AX76" s="85"/>
      <c r="AY76" s="91"/>
      <c r="AZ76" s="93"/>
      <c r="BA76" s="77" t="s">
        <v>17</v>
      </c>
      <c r="BB76" s="77"/>
      <c r="BC76" s="97"/>
      <c r="BD76" s="77"/>
    </row>
    <row r="77" ht="21.75" customHeight="1">
      <c r="A77" s="111">
        <v>311.0</v>
      </c>
      <c r="B77" s="56" t="str">
        <f>VLOOKUP($A77,LocalisationRemorque,2,0)</f>
        <v>Ciney</v>
      </c>
      <c r="C77" s="57" t="str">
        <f>VLOOKUP($A77,LocalisationRemorque,3,0)</f>
        <v>N4 Sanseau</v>
      </c>
      <c r="D77" s="59" t="str">
        <f>CONCATENATE(VLOOKUP($A77,LocalisationRemorque,6,0)," ► ",VLOOKUP($A77,LocalisationRemorque,5,0))</f>
        <v>Namur ► Marche-en-Famenne</v>
      </c>
      <c r="E77" s="67"/>
      <c r="F77" s="63" t="s">
        <v>180</v>
      </c>
      <c r="G77" s="64"/>
      <c r="H77" s="66"/>
      <c r="I77" s="67"/>
      <c r="J77" s="63"/>
      <c r="K77" s="68"/>
      <c r="L77" s="63"/>
      <c r="M77" s="67"/>
      <c r="N77" s="63"/>
      <c r="O77" s="68"/>
      <c r="P77" s="78"/>
      <c r="Q77" s="67" t="s">
        <v>294</v>
      </c>
      <c r="R77" s="63"/>
      <c r="S77" s="68"/>
      <c r="T77" s="63"/>
      <c r="U77" s="67"/>
      <c r="V77" s="71"/>
      <c r="W77" s="68"/>
      <c r="X77" s="78"/>
      <c r="Y77" s="67" t="s">
        <v>294</v>
      </c>
      <c r="Z77" s="63"/>
      <c r="AA77" s="68"/>
      <c r="AB77" s="66"/>
      <c r="AC77" s="67"/>
      <c r="AD77" s="63"/>
      <c r="AE77" s="68"/>
      <c r="AF77" s="78"/>
      <c r="AG77" s="67"/>
      <c r="AH77" s="63"/>
      <c r="AI77" s="99"/>
      <c r="AJ77" s="101"/>
      <c r="AK77" s="67"/>
      <c r="AL77" s="63"/>
      <c r="AM77" s="99"/>
      <c r="AN77" s="101"/>
      <c r="AO77" s="67"/>
      <c r="AP77" s="102"/>
      <c r="AQ77" s="68"/>
      <c r="AR77" s="101"/>
      <c r="AS77" s="67" t="s">
        <v>294</v>
      </c>
      <c r="AT77" s="63"/>
      <c r="AU77" s="105"/>
      <c r="AV77" s="101"/>
      <c r="AW77" s="67"/>
      <c r="AX77" s="63"/>
      <c r="AY77" s="99"/>
      <c r="AZ77" s="101"/>
      <c r="BA77" s="70" t="s">
        <v>17</v>
      </c>
      <c r="BB77" s="70"/>
      <c r="BC77" s="79"/>
      <c r="BD77" s="70"/>
    </row>
    <row r="78" ht="21.75" customHeight="1">
      <c r="A78" s="80">
        <v>312.0</v>
      </c>
      <c r="B78" s="81" t="str">
        <f>VLOOKUP($A78,LocalisationRemorque,2,0)</f>
        <v>Dinant</v>
      </c>
      <c r="C78" s="82" t="str">
        <f>VLOOKUP($A78,LocalisationRemorque,3,0)</f>
        <v>Sorinnes Achêne</v>
      </c>
      <c r="D78" s="83" t="str">
        <f>CONCATENATE(VLOOKUP($A78,LocalisationRemorque,6,0)," ► ",VLOOKUP($A78,LocalisationRemorque,5,0))</f>
        <v>Dinant ► Ciney</v>
      </c>
      <c r="E78" s="84"/>
      <c r="F78" s="85"/>
      <c r="G78" s="86"/>
      <c r="H78" s="90"/>
      <c r="I78" s="84"/>
      <c r="J78" s="85"/>
      <c r="K78" s="86"/>
      <c r="L78" s="85"/>
      <c r="M78" s="84"/>
      <c r="N78" s="85"/>
      <c r="O78" s="86"/>
      <c r="P78" s="87"/>
      <c r="Q78" s="84"/>
      <c r="R78" s="85"/>
      <c r="S78" s="86"/>
      <c r="T78" s="85"/>
      <c r="U78" s="84"/>
      <c r="V78" s="89"/>
      <c r="W78" s="86"/>
      <c r="X78" s="87"/>
      <c r="Y78" s="84"/>
      <c r="Z78" s="85"/>
      <c r="AA78" s="86"/>
      <c r="AB78" s="90"/>
      <c r="AC78" s="84"/>
      <c r="AD78" s="85"/>
      <c r="AE78" s="86"/>
      <c r="AF78" s="87"/>
      <c r="AG78" s="84"/>
      <c r="AH78" s="85"/>
      <c r="AI78" s="91"/>
      <c r="AJ78" s="87"/>
      <c r="AK78" s="86"/>
      <c r="AL78" s="406"/>
      <c r="AM78" s="86"/>
      <c r="AN78" s="87"/>
      <c r="AO78" s="84"/>
      <c r="AP78" s="94"/>
      <c r="AQ78" s="86"/>
      <c r="AR78" s="87"/>
      <c r="AS78" s="86"/>
      <c r="AT78" s="85"/>
      <c r="AU78" s="96"/>
      <c r="AV78" s="93"/>
      <c r="AW78" s="84"/>
      <c r="AX78" s="85"/>
      <c r="AY78" s="91"/>
      <c r="AZ78" s="93"/>
      <c r="BA78" s="77" t="s">
        <v>17</v>
      </c>
      <c r="BB78" s="77" t="s">
        <v>344</v>
      </c>
      <c r="BC78" s="97"/>
      <c r="BD78" s="77"/>
    </row>
    <row r="79" ht="21.75" customHeight="1">
      <c r="A79" s="111">
        <v>313.0</v>
      </c>
      <c r="B79" s="56" t="str">
        <f>VLOOKUP($A79,LocalisationRemorque,2,0)</f>
        <v>Dinant</v>
      </c>
      <c r="C79" s="57" t="str">
        <f>VLOOKUP($A79,LocalisationRemorque,3,0)</f>
        <v>Sorinnes Hopital</v>
      </c>
      <c r="D79" s="59" t="str">
        <f>CONCATENATE(VLOOKUP($A79,LocalisationRemorque,6,0)," ► ",VLOOKUP($A79,LocalisationRemorque,5,0))</f>
        <v>Ciney ► Dinant</v>
      </c>
      <c r="E79" s="67"/>
      <c r="F79" s="63" t="s">
        <v>180</v>
      </c>
      <c r="G79" s="64"/>
      <c r="H79" s="66"/>
      <c r="I79" s="67"/>
      <c r="J79" s="63"/>
      <c r="K79" s="68"/>
      <c r="L79" s="63"/>
      <c r="M79" s="67"/>
      <c r="N79" s="63"/>
      <c r="O79" s="68"/>
      <c r="P79" s="66"/>
      <c r="Q79" s="67"/>
      <c r="R79" s="63"/>
      <c r="S79" s="68"/>
      <c r="T79" s="63"/>
      <c r="U79" s="67"/>
      <c r="V79" s="63"/>
      <c r="W79" s="68"/>
      <c r="X79" s="78"/>
      <c r="Y79" s="67"/>
      <c r="Z79" s="63"/>
      <c r="AA79" s="68"/>
      <c r="AB79" s="78"/>
      <c r="AC79" s="67"/>
      <c r="AD79" s="63"/>
      <c r="AE79" s="68"/>
      <c r="AF79" s="78"/>
      <c r="AG79" s="67"/>
      <c r="AH79" s="63"/>
      <c r="AI79" s="99"/>
      <c r="AJ79" s="78"/>
      <c r="AK79" s="67"/>
      <c r="AL79" s="63"/>
      <c r="AM79" s="99"/>
      <c r="AN79" s="78"/>
      <c r="AO79" s="67"/>
      <c r="AP79" s="102"/>
      <c r="AQ79" s="68"/>
      <c r="AR79" s="63"/>
      <c r="AS79" s="67"/>
      <c r="AT79" s="63"/>
      <c r="AU79" s="105"/>
      <c r="AV79" s="101"/>
      <c r="AW79" s="67"/>
      <c r="AX79" s="63"/>
      <c r="AY79" s="99"/>
      <c r="AZ79" s="101"/>
      <c r="BA79" s="70" t="s">
        <v>17</v>
      </c>
      <c r="BB79" s="70" t="s">
        <v>344</v>
      </c>
      <c r="BC79" s="79"/>
      <c r="BD79" s="70"/>
    </row>
    <row r="80" ht="21.75" customHeight="1">
      <c r="A80" s="80">
        <v>314.0</v>
      </c>
      <c r="B80" s="81" t="str">
        <f>VLOOKUP($A80,LocalisationRemorque,2,0)</f>
        <v>Dinant</v>
      </c>
      <c r="C80" s="82" t="str">
        <f>VLOOKUP($A80,LocalisationRemorque,3,0)</f>
        <v>Sorinnes Hopital 2</v>
      </c>
      <c r="D80" s="83" t="str">
        <f>CONCATENATE(VLOOKUP($A80,LocalisationRemorque,6,0)," ► ",VLOOKUP($A80,LocalisationRemorque,5,0))</f>
        <v>Ciney ► Dinant</v>
      </c>
      <c r="E80" s="84"/>
      <c r="F80" s="85"/>
      <c r="G80" s="109"/>
      <c r="H80" s="90"/>
      <c r="I80" s="84"/>
      <c r="J80" s="85"/>
      <c r="K80" s="86"/>
      <c r="L80" s="85"/>
      <c r="M80" s="84"/>
      <c r="N80" s="85"/>
      <c r="O80" s="86"/>
      <c r="P80" s="87"/>
      <c r="Q80" s="84"/>
      <c r="R80" s="85"/>
      <c r="S80" s="86"/>
      <c r="T80" s="85"/>
      <c r="U80" s="84"/>
      <c r="V80" s="85"/>
      <c r="W80" s="86"/>
      <c r="X80" s="87"/>
      <c r="Y80" s="84"/>
      <c r="Z80" s="85"/>
      <c r="AA80" s="91"/>
      <c r="AB80" s="93"/>
      <c r="AC80" s="84"/>
      <c r="AD80" s="85"/>
      <c r="AE80" s="86"/>
      <c r="AF80" s="93"/>
      <c r="AG80" s="84"/>
      <c r="AH80" s="85"/>
      <c r="AI80" s="91"/>
      <c r="AJ80" s="93"/>
      <c r="AK80" s="84"/>
      <c r="AL80" s="85"/>
      <c r="AM80" s="86"/>
      <c r="AN80" s="87"/>
      <c r="AO80" s="84"/>
      <c r="AP80" s="94"/>
      <c r="AQ80" s="86"/>
      <c r="AR80" s="93"/>
      <c r="AS80" s="84"/>
      <c r="AT80" s="85"/>
      <c r="AU80" s="96"/>
      <c r="AV80" s="93"/>
      <c r="AW80" s="84"/>
      <c r="AX80" s="85"/>
      <c r="AY80" s="91"/>
      <c r="AZ80" s="93"/>
      <c r="BA80" s="77" t="s">
        <v>17</v>
      </c>
      <c r="BB80" s="77" t="s">
        <v>344</v>
      </c>
      <c r="BC80" s="97"/>
      <c r="BD80" s="77"/>
    </row>
    <row r="81" ht="21.75" customHeight="1">
      <c r="A81" s="111">
        <v>315.0</v>
      </c>
      <c r="B81" s="56" t="str">
        <f>VLOOKUP($A81,LocalisationRemorque,2,0)</f>
        <v>Dinant</v>
      </c>
      <c r="C81" s="57" t="str">
        <f>VLOOKUP($A81,LocalisationRemorque,3,0)</f>
        <v>Anhée</v>
      </c>
      <c r="D81" s="59" t="str">
        <f>CONCATENATE(VLOOKUP($A81,LocalisationRemorque,6,0)," ► ",VLOOKUP($A81,LocalisationRemorque,5,0))</f>
        <v>Namur ► Dinant</v>
      </c>
      <c r="E81" s="68"/>
      <c r="F81" s="63"/>
      <c r="G81" s="64"/>
      <c r="H81" s="66"/>
      <c r="I81" s="67"/>
      <c r="J81" s="63"/>
      <c r="K81" s="68"/>
      <c r="L81" s="63"/>
      <c r="M81" s="67"/>
      <c r="N81" s="63"/>
      <c r="O81" s="68"/>
      <c r="P81" s="78"/>
      <c r="Q81" s="68"/>
      <c r="R81" s="71"/>
      <c r="S81" s="68"/>
      <c r="T81" s="63"/>
      <c r="U81" s="67"/>
      <c r="V81" s="63"/>
      <c r="W81" s="68"/>
      <c r="X81" s="78"/>
      <c r="Y81" s="67"/>
      <c r="Z81" s="63"/>
      <c r="AA81" s="68"/>
      <c r="AB81" s="78"/>
      <c r="AC81" s="67"/>
      <c r="AD81" s="71"/>
      <c r="AE81" s="68"/>
      <c r="AF81" s="78"/>
      <c r="AG81" s="67"/>
      <c r="AH81" s="63"/>
      <c r="AI81" s="99"/>
      <c r="AJ81" s="101"/>
      <c r="AK81" s="67"/>
      <c r="AL81" s="102"/>
      <c r="AM81" s="68"/>
      <c r="AN81" s="78"/>
      <c r="AO81" s="67"/>
      <c r="AP81" s="102"/>
      <c r="AQ81" s="68"/>
      <c r="AR81" s="407"/>
      <c r="AS81" s="67"/>
      <c r="AT81" s="63"/>
      <c r="AU81" s="105"/>
      <c r="AV81" s="101"/>
      <c r="AW81" s="67"/>
      <c r="AX81" s="63"/>
      <c r="AY81" s="99"/>
      <c r="AZ81" s="101"/>
      <c r="BA81" s="70" t="s">
        <v>17</v>
      </c>
      <c r="BB81" s="70"/>
      <c r="BC81" s="79"/>
      <c r="BD81" s="70"/>
    </row>
    <row r="82" ht="21.75" customHeight="1">
      <c r="A82" s="80">
        <v>316.0</v>
      </c>
      <c r="B82" s="81" t="str">
        <f>VLOOKUP($A82,LocalisationRemorque,2,0)</f>
        <v>Dinant</v>
      </c>
      <c r="C82" s="82" t="str">
        <f>VLOOKUP($A82,LocalisationRemorque,3,0)</f>
        <v>Falmignoul</v>
      </c>
      <c r="D82" s="83" t="str">
        <f>CONCATENATE(VLOOKUP($A82,LocalisationRemorque,6,0)," ► ",VLOOKUP($A82,LocalisationRemorque,5,0))</f>
        <v>Dinant ► Beauraing</v>
      </c>
      <c r="E82" s="408"/>
      <c r="F82" s="85"/>
      <c r="G82" s="109"/>
      <c r="H82" s="90"/>
      <c r="I82" s="84"/>
      <c r="J82" s="85"/>
      <c r="K82" s="86"/>
      <c r="L82" s="85"/>
      <c r="M82" s="84"/>
      <c r="N82" s="85"/>
      <c r="O82" s="86"/>
      <c r="P82" s="87"/>
      <c r="Q82" s="409"/>
      <c r="R82" s="410"/>
      <c r="S82" s="86"/>
      <c r="T82" s="85"/>
      <c r="U82" s="84"/>
      <c r="V82" s="85"/>
      <c r="W82" s="86"/>
      <c r="X82" s="87"/>
      <c r="Y82" s="84"/>
      <c r="Z82" s="85"/>
      <c r="AA82" s="91"/>
      <c r="AB82" s="93"/>
      <c r="AC82" s="84"/>
      <c r="AD82" s="94"/>
      <c r="AE82" s="86"/>
      <c r="AF82" s="87"/>
      <c r="AG82" s="84"/>
      <c r="AH82" s="85"/>
      <c r="AI82" s="91"/>
      <c r="AJ82" s="93"/>
      <c r="AK82" s="84"/>
      <c r="AL82" s="85"/>
      <c r="AM82" s="91"/>
      <c r="AN82" s="93"/>
      <c r="AO82" s="84"/>
      <c r="AP82" s="94"/>
      <c r="AQ82" s="86"/>
      <c r="AR82" s="87"/>
      <c r="AS82" s="86"/>
      <c r="AT82" s="85"/>
      <c r="AU82" s="96"/>
      <c r="AV82" s="93"/>
      <c r="AW82" s="84"/>
      <c r="AX82" s="85"/>
      <c r="AY82" s="91"/>
      <c r="AZ82" s="93"/>
      <c r="BA82" s="77" t="s">
        <v>17</v>
      </c>
      <c r="BB82" s="77"/>
      <c r="BC82" s="97"/>
      <c r="BD82" s="77"/>
    </row>
    <row r="83" ht="21.75" customHeight="1">
      <c r="A83" s="111">
        <v>317.0</v>
      </c>
      <c r="B83" s="56" t="str">
        <f>VLOOKUP($A83,LocalisationRemorque,2,0)</f>
        <v>Dinant</v>
      </c>
      <c r="C83" s="57" t="str">
        <f>VLOOKUP($A83,LocalisationRemorque,3,0)</f>
        <v>Anthée</v>
      </c>
      <c r="D83" s="59" t="str">
        <f>CONCATENATE(VLOOKUP($A83,LocalisationRemorque,6,0)," ► ",VLOOKUP($A83,LocalisationRemorque,5,0))</f>
        <v>Dinant ► Philippeville</v>
      </c>
      <c r="E83" s="68"/>
      <c r="F83" s="63"/>
      <c r="G83" s="64"/>
      <c r="H83" s="66"/>
      <c r="I83" s="67"/>
      <c r="J83" s="63"/>
      <c r="K83" s="68"/>
      <c r="L83" s="63"/>
      <c r="M83" s="67"/>
      <c r="N83" s="63"/>
      <c r="O83" s="68"/>
      <c r="P83" s="78"/>
      <c r="Q83" s="124"/>
      <c r="R83" s="63"/>
      <c r="S83" s="68"/>
      <c r="T83" s="63"/>
      <c r="U83" s="67"/>
      <c r="V83" s="63"/>
      <c r="W83" s="68"/>
      <c r="X83" s="78"/>
      <c r="Y83" s="67"/>
      <c r="Z83" s="63"/>
      <c r="AA83" s="64"/>
      <c r="AB83" s="66"/>
      <c r="AC83" s="67"/>
      <c r="AD83" s="63"/>
      <c r="AE83" s="68"/>
      <c r="AF83" s="66"/>
      <c r="AG83" s="67"/>
      <c r="AH83" s="63"/>
      <c r="AI83" s="68"/>
      <c r="AJ83" s="78"/>
      <c r="AK83" s="67"/>
      <c r="AL83" s="63"/>
      <c r="AM83" s="68"/>
      <c r="AN83" s="101"/>
      <c r="AO83" s="67"/>
      <c r="AP83" s="102"/>
      <c r="AQ83" s="68"/>
      <c r="AR83" s="78"/>
      <c r="AS83" s="67"/>
      <c r="AT83" s="63"/>
      <c r="AU83" s="105"/>
      <c r="AV83" s="101"/>
      <c r="AW83" s="67"/>
      <c r="AX83" s="63"/>
      <c r="AY83" s="99"/>
      <c r="AZ83" s="101"/>
      <c r="BA83" s="70" t="s">
        <v>17</v>
      </c>
      <c r="BB83" s="70"/>
      <c r="BC83" s="79"/>
      <c r="BD83" s="70"/>
    </row>
    <row r="84" ht="21.75" customHeight="1">
      <c r="A84" s="80">
        <v>318.0</v>
      </c>
      <c r="B84" s="81" t="str">
        <f>VLOOKUP($A84,LocalisationRemorque,2,0)</f>
        <v>Eghezée</v>
      </c>
      <c r="C84" s="82" t="str">
        <f>VLOOKUP($A84,LocalisationRemorque,3,0)</f>
        <v>Eghezée </v>
      </c>
      <c r="D84" s="83" t="str">
        <f>CONCATENATE(VLOOKUP($A84,LocalisationRemorque,6,0)," ► ",VLOOKUP($A84,LocalisationRemorque,5,0))</f>
        <v>Éghezée ► Andenne</v>
      </c>
      <c r="E84" s="109"/>
      <c r="F84" s="85"/>
      <c r="G84" s="109"/>
      <c r="H84" s="90"/>
      <c r="I84" s="84"/>
      <c r="J84" s="85"/>
      <c r="K84" s="86"/>
      <c r="L84" s="85"/>
      <c r="M84" s="84"/>
      <c r="N84" s="85"/>
      <c r="O84" s="86"/>
      <c r="P84" s="87"/>
      <c r="Q84" s="84"/>
      <c r="R84" s="89"/>
      <c r="S84" s="86"/>
      <c r="T84" s="85"/>
      <c r="U84" s="84"/>
      <c r="V84" s="85"/>
      <c r="W84" s="86"/>
      <c r="X84" s="87"/>
      <c r="Y84" s="411"/>
      <c r="Z84" s="89"/>
      <c r="AA84" s="95"/>
      <c r="AB84" s="87"/>
      <c r="AC84" s="84"/>
      <c r="AD84" s="89"/>
      <c r="AE84" s="109"/>
      <c r="AF84" s="90"/>
      <c r="AG84" s="84"/>
      <c r="AH84" s="94"/>
      <c r="AI84" s="91"/>
      <c r="AJ84" s="93"/>
      <c r="AK84" s="84"/>
      <c r="AL84" s="94"/>
      <c r="AM84" s="91"/>
      <c r="AN84" s="93"/>
      <c r="AO84" s="110"/>
      <c r="AP84" s="94"/>
      <c r="AQ84" s="91"/>
      <c r="AR84" s="93"/>
      <c r="AS84" s="110"/>
      <c r="AT84" s="85"/>
      <c r="AU84" s="96"/>
      <c r="AV84" s="93"/>
      <c r="AW84" s="84"/>
      <c r="AX84" s="85"/>
      <c r="AY84" s="91"/>
      <c r="AZ84" s="93"/>
      <c r="BA84" s="77"/>
      <c r="BB84" s="77"/>
      <c r="BC84" s="97"/>
      <c r="BD84" s="77"/>
    </row>
    <row r="85" ht="21.75" customHeight="1">
      <c r="A85" s="111">
        <v>320.0</v>
      </c>
      <c r="B85" s="56" t="str">
        <f>VLOOKUP($A85,LocalisationRemorque,2,0)</f>
        <v>Eghezée</v>
      </c>
      <c r="C85" s="57" t="str">
        <f>VLOOKUP($A85,LocalisationRemorque,3,0)</f>
        <v>Eghezée</v>
      </c>
      <c r="D85" s="59" t="str">
        <f>CONCATENATE(VLOOKUP($A85,LocalisationRemorque,6,0)," ► ",VLOOKUP($A85,LocalisationRemorque,5,0))</f>
        <v>Namur ► Eghezee</v>
      </c>
      <c r="E85" s="67"/>
      <c r="F85" s="63"/>
      <c r="G85" s="64"/>
      <c r="H85" s="66"/>
      <c r="I85" s="67"/>
      <c r="J85" s="63"/>
      <c r="K85" s="68"/>
      <c r="L85" s="63"/>
      <c r="M85" s="67"/>
      <c r="N85" s="63"/>
      <c r="O85" s="68"/>
      <c r="P85" s="78"/>
      <c r="Q85" s="67"/>
      <c r="R85" s="63"/>
      <c r="S85" s="68"/>
      <c r="T85" s="63"/>
      <c r="U85" s="67"/>
      <c r="V85" s="63"/>
      <c r="W85" s="68"/>
      <c r="X85" s="78"/>
      <c r="Y85" s="67"/>
      <c r="Z85" s="63"/>
      <c r="AA85" s="104"/>
      <c r="AB85" s="78"/>
      <c r="AC85" s="67"/>
      <c r="AD85" s="71"/>
      <c r="AE85" s="64"/>
      <c r="AF85" s="78"/>
      <c r="AG85" s="104"/>
      <c r="AH85" s="102"/>
      <c r="AI85" s="104"/>
      <c r="AJ85" s="78"/>
      <c r="AK85" s="67"/>
      <c r="AL85" s="63"/>
      <c r="AM85" s="68"/>
      <c r="AN85" s="66"/>
      <c r="AO85" s="67"/>
      <c r="AP85" s="102"/>
      <c r="AQ85" s="68"/>
      <c r="AR85" s="78"/>
      <c r="AS85" s="104"/>
      <c r="AT85" s="63"/>
      <c r="AU85" s="105"/>
      <c r="AV85" s="101"/>
      <c r="AW85" s="67"/>
      <c r="AX85" s="63"/>
      <c r="AY85" s="99"/>
      <c r="AZ85" s="101"/>
      <c r="BA85" s="70"/>
      <c r="BB85" s="70"/>
      <c r="BC85" s="79"/>
      <c r="BD85" s="70"/>
    </row>
    <row r="86" ht="21.75" customHeight="1">
      <c r="A86" s="80">
        <v>321.0</v>
      </c>
      <c r="B86" s="81" t="str">
        <f>VLOOKUP($A86,LocalisationRemorque,2,0)</f>
        <v>Eghezée</v>
      </c>
      <c r="C86" s="82" t="str">
        <f>VLOOKUP($A86,LocalisationRemorque,3,0)</f>
        <v>Longchamps N912</v>
      </c>
      <c r="D86" s="83" t="str">
        <f>CONCATENATE(VLOOKUP($A86,LocalisationRemorque,6,0)," ► ",VLOOKUP($A86,LocalisationRemorque,5,0))</f>
        <v>Éghezée ► E411</v>
      </c>
      <c r="E86" s="84"/>
      <c r="F86" s="85"/>
      <c r="G86" s="109"/>
      <c r="H86" s="90"/>
      <c r="I86" s="84"/>
      <c r="J86" s="85"/>
      <c r="K86" s="86"/>
      <c r="L86" s="85"/>
      <c r="M86" s="86"/>
      <c r="N86" s="85"/>
      <c r="O86" s="86"/>
      <c r="P86" s="87"/>
      <c r="Q86" s="86"/>
      <c r="R86" s="85"/>
      <c r="S86" s="86"/>
      <c r="T86" s="85"/>
      <c r="U86" s="84"/>
      <c r="V86" s="85"/>
      <c r="W86" s="86"/>
      <c r="X86" s="87"/>
      <c r="Y86" s="84"/>
      <c r="Z86" s="89"/>
      <c r="AA86" s="95"/>
      <c r="AB86" s="87"/>
      <c r="AC86" s="84"/>
      <c r="AD86" s="85"/>
      <c r="AE86" s="109"/>
      <c r="AF86" s="90"/>
      <c r="AG86" s="84"/>
      <c r="AH86" s="85"/>
      <c r="AI86" s="91"/>
      <c r="AJ86" s="93"/>
      <c r="AK86" s="86"/>
      <c r="AL86" s="94"/>
      <c r="AM86" s="95"/>
      <c r="AN86" s="87"/>
      <c r="AO86" s="84"/>
      <c r="AP86" s="94"/>
      <c r="AQ86" s="91"/>
      <c r="AR86" s="93"/>
      <c r="AS86" s="84"/>
      <c r="AT86" s="85"/>
      <c r="AU86" s="96"/>
      <c r="AV86" s="93"/>
      <c r="AW86" s="84"/>
      <c r="AX86" s="85"/>
      <c r="AY86" s="91"/>
      <c r="AZ86" s="93"/>
      <c r="BA86" s="77"/>
      <c r="BB86" s="77"/>
      <c r="BC86" s="97"/>
      <c r="BD86" s="77"/>
    </row>
    <row r="87" ht="21.75" hidden="1" customHeight="1">
      <c r="A87" s="53"/>
      <c r="B87" s="56" t="str">
        <f>VLOOKUP($A87,LocalisationRemorque,2,0)</f>
        <v> Remorque non listée</v>
      </c>
      <c r="C87" s="57" t="str">
        <f>VLOOKUP($A87,LocalisationRemorque,3,0)</f>
        <v/>
      </c>
      <c r="D87" s="59" t="str">
        <f>CONCATENATE(VLOOKUP($A87,LocalisationRemorque,6,0)," ► ",VLOOKUP($A87,LocalisationRemorque,5,0))</f>
        <v> ► </v>
      </c>
      <c r="E87" s="67"/>
      <c r="F87" s="63"/>
      <c r="G87" s="64"/>
      <c r="H87" s="66"/>
      <c r="I87" s="67"/>
      <c r="J87" s="63"/>
      <c r="K87" s="68"/>
      <c r="L87" s="63"/>
      <c r="M87" s="68"/>
      <c r="N87" s="412"/>
      <c r="O87" s="68"/>
      <c r="P87" s="412"/>
      <c r="Q87" s="68"/>
      <c r="R87" s="63"/>
      <c r="S87" s="68"/>
      <c r="T87" s="412"/>
      <c r="U87" s="67"/>
      <c r="V87" s="63"/>
      <c r="W87" s="68"/>
      <c r="X87" s="412"/>
      <c r="Y87" s="67"/>
      <c r="Z87" s="63"/>
      <c r="AA87" s="68"/>
      <c r="AB87" s="412"/>
      <c r="AC87" s="68"/>
      <c r="AD87" s="412"/>
      <c r="AE87" s="68"/>
      <c r="AF87" s="412"/>
      <c r="AG87" s="68"/>
      <c r="AH87" s="68"/>
      <c r="AI87" s="68"/>
      <c r="AJ87" s="412"/>
      <c r="AK87" s="68"/>
      <c r="AL87" s="412"/>
      <c r="AM87" s="68"/>
      <c r="AN87" s="412"/>
      <c r="AO87" s="68"/>
      <c r="AP87" s="412"/>
      <c r="AQ87" s="68"/>
      <c r="AR87" s="293"/>
      <c r="AS87" s="68"/>
      <c r="AT87" s="63"/>
      <c r="AU87" s="105"/>
      <c r="AV87" s="101"/>
      <c r="AW87" s="67"/>
      <c r="AX87" s="63"/>
      <c r="AY87" s="99"/>
      <c r="AZ87" s="101"/>
      <c r="BA87" s="335"/>
      <c r="BB87" s="335"/>
      <c r="BC87" s="79"/>
      <c r="BD87" s="335"/>
    </row>
    <row r="88" ht="21.75" customHeight="1">
      <c r="A88" s="413">
        <v>323.0</v>
      </c>
      <c r="B88" s="81" t="str">
        <f>VLOOKUP($A88,LocalisationRemorque,2,0)</f>
        <v>Gembloux</v>
      </c>
      <c r="C88" s="82" t="str">
        <f>VLOOKUP($A88,LocalisationRemorque,3,0)</f>
        <v>Sauvenière 2</v>
      </c>
      <c r="D88" s="83" t="str">
        <f>CONCATENATE(VLOOKUP($A88,LocalisationRemorque,6,0)," ► ",VLOOKUP($A88,LocalisationRemorque,5,0))</f>
        <v>E411 ► Gembloux</v>
      </c>
      <c r="E88" s="408"/>
      <c r="F88" s="85"/>
      <c r="G88" s="109"/>
      <c r="H88" s="90"/>
      <c r="I88" s="84"/>
      <c r="J88" s="85"/>
      <c r="K88" s="86"/>
      <c r="L88" s="85"/>
      <c r="M88" s="84"/>
      <c r="N88" s="85"/>
      <c r="O88" s="95"/>
      <c r="P88" s="87"/>
      <c r="Q88" s="84"/>
      <c r="R88" s="85"/>
      <c r="S88" s="86"/>
      <c r="T88" s="87"/>
      <c r="U88" s="84"/>
      <c r="V88" s="85"/>
      <c r="W88" s="86"/>
      <c r="X88" s="87"/>
      <c r="Y88" s="84"/>
      <c r="Z88" s="85"/>
      <c r="AA88" s="86"/>
      <c r="AB88" s="90"/>
      <c r="AC88" s="84"/>
      <c r="AD88" s="89"/>
      <c r="AE88" s="109"/>
      <c r="AF88" s="90"/>
      <c r="AG88" s="110"/>
      <c r="AH88" s="94"/>
      <c r="AI88" s="95"/>
      <c r="AJ88" s="87"/>
      <c r="AK88" s="86"/>
      <c r="AL88" s="94"/>
      <c r="AM88" s="95"/>
      <c r="AN88" s="87"/>
      <c r="AO88" s="84"/>
      <c r="AP88" s="94"/>
      <c r="AQ88" s="95"/>
      <c r="AR88" s="87"/>
      <c r="AS88" s="84"/>
      <c r="AT88" s="85"/>
      <c r="AU88" s="96"/>
      <c r="AV88" s="93"/>
      <c r="AW88" s="84"/>
      <c r="AX88" s="85"/>
      <c r="AY88" s="91"/>
      <c r="AZ88" s="93"/>
      <c r="BA88" s="77" t="s">
        <v>17</v>
      </c>
      <c r="BB88" s="77"/>
      <c r="BC88" s="97"/>
      <c r="BD88" s="77"/>
    </row>
    <row r="89" ht="21.75" customHeight="1">
      <c r="A89" s="111">
        <v>324.0</v>
      </c>
      <c r="B89" s="56" t="str">
        <f>VLOOKUP($A89,LocalisationRemorque,2,0)</f>
        <v>Gembloux</v>
      </c>
      <c r="C89" s="57" t="str">
        <f>VLOOKUP($A89,LocalisationRemorque,3,0)</f>
        <v>Meux</v>
      </c>
      <c r="D89" s="59" t="str">
        <f>CONCATENATE(VLOOKUP($A89,LocalisationRemorque,6,0)," ► ",VLOOKUP($A89,LocalisationRemorque,5,0))</f>
        <v>Gembloux ► E411</v>
      </c>
      <c r="E89" s="67"/>
      <c r="F89" s="63"/>
      <c r="G89" s="64"/>
      <c r="H89" s="66"/>
      <c r="I89" s="67"/>
      <c r="J89" s="63" t="s">
        <v>24</v>
      </c>
      <c r="K89" s="68"/>
      <c r="L89" s="63"/>
      <c r="M89" s="67"/>
      <c r="N89" s="63"/>
      <c r="O89" s="104"/>
      <c r="P89" s="78"/>
      <c r="Q89" s="124"/>
      <c r="R89" s="63"/>
      <c r="S89" s="68"/>
      <c r="T89" s="78"/>
      <c r="U89" s="67"/>
      <c r="V89" s="63"/>
      <c r="W89" s="68"/>
      <c r="X89" s="78"/>
      <c r="Y89" s="67"/>
      <c r="Z89" s="63"/>
      <c r="AA89" s="68"/>
      <c r="AB89" s="66"/>
      <c r="AC89" s="67"/>
      <c r="AD89" s="71"/>
      <c r="AE89" s="64"/>
      <c r="AF89" s="66"/>
      <c r="AG89" s="67"/>
      <c r="AH89" s="102"/>
      <c r="AI89" s="104"/>
      <c r="AJ89" s="78"/>
      <c r="AK89" s="67"/>
      <c r="AL89" s="102"/>
      <c r="AM89" s="68"/>
      <c r="AN89" s="78"/>
      <c r="AO89" s="67"/>
      <c r="AP89" s="63"/>
      <c r="AQ89" s="104"/>
      <c r="AR89" s="78"/>
      <c r="AS89" s="67"/>
      <c r="AT89" s="63"/>
      <c r="AU89" s="105"/>
      <c r="AV89" s="101"/>
      <c r="AW89" s="67"/>
      <c r="AX89" s="63"/>
      <c r="AY89" s="99"/>
      <c r="AZ89" s="101"/>
      <c r="BA89" s="70" t="s">
        <v>17</v>
      </c>
      <c r="BB89" s="70"/>
      <c r="BC89" s="79"/>
      <c r="BD89" s="70"/>
    </row>
    <row r="90" ht="21.75" customHeight="1">
      <c r="A90" s="80">
        <v>325.0</v>
      </c>
      <c r="B90" s="81" t="str">
        <f>VLOOKUP($A90,LocalisationRemorque,2,0)</f>
        <v>Gembloux</v>
      </c>
      <c r="C90" s="82" t="str">
        <f>VLOOKUP($A90,LocalisationRemorque,3,0)</f>
        <v>Corroy-le-Château</v>
      </c>
      <c r="D90" s="83" t="str">
        <f>CONCATENATE(VLOOKUP($A90,LocalisationRemorque,6,0)," ► ",VLOOKUP($A90,LocalisationRemorque,5,0))</f>
        <v>Charleroi ► Gembloux</v>
      </c>
      <c r="E90" s="84" t="s">
        <v>25</v>
      </c>
      <c r="F90" s="85" t="s">
        <v>26</v>
      </c>
      <c r="G90" s="86" t="s">
        <v>20</v>
      </c>
      <c r="H90" s="87" t="s">
        <v>21</v>
      </c>
      <c r="I90" s="84"/>
      <c r="J90" s="85"/>
      <c r="K90" s="86"/>
      <c r="L90" s="85"/>
      <c r="M90" s="84"/>
      <c r="N90" s="85"/>
      <c r="O90" s="95"/>
      <c r="P90" s="87"/>
      <c r="Q90" s="84"/>
      <c r="R90" s="85"/>
      <c r="S90" s="86"/>
      <c r="T90" s="87"/>
      <c r="U90" s="84"/>
      <c r="V90" s="85"/>
      <c r="W90" s="86" t="s">
        <v>20</v>
      </c>
      <c r="X90" s="87"/>
      <c r="Y90" s="409"/>
      <c r="Z90" s="85"/>
      <c r="AA90" s="86"/>
      <c r="AB90" s="90"/>
      <c r="AC90" s="84"/>
      <c r="AD90" s="414"/>
      <c r="AE90" s="86" t="s">
        <v>20</v>
      </c>
      <c r="AF90" s="87"/>
      <c r="AG90" s="86"/>
      <c r="AH90" s="94"/>
      <c r="AI90" s="95"/>
      <c r="AJ90" s="87"/>
      <c r="AK90" s="84"/>
      <c r="AL90" s="94"/>
      <c r="AM90" s="86" t="s">
        <v>20</v>
      </c>
      <c r="AN90" s="87"/>
      <c r="AO90" s="84"/>
      <c r="AP90" s="85"/>
      <c r="AQ90" s="86" t="s">
        <v>20</v>
      </c>
      <c r="AR90" s="415"/>
      <c r="AS90" s="84"/>
      <c r="AT90" s="85"/>
      <c r="AU90" s="96"/>
      <c r="AV90" s="93"/>
      <c r="AW90" s="84"/>
      <c r="AX90" s="85"/>
      <c r="AY90" s="86" t="s">
        <v>20</v>
      </c>
      <c r="AZ90" s="93"/>
      <c r="BA90" s="77" t="s">
        <v>17</v>
      </c>
      <c r="BB90" s="77"/>
      <c r="BC90" s="97"/>
      <c r="BD90" s="77"/>
    </row>
    <row r="91" ht="21.75" customHeight="1">
      <c r="A91" s="111">
        <v>326.0</v>
      </c>
      <c r="B91" s="56" t="str">
        <f>VLOOKUP($A91,LocalisationRemorque,2,0)</f>
        <v>Gembloux</v>
      </c>
      <c r="C91" s="57" t="str">
        <f>VLOOKUP($A91,LocalisationRemorque,3,0)</f>
        <v>Carrefour Didi - Les Isnes</v>
      </c>
      <c r="D91" s="59" t="str">
        <f>CONCATENATE(VLOOKUP($A91,LocalisationRemorque,6,0)," ► ",VLOOKUP($A91,LocalisationRemorque,5,0))</f>
        <v>E42 ► Eghezée</v>
      </c>
      <c r="E91" s="67"/>
      <c r="F91" s="63"/>
      <c r="G91" s="64"/>
      <c r="H91" s="66"/>
      <c r="I91" s="67"/>
      <c r="J91" s="63"/>
      <c r="K91" s="68"/>
      <c r="L91" s="63"/>
      <c r="M91" s="67"/>
      <c r="N91" s="63"/>
      <c r="O91" s="104"/>
      <c r="P91" s="78"/>
      <c r="Q91" s="67"/>
      <c r="R91" s="63"/>
      <c r="S91" s="68"/>
      <c r="T91" s="78"/>
      <c r="U91" s="67"/>
      <c r="V91" s="63"/>
      <c r="W91" s="104"/>
      <c r="X91" s="78"/>
      <c r="Y91" s="68"/>
      <c r="Z91" s="63"/>
      <c r="AA91" s="104"/>
      <c r="AB91" s="78"/>
      <c r="AC91" s="67"/>
      <c r="AD91" s="63"/>
      <c r="AE91" s="64"/>
      <c r="AF91" s="66"/>
      <c r="AG91" s="67"/>
      <c r="AH91" s="102"/>
      <c r="AI91" s="104"/>
      <c r="AJ91" s="78"/>
      <c r="AK91" s="67"/>
      <c r="AL91" s="102"/>
      <c r="AM91" s="68"/>
      <c r="AN91" s="78"/>
      <c r="AO91" s="67"/>
      <c r="AP91" s="63"/>
      <c r="AQ91" s="104"/>
      <c r="AR91" s="78"/>
      <c r="AS91" s="67"/>
      <c r="AT91" s="63"/>
      <c r="AU91" s="105"/>
      <c r="AV91" s="101"/>
      <c r="AW91" s="67"/>
      <c r="AX91" s="63"/>
      <c r="AY91" s="99"/>
      <c r="AZ91" s="101"/>
      <c r="BA91" s="70" t="s">
        <v>17</v>
      </c>
      <c r="BB91" s="70"/>
      <c r="BC91" s="79"/>
      <c r="BD91" s="70"/>
    </row>
    <row r="92" ht="21.75" customHeight="1">
      <c r="A92" s="80">
        <v>327.0</v>
      </c>
      <c r="B92" s="81" t="str">
        <f>VLOOKUP($A92,LocalisationRemorque,2,0)</f>
        <v>Gembloux</v>
      </c>
      <c r="C92" s="82" t="str">
        <f>VLOOKUP($A92,LocalisationRemorque,3,0)</f>
        <v>Carrefour Didi - Gembloux</v>
      </c>
      <c r="D92" s="83" t="str">
        <f>CONCATENATE(VLOOKUP($A92,LocalisationRemorque,6,0)," ► ",VLOOKUP($A92,LocalisationRemorque,5,0))</f>
        <v>Gembloux ► Namur</v>
      </c>
      <c r="E92" s="84"/>
      <c r="F92" s="85"/>
      <c r="G92" s="109"/>
      <c r="H92" s="90"/>
      <c r="I92" s="84"/>
      <c r="J92" s="85"/>
      <c r="K92" s="86"/>
      <c r="L92" s="85"/>
      <c r="M92" s="84"/>
      <c r="N92" s="85"/>
      <c r="O92" s="95"/>
      <c r="P92" s="87"/>
      <c r="Q92" s="409"/>
      <c r="R92" s="85"/>
      <c r="S92" s="86"/>
      <c r="T92" s="87"/>
      <c r="U92" s="86"/>
      <c r="V92" s="85"/>
      <c r="W92" s="86"/>
      <c r="X92" s="85"/>
      <c r="Y92" s="84"/>
      <c r="Z92" s="85"/>
      <c r="AA92" s="86"/>
      <c r="AB92" s="90"/>
      <c r="AC92" s="165" t="s">
        <v>29</v>
      </c>
      <c r="AD92" s="89"/>
      <c r="AE92" s="109"/>
      <c r="AF92" s="90"/>
      <c r="AG92" s="165" t="s">
        <v>29</v>
      </c>
      <c r="AH92" s="92"/>
      <c r="AI92" s="86"/>
      <c r="AJ92" s="93"/>
      <c r="AK92" s="84"/>
      <c r="AL92" s="94"/>
      <c r="AM92" s="86"/>
      <c r="AN92" s="87"/>
      <c r="AO92" s="165" t="s">
        <v>29</v>
      </c>
      <c r="AP92" s="92"/>
      <c r="AQ92" s="165"/>
      <c r="AR92" s="93"/>
      <c r="AS92" s="84"/>
      <c r="AT92" s="85"/>
      <c r="AU92" s="96"/>
      <c r="AV92" s="93"/>
      <c r="AW92" s="84"/>
      <c r="AX92" s="85"/>
      <c r="AY92" s="91"/>
      <c r="AZ92" s="93"/>
      <c r="BA92" s="77" t="s">
        <v>17</v>
      </c>
      <c r="BB92" s="77"/>
      <c r="BC92" s="97"/>
      <c r="BD92" s="77"/>
    </row>
    <row r="93" ht="21.75" customHeight="1">
      <c r="A93" s="111">
        <v>328.0</v>
      </c>
      <c r="B93" s="56" t="str">
        <f>VLOOKUP($A93,LocalisationRemorque,2,0)</f>
        <v>Gembloux</v>
      </c>
      <c r="C93" s="57" t="str">
        <f>VLOOKUP($A93,LocalisationRemorque,3,0)</f>
        <v>Sauvenière</v>
      </c>
      <c r="D93" s="59" t="str">
        <f>CONCATENATE(VLOOKUP($A93,LocalisationRemorque,6,0)," ► ",VLOOKUP($A93,LocalisationRemorque,5,0))</f>
        <v>Gembloux ► E411</v>
      </c>
      <c r="E93" s="67" t="s">
        <v>454</v>
      </c>
      <c r="F93" s="63" t="s">
        <v>21</v>
      </c>
      <c r="G93" s="64"/>
      <c r="H93" s="66"/>
      <c r="I93" s="67"/>
      <c r="J93" s="63"/>
      <c r="K93" s="68"/>
      <c r="L93" s="63"/>
      <c r="M93" s="67"/>
      <c r="N93" s="63"/>
      <c r="O93" s="104"/>
      <c r="P93" s="78"/>
      <c r="Q93" s="68"/>
      <c r="R93" s="63"/>
      <c r="S93" s="68"/>
      <c r="T93" s="78"/>
      <c r="U93" s="67"/>
      <c r="V93" s="63"/>
      <c r="W93" s="68"/>
      <c r="X93" s="78"/>
      <c r="Y93" s="68"/>
      <c r="Z93" s="63"/>
      <c r="AA93" s="68"/>
      <c r="AB93" s="66"/>
      <c r="AC93" s="67"/>
      <c r="AD93" s="63"/>
      <c r="AE93" s="68"/>
      <c r="AF93" s="66"/>
      <c r="AG93" s="67"/>
      <c r="AH93" s="100"/>
      <c r="AI93" s="68"/>
      <c r="AJ93" s="78"/>
      <c r="AK93" s="67"/>
      <c r="AL93" s="102"/>
      <c r="AM93" s="68"/>
      <c r="AN93" s="78"/>
      <c r="AO93" s="67" t="s">
        <v>294</v>
      </c>
      <c r="AP93" s="63"/>
      <c r="AQ93" s="68"/>
      <c r="AR93" s="101"/>
      <c r="AS93" s="156"/>
      <c r="AT93" s="63"/>
      <c r="AU93" s="105"/>
      <c r="AV93" s="101"/>
      <c r="AW93" s="67"/>
      <c r="AX93" s="63"/>
      <c r="AY93" s="99"/>
      <c r="AZ93" s="101"/>
      <c r="BA93" s="70" t="s">
        <v>17</v>
      </c>
      <c r="BB93" s="70"/>
      <c r="BC93" s="79"/>
      <c r="BD93" s="70"/>
    </row>
    <row r="94" ht="21.75" customHeight="1">
      <c r="A94" s="80">
        <v>329.0</v>
      </c>
      <c r="B94" s="81" t="str">
        <f>VLOOKUP($A94,LocalisationRemorque,2,0)</f>
        <v>Gembloux</v>
      </c>
      <c r="C94" s="82" t="str">
        <f>VLOOKUP($A94,LocalisationRemorque,3,0)</f>
        <v>Ernage/Walhain</v>
      </c>
      <c r="D94" s="83" t="str">
        <f>CONCATENATE(VLOOKUP($A94,LocalisationRemorque,6,0)," ► ",VLOOKUP($A94,LocalisationRemorque,5,0))</f>
        <v>Gembloux ► LLN</v>
      </c>
      <c r="E94" s="84" t="s">
        <v>20</v>
      </c>
      <c r="F94" s="85"/>
      <c r="G94" s="109"/>
      <c r="H94" s="90"/>
      <c r="I94" s="84"/>
      <c r="J94" s="85"/>
      <c r="K94" s="86"/>
      <c r="L94" s="85"/>
      <c r="M94" s="84"/>
      <c r="N94" s="85"/>
      <c r="O94" s="95"/>
      <c r="P94" s="87"/>
      <c r="Q94" s="409" t="s">
        <v>20</v>
      </c>
      <c r="R94" s="85"/>
      <c r="S94" s="86"/>
      <c r="T94" s="87"/>
      <c r="U94" s="86"/>
      <c r="V94" s="85"/>
      <c r="W94" s="86"/>
      <c r="X94" s="87"/>
      <c r="Y94" s="84"/>
      <c r="Z94" s="85"/>
      <c r="AA94" s="86"/>
      <c r="AB94" s="90"/>
      <c r="AC94" s="409"/>
      <c r="AD94" s="85"/>
      <c r="AE94" s="409" t="s">
        <v>20</v>
      </c>
      <c r="AF94" s="85"/>
      <c r="AG94" s="409"/>
      <c r="AH94" s="92"/>
      <c r="AI94" s="86"/>
      <c r="AJ94" s="93"/>
      <c r="AK94" s="84"/>
      <c r="AL94" s="94"/>
      <c r="AM94" s="86"/>
      <c r="AN94" s="87"/>
      <c r="AO94" s="84"/>
      <c r="AP94" s="85"/>
      <c r="AQ94" s="95"/>
      <c r="AR94" s="87"/>
      <c r="AS94" s="84" t="s">
        <v>20</v>
      </c>
      <c r="AT94" s="85"/>
      <c r="AU94" s="96"/>
      <c r="AV94" s="93"/>
      <c r="AW94" s="84" t="s">
        <v>20</v>
      </c>
      <c r="AX94" s="85"/>
      <c r="AY94" s="91"/>
      <c r="AZ94" s="93"/>
      <c r="BA94" s="77"/>
      <c r="BB94" s="77"/>
      <c r="BC94" s="97"/>
      <c r="BD94" s="77"/>
    </row>
    <row r="95" ht="21.75" customHeight="1">
      <c r="A95" s="111">
        <v>330.0</v>
      </c>
      <c r="B95" s="56" t="str">
        <f>VLOOKUP($A95,LocalisationRemorque,2,0)</f>
        <v>Namur</v>
      </c>
      <c r="C95" s="57" t="str">
        <f>VLOOKUP($A95,LocalisationRemorque,3,0)</f>
        <v>Waret-La-Chée - Leuze</v>
      </c>
      <c r="D95" s="59" t="str">
        <f>CONCATENATE(VLOOKUP($A95,LocalisationRemorque,6,0)," ► ",VLOOKUP($A95,LocalisationRemorque,5,0))</f>
        <v>E411 (Champion) ► Eghezee</v>
      </c>
      <c r="E95" s="67"/>
      <c r="F95" s="63"/>
      <c r="G95" s="68" t="s">
        <v>20</v>
      </c>
      <c r="H95" s="78"/>
      <c r="I95" s="67"/>
      <c r="J95" s="63"/>
      <c r="K95" s="68"/>
      <c r="L95" s="63"/>
      <c r="M95" s="67"/>
      <c r="N95" s="63"/>
      <c r="O95" s="104"/>
      <c r="P95" s="78"/>
      <c r="Q95" s="124"/>
      <c r="R95" s="63"/>
      <c r="S95" s="104"/>
      <c r="T95" s="78"/>
      <c r="U95" s="67"/>
      <c r="V95" s="63"/>
      <c r="W95" s="68" t="s">
        <v>20</v>
      </c>
      <c r="X95" s="78"/>
      <c r="Y95" s="68"/>
      <c r="Z95" s="63"/>
      <c r="AA95" s="68" t="s">
        <v>20</v>
      </c>
      <c r="AB95" s="66"/>
      <c r="AC95" s="67"/>
      <c r="AD95" s="71"/>
      <c r="AE95" s="68" t="s">
        <v>20</v>
      </c>
      <c r="AF95" s="78"/>
      <c r="AG95" s="67"/>
      <c r="AH95" s="100"/>
      <c r="AI95" s="68"/>
      <c r="AJ95" s="101"/>
      <c r="AK95" s="67"/>
      <c r="AL95" s="102"/>
      <c r="AM95" s="68" t="s">
        <v>20</v>
      </c>
      <c r="AN95" s="78"/>
      <c r="AO95" s="67"/>
      <c r="AP95" s="102"/>
      <c r="AQ95" s="68"/>
      <c r="AR95" s="101"/>
      <c r="AS95" s="103"/>
      <c r="AT95" s="63"/>
      <c r="AU95" s="105"/>
      <c r="AV95" s="101"/>
      <c r="AW95" s="67"/>
      <c r="AX95" s="63"/>
      <c r="AY95" s="99"/>
      <c r="AZ95" s="101"/>
      <c r="BA95" s="70"/>
      <c r="BB95" s="70"/>
      <c r="BC95" s="79"/>
      <c r="BD95" s="70"/>
    </row>
    <row r="96" ht="21.75" customHeight="1">
      <c r="A96" s="80">
        <v>331.0</v>
      </c>
      <c r="B96" s="81" t="str">
        <f>VLOOKUP($A96,LocalisationRemorque,2,0)</f>
        <v>Namur</v>
      </c>
      <c r="C96" s="82" t="str">
        <f>VLOOKUP($A96,LocalisationRemorque,3,0)</f>
        <v>Bouge</v>
      </c>
      <c r="D96" s="83" t="str">
        <f>CONCATENATE(VLOOKUP($A96,LocalisationRemorque,6,0)," ► ",VLOOKUP($A96,LocalisationRemorque,5,0))</f>
        <v>Namur ► Hannut</v>
      </c>
      <c r="E96" s="84" t="s">
        <v>20</v>
      </c>
      <c r="F96" s="85"/>
      <c r="G96" s="86" t="s">
        <v>19</v>
      </c>
      <c r="H96" s="90"/>
      <c r="I96" s="84" t="s">
        <v>19</v>
      </c>
      <c r="J96" s="85"/>
      <c r="K96" s="86"/>
      <c r="L96" s="85"/>
      <c r="M96" s="84" t="s">
        <v>19</v>
      </c>
      <c r="N96" s="85"/>
      <c r="O96" s="95"/>
      <c r="P96" s="87"/>
      <c r="Q96" s="84" t="s">
        <v>19</v>
      </c>
      <c r="R96" s="85"/>
      <c r="S96" s="95"/>
      <c r="T96" s="87"/>
      <c r="U96" s="84" t="s">
        <v>19</v>
      </c>
      <c r="V96" s="85"/>
      <c r="W96" s="86" t="s">
        <v>20</v>
      </c>
      <c r="X96" s="87"/>
      <c r="Y96" s="84"/>
      <c r="Z96" s="85"/>
      <c r="AA96" s="86"/>
      <c r="AB96" s="90"/>
      <c r="AC96" s="84" t="s">
        <v>20</v>
      </c>
      <c r="AD96" s="85"/>
      <c r="AE96" s="86"/>
      <c r="AF96" s="87"/>
      <c r="AG96" s="84"/>
      <c r="AH96" s="92"/>
      <c r="AI96" s="86"/>
      <c r="AJ96" s="93"/>
      <c r="AK96" s="84"/>
      <c r="AL96" s="94"/>
      <c r="AM96" s="86" t="s">
        <v>20</v>
      </c>
      <c r="AN96" s="161"/>
      <c r="AO96" s="84"/>
      <c r="AP96" s="92"/>
      <c r="AQ96" s="86"/>
      <c r="AR96" s="87"/>
      <c r="AS96" s="84"/>
      <c r="AT96" s="85"/>
      <c r="AU96" s="96"/>
      <c r="AV96" s="93"/>
      <c r="AW96" s="84"/>
      <c r="AX96" s="85"/>
      <c r="AY96" s="91"/>
      <c r="AZ96" s="93"/>
      <c r="BA96" s="155"/>
      <c r="BB96" s="155"/>
      <c r="BC96" s="416" t="s">
        <v>28</v>
      </c>
      <c r="BD96" s="155"/>
    </row>
    <row r="97" ht="21.75" customHeight="1">
      <c r="A97" s="111">
        <v>332.0</v>
      </c>
      <c r="B97" s="56" t="str">
        <f>VLOOKUP($A97,LocalisationRemorque,2,0)</f>
        <v>Namur</v>
      </c>
      <c r="C97" s="57" t="str">
        <f>VLOOKUP($A97,LocalisationRemorque,3,0)</f>
        <v>Flawinne</v>
      </c>
      <c r="D97" s="59" t="str">
        <f>CONCATENATE(VLOOKUP($A97,LocalisationRemorque,6,0)," ► ",VLOOKUP($A97,LocalisationRemorque,5,0))</f>
        <v>Floreffe ► Namur</v>
      </c>
      <c r="E97" s="67" t="s">
        <v>19</v>
      </c>
      <c r="F97" s="63"/>
      <c r="G97" s="64"/>
      <c r="H97" s="66"/>
      <c r="I97" s="67" t="s">
        <v>19</v>
      </c>
      <c r="J97" s="63"/>
      <c r="K97" s="68"/>
      <c r="L97" s="63"/>
      <c r="M97" s="67" t="s">
        <v>19</v>
      </c>
      <c r="N97" s="63"/>
      <c r="O97" s="104"/>
      <c r="P97" s="78"/>
      <c r="Q97" s="67" t="s">
        <v>19</v>
      </c>
      <c r="R97" s="63"/>
      <c r="S97" s="104"/>
      <c r="T97" s="78"/>
      <c r="U97" s="67" t="s">
        <v>19</v>
      </c>
      <c r="V97" s="63"/>
      <c r="W97" s="68"/>
      <c r="X97" s="78"/>
      <c r="Y97" s="67"/>
      <c r="Z97" s="63"/>
      <c r="AA97" s="68"/>
      <c r="AB97" s="66"/>
      <c r="AC97" s="104"/>
      <c r="AD97" s="102"/>
      <c r="AE97" s="99"/>
      <c r="AF97" s="101"/>
      <c r="AG97" s="124" t="s">
        <v>455</v>
      </c>
      <c r="AH97" s="102"/>
      <c r="AI97" s="99"/>
      <c r="AJ97" s="101"/>
      <c r="AK97" s="67"/>
      <c r="AL97" s="102"/>
      <c r="AM97" s="68"/>
      <c r="AN97" s="101"/>
      <c r="AO97" s="67"/>
      <c r="AP97" s="63"/>
      <c r="AQ97" s="68"/>
      <c r="AR97" s="101"/>
      <c r="AS97" s="67"/>
      <c r="AT97" s="63"/>
      <c r="AU97" s="105"/>
      <c r="AV97" s="101"/>
      <c r="AW97" s="67"/>
      <c r="AX97" s="63"/>
      <c r="AY97" s="99"/>
      <c r="AZ97" s="101"/>
      <c r="BA97" s="88"/>
      <c r="BB97" s="88"/>
      <c r="BC97" s="418" t="s">
        <v>28</v>
      </c>
      <c r="BD97" s="88"/>
    </row>
    <row r="98" ht="21.75" customHeight="1">
      <c r="A98" s="80">
        <v>333.0</v>
      </c>
      <c r="B98" s="81" t="str">
        <f>VLOOKUP($A98,LocalisationRemorque,2,0)</f>
        <v>Namur</v>
      </c>
      <c r="C98" s="82" t="str">
        <f>VLOOKUP($A98,LocalisationRemorque,3,0)</f>
        <v>Malonne - Tonton Tapis</v>
      </c>
      <c r="D98" s="83" t="str">
        <f>CONCATENATE(VLOOKUP($A98,LocalisationRemorque,6,0)," ► ",VLOOKUP($A98,LocalisationRemorque,5,0))</f>
        <v>Namur ► Floreffe</v>
      </c>
      <c r="E98" s="84"/>
      <c r="F98" s="85"/>
      <c r="G98" s="86" t="s">
        <v>20</v>
      </c>
      <c r="H98" s="87"/>
      <c r="I98" s="84"/>
      <c r="J98" s="85"/>
      <c r="K98" s="86"/>
      <c r="L98" s="85"/>
      <c r="M98" s="84"/>
      <c r="N98" s="85"/>
      <c r="O98" s="95"/>
      <c r="P98" s="87"/>
      <c r="Q98" s="409" t="s">
        <v>456</v>
      </c>
      <c r="R98" s="85"/>
      <c r="S98" s="95" t="s">
        <v>20</v>
      </c>
      <c r="T98" s="87"/>
      <c r="U98" s="84"/>
      <c r="V98" s="85"/>
      <c r="W98" s="86"/>
      <c r="X98" s="87"/>
      <c r="Y98" s="84"/>
      <c r="Z98" s="85"/>
      <c r="AA98" s="86" t="s">
        <v>20</v>
      </c>
      <c r="AB98" s="90"/>
      <c r="AC98" s="95"/>
      <c r="AD98" s="94"/>
      <c r="AE98" s="86" t="s">
        <v>20</v>
      </c>
      <c r="AF98" s="87"/>
      <c r="AG98" s="84"/>
      <c r="AH98" s="85"/>
      <c r="AI98" s="91"/>
      <c r="AJ98" s="93"/>
      <c r="AK98" s="84" t="s">
        <v>455</v>
      </c>
      <c r="AL98" s="94"/>
      <c r="AM98" s="86"/>
      <c r="AN98" s="93"/>
      <c r="AO98" s="84"/>
      <c r="AP98" s="85"/>
      <c r="AQ98" s="86"/>
      <c r="AR98" s="93"/>
      <c r="AS98" s="84"/>
      <c r="AT98" s="85"/>
      <c r="AU98" s="96"/>
      <c r="AV98" s="93"/>
      <c r="AW98" s="84"/>
      <c r="AX98" s="85"/>
      <c r="AY98" s="91"/>
      <c r="AZ98" s="93"/>
      <c r="BA98" s="155"/>
      <c r="BB98" s="155"/>
      <c r="BC98" s="128"/>
      <c r="BD98" s="155"/>
    </row>
    <row r="99" ht="21.75" customHeight="1">
      <c r="A99" s="111">
        <v>334.0</v>
      </c>
      <c r="B99" s="56" t="str">
        <f>VLOOKUP($A99,LocalisationRemorque,2,0)</f>
        <v>Namur</v>
      </c>
      <c r="C99" s="57" t="str">
        <f>VLOOKUP($A99,LocalisationRemorque,3,0)</f>
        <v>Rhisnes</v>
      </c>
      <c r="D99" s="59" t="str">
        <f>CONCATENATE(VLOOKUP($A99,LocalisationRemorque,6,0)," ► ",VLOOKUP($A99,LocalisationRemorque,5,0))</f>
        <v>Gembloux ► Namur</v>
      </c>
      <c r="E99" s="293"/>
      <c r="F99" s="63"/>
      <c r="G99" s="419" t="s">
        <v>457</v>
      </c>
      <c r="H99" s="419"/>
      <c r="I99" s="67"/>
      <c r="J99" s="63"/>
      <c r="K99" s="419" t="s">
        <v>457</v>
      </c>
      <c r="L99" s="420"/>
      <c r="M99" s="63"/>
      <c r="N99" s="63"/>
      <c r="O99" s="419" t="s">
        <v>457</v>
      </c>
      <c r="P99" s="420"/>
      <c r="Q99" s="67"/>
      <c r="R99" s="63"/>
      <c r="S99" s="419" t="s">
        <v>457</v>
      </c>
      <c r="T99" s="420"/>
      <c r="U99" s="63"/>
      <c r="V99" s="63"/>
      <c r="W99" s="419" t="s">
        <v>457</v>
      </c>
      <c r="X99" s="420"/>
      <c r="Y99" s="67" t="s">
        <v>458</v>
      </c>
      <c r="Z99" s="63"/>
      <c r="AA99" s="419" t="s">
        <v>457</v>
      </c>
      <c r="AB99" s="421"/>
      <c r="AC99" s="67"/>
      <c r="AD99" s="63"/>
      <c r="AE99" s="419" t="s">
        <v>457</v>
      </c>
      <c r="AF99" s="420"/>
      <c r="AG99" s="104"/>
      <c r="AH99" s="63"/>
      <c r="AI99" s="419" t="s">
        <v>457</v>
      </c>
      <c r="AJ99" s="420"/>
      <c r="AK99" s="63"/>
      <c r="AL99" s="63"/>
      <c r="AM99" s="419" t="s">
        <v>457</v>
      </c>
      <c r="AN99" s="195"/>
      <c r="AO99" s="67"/>
      <c r="AP99" s="63"/>
      <c r="AQ99" s="419" t="s">
        <v>457</v>
      </c>
      <c r="AR99" s="195"/>
      <c r="AS99" s="67"/>
      <c r="AT99" s="63"/>
      <c r="AU99" s="419" t="s">
        <v>457</v>
      </c>
      <c r="AV99" s="195"/>
      <c r="AW99" s="67"/>
      <c r="AX99" s="63"/>
      <c r="AY99" s="419" t="s">
        <v>457</v>
      </c>
      <c r="AZ99" s="195"/>
      <c r="BA99" s="335"/>
      <c r="BB99" s="335"/>
      <c r="BC99" s="79"/>
      <c r="BD99" s="335"/>
    </row>
    <row r="100" ht="21.75" customHeight="1">
      <c r="A100" s="80">
        <v>335.0</v>
      </c>
      <c r="B100" s="81" t="str">
        <f>VLOOKUP($A100,LocalisationRemorque,2,0)</f>
        <v>Namur</v>
      </c>
      <c r="C100" s="82" t="str">
        <f>VLOOKUP($A100,LocalisationRemorque,3,0)</f>
        <v>Temploux</v>
      </c>
      <c r="D100" s="83" t="str">
        <f>CONCATENATE(VLOOKUP($A100,LocalisationRemorque,6,0)," ► ",VLOOKUP($A100,LocalisationRemorque,5,0))</f>
        <v>Nivelles ► Namur</v>
      </c>
      <c r="E100" s="84" t="s">
        <v>20</v>
      </c>
      <c r="F100" s="85"/>
      <c r="G100" s="86" t="s">
        <v>19</v>
      </c>
      <c r="H100" s="90"/>
      <c r="I100" s="84" t="s">
        <v>19</v>
      </c>
      <c r="J100" s="89"/>
      <c r="K100" s="109"/>
      <c r="L100" s="90"/>
      <c r="M100" s="84" t="s">
        <v>19</v>
      </c>
      <c r="N100" s="85"/>
      <c r="O100" s="95"/>
      <c r="P100" s="87"/>
      <c r="Q100" s="84" t="s">
        <v>19</v>
      </c>
      <c r="R100" s="85"/>
      <c r="S100" s="95"/>
      <c r="T100" s="87"/>
      <c r="U100" s="84" t="s">
        <v>459</v>
      </c>
      <c r="V100" s="85"/>
      <c r="W100" s="86"/>
      <c r="X100" s="87"/>
      <c r="Y100" s="84"/>
      <c r="Z100" s="85"/>
      <c r="AA100" s="86"/>
      <c r="AB100" s="90"/>
      <c r="AC100" s="86" t="s">
        <v>20</v>
      </c>
      <c r="AD100" s="85"/>
      <c r="AE100" s="109"/>
      <c r="AF100" s="90"/>
      <c r="AG100" s="84"/>
      <c r="AH100" s="85"/>
      <c r="AI100" s="91"/>
      <c r="AJ100" s="93"/>
      <c r="AK100" s="84"/>
      <c r="AL100" s="89"/>
      <c r="AM100" s="86"/>
      <c r="AN100" s="93"/>
      <c r="AO100" s="84"/>
      <c r="AP100" s="85"/>
      <c r="AQ100" s="86"/>
      <c r="AR100" s="93"/>
      <c r="AS100" s="84"/>
      <c r="AT100" s="85"/>
      <c r="AU100" s="96"/>
      <c r="AV100" s="93"/>
      <c r="AW100" s="84"/>
      <c r="AX100" s="85"/>
      <c r="AY100" s="91"/>
      <c r="AZ100" s="93"/>
      <c r="BA100" s="155"/>
      <c r="BB100" s="155"/>
      <c r="BC100" s="416" t="s">
        <v>28</v>
      </c>
      <c r="BD100" s="155"/>
    </row>
    <row r="101" ht="21.75" customHeight="1">
      <c r="A101" s="111">
        <v>336.0</v>
      </c>
      <c r="B101" s="56" t="str">
        <f>VLOOKUP($A101,LocalisationRemorque,2,0)</f>
        <v>Namur</v>
      </c>
      <c r="C101" s="57" t="str">
        <f>VLOOKUP($A101,LocalisationRemorque,3,0)</f>
        <v>Bois de villers</v>
      </c>
      <c r="D101" s="59" t="str">
        <f>CONCATENATE(VLOOKUP($A101,LocalisationRemorque,6,0)," ► ",VLOOKUP($A101,LocalisationRemorque,5,0))</f>
        <v>Floreffe ► Bois de Villers</v>
      </c>
      <c r="E101" s="67"/>
      <c r="F101" s="63"/>
      <c r="G101" s="64"/>
      <c r="H101" s="66"/>
      <c r="I101" s="67"/>
      <c r="J101" s="71"/>
      <c r="K101" s="64"/>
      <c r="L101" s="66"/>
      <c r="M101" s="67" t="s">
        <v>456</v>
      </c>
      <c r="N101" s="63"/>
      <c r="O101" s="104"/>
      <c r="P101" s="78"/>
      <c r="Q101" s="67"/>
      <c r="R101" s="63"/>
      <c r="S101" s="104"/>
      <c r="T101" s="78"/>
      <c r="U101" s="67" t="s">
        <v>456</v>
      </c>
      <c r="V101" s="63"/>
      <c r="W101" s="68"/>
      <c r="X101" s="78"/>
      <c r="Y101" s="67"/>
      <c r="Z101" s="63"/>
      <c r="AA101" s="68"/>
      <c r="AB101" s="66"/>
      <c r="AC101" s="67"/>
      <c r="AD101" s="63"/>
      <c r="AE101" s="64"/>
      <c r="AF101" s="66"/>
      <c r="AG101" s="67"/>
      <c r="AH101" s="63"/>
      <c r="AI101" s="99"/>
      <c r="AJ101" s="101"/>
      <c r="AK101" s="67"/>
      <c r="AL101" s="71"/>
      <c r="AM101" s="68"/>
      <c r="AN101" s="101"/>
      <c r="AO101" s="67"/>
      <c r="AP101" s="63"/>
      <c r="AQ101" s="68"/>
      <c r="AR101" s="101"/>
      <c r="AS101" s="67"/>
      <c r="AT101" s="63"/>
      <c r="AU101" s="105"/>
      <c r="AV101" s="101"/>
      <c r="AW101" s="67"/>
      <c r="AX101" s="63"/>
      <c r="AY101" s="99"/>
      <c r="AZ101" s="101"/>
      <c r="BA101" s="88"/>
      <c r="BB101" s="88"/>
      <c r="BC101" s="106"/>
      <c r="BD101" s="88"/>
    </row>
    <row r="102" ht="21.75" customHeight="1">
      <c r="A102" s="80">
        <v>337.0</v>
      </c>
      <c r="B102" s="81" t="str">
        <f>VLOOKUP($A102,LocalisationRemorque,2,0)</f>
        <v>Namur</v>
      </c>
      <c r="C102" s="82" t="str">
        <f>VLOOKUP($A102,LocalisationRemorque,3,0)</f>
        <v>Wépion Criée</v>
      </c>
      <c r="D102" s="83" t="str">
        <f>CONCATENATE(VLOOKUP($A102,LocalisationRemorque,6,0)," ► ",VLOOKUP($A102,LocalisationRemorque,5,0))</f>
        <v>Bois de Villers ► Wépion</v>
      </c>
      <c r="E102" s="84" t="s">
        <v>456</v>
      </c>
      <c r="F102" s="85"/>
      <c r="G102" s="84" t="s">
        <v>19</v>
      </c>
      <c r="H102" s="90"/>
      <c r="I102" s="84"/>
      <c r="J102" s="85" t="s">
        <v>24</v>
      </c>
      <c r="K102" s="86" t="s">
        <v>19</v>
      </c>
      <c r="L102" s="90"/>
      <c r="M102" s="84" t="s">
        <v>19</v>
      </c>
      <c r="N102" s="85"/>
      <c r="O102" s="95"/>
      <c r="P102" s="87"/>
      <c r="Q102" s="84" t="s">
        <v>19</v>
      </c>
      <c r="R102" s="85"/>
      <c r="S102" s="95"/>
      <c r="T102" s="87"/>
      <c r="U102" s="84" t="s">
        <v>19</v>
      </c>
      <c r="V102" s="85"/>
      <c r="W102" s="86"/>
      <c r="X102" s="87"/>
      <c r="Y102" s="84"/>
      <c r="Z102" s="85"/>
      <c r="AA102" s="86"/>
      <c r="AB102" s="90"/>
      <c r="AC102" s="84" t="s">
        <v>456</v>
      </c>
      <c r="AD102" s="85"/>
      <c r="AE102" s="109"/>
      <c r="AF102" s="90"/>
      <c r="AG102" s="84"/>
      <c r="AH102" s="85"/>
      <c r="AI102" s="91"/>
      <c r="AJ102" s="93"/>
      <c r="AK102" s="84"/>
      <c r="AL102" s="89"/>
      <c r="AM102" s="86"/>
      <c r="AN102" s="93"/>
      <c r="AO102" s="84"/>
      <c r="AP102" s="85"/>
      <c r="AQ102" s="86"/>
      <c r="AR102" s="93"/>
      <c r="AS102" s="84"/>
      <c r="AT102" s="85"/>
      <c r="AU102" s="96"/>
      <c r="AV102" s="93"/>
      <c r="AW102" s="84"/>
      <c r="AX102" s="85"/>
      <c r="AY102" s="91"/>
      <c r="AZ102" s="93"/>
      <c r="BA102" s="155"/>
      <c r="BB102" s="155"/>
      <c r="BC102" s="416" t="s">
        <v>28</v>
      </c>
      <c r="BD102" s="155"/>
    </row>
    <row r="103" ht="21.75" customHeight="1">
      <c r="A103" s="111">
        <v>338.0</v>
      </c>
      <c r="B103" s="56" t="str">
        <f>VLOOKUP($A103,LocalisationRemorque,2,0)</f>
        <v>Namur</v>
      </c>
      <c r="C103" s="57" t="str">
        <f>VLOOKUP($A103,LocalisationRemorque,3,0)</f>
        <v>Floriffoux</v>
      </c>
      <c r="D103" s="59" t="str">
        <f>CONCATENATE(VLOOKUP($A103,LocalisationRemorque,6,0)," ► ",VLOOKUP($A103,LocalisationRemorque,5,0))</f>
        <v>Suarlée ► Floreffe</v>
      </c>
      <c r="E103" s="67"/>
      <c r="F103" s="63"/>
      <c r="G103" s="64"/>
      <c r="H103" s="66"/>
      <c r="I103" s="67" t="s">
        <v>456</v>
      </c>
      <c r="J103" s="71"/>
      <c r="K103" s="64"/>
      <c r="L103" s="66"/>
      <c r="M103" s="67"/>
      <c r="N103" s="63"/>
      <c r="O103" s="104"/>
      <c r="P103" s="78"/>
      <c r="Q103" s="67"/>
      <c r="R103" s="63"/>
      <c r="S103" s="104"/>
      <c r="T103" s="78"/>
      <c r="U103" s="67"/>
      <c r="V103" s="63"/>
      <c r="W103" s="68"/>
      <c r="X103" s="78"/>
      <c r="Y103" s="67" t="s">
        <v>456</v>
      </c>
      <c r="Z103" s="63"/>
      <c r="AA103" s="64"/>
      <c r="AB103" s="66"/>
      <c r="AC103" s="67"/>
      <c r="AD103" s="63"/>
      <c r="AE103" s="64"/>
      <c r="AF103" s="66"/>
      <c r="AG103" s="67"/>
      <c r="AH103" s="63"/>
      <c r="AI103" s="99"/>
      <c r="AJ103" s="101"/>
      <c r="AK103" s="67" t="s">
        <v>456</v>
      </c>
      <c r="AL103" s="71"/>
      <c r="AM103" s="68"/>
      <c r="AN103" s="101"/>
      <c r="AO103" s="67"/>
      <c r="AP103" s="63"/>
      <c r="AQ103" s="68"/>
      <c r="AR103" s="101"/>
      <c r="AS103" s="67"/>
      <c r="AT103" s="63"/>
      <c r="AU103" s="105"/>
      <c r="AV103" s="101"/>
      <c r="AW103" s="67"/>
      <c r="AX103" s="63"/>
      <c r="AY103" s="99"/>
      <c r="AZ103" s="101"/>
      <c r="BA103" s="88"/>
      <c r="BB103" s="88"/>
      <c r="BC103" s="106"/>
      <c r="BD103" s="88"/>
    </row>
    <row r="104" ht="21.75" customHeight="1">
      <c r="A104" s="80">
        <v>339.0</v>
      </c>
      <c r="B104" s="81" t="str">
        <f>VLOOKUP($A104,LocalisationRemorque,2,0)</f>
        <v>Namur</v>
      </c>
      <c r="C104" s="82" t="str">
        <f>VLOOKUP($A104,LocalisationRemorque,3,0)</f>
        <v>Fosses la Ville</v>
      </c>
      <c r="D104" s="83" t="str">
        <f>CONCATENATE(VLOOKUP($A104,LocalisationRemorque,6,0)," ► ",VLOOKUP($A104,LocalisationRemorque,5,0))</f>
        <v>Floreffe ► Fosses</v>
      </c>
      <c r="E104" s="84"/>
      <c r="F104" s="85"/>
      <c r="G104" s="109"/>
      <c r="H104" s="87"/>
      <c r="I104" s="84"/>
      <c r="J104" s="89"/>
      <c r="K104" s="109"/>
      <c r="L104" s="90"/>
      <c r="M104" s="84" t="s">
        <v>456</v>
      </c>
      <c r="N104" s="85"/>
      <c r="O104" s="95"/>
      <c r="P104" s="87"/>
      <c r="Q104" s="84"/>
      <c r="R104" s="85"/>
      <c r="S104" s="95"/>
      <c r="T104" s="87"/>
      <c r="U104" s="84"/>
      <c r="V104" s="85"/>
      <c r="W104" s="86"/>
      <c r="X104" s="87"/>
      <c r="Y104" s="84"/>
      <c r="Z104" s="85"/>
      <c r="AA104" s="95"/>
      <c r="AB104" s="90"/>
      <c r="AC104" s="84" t="s">
        <v>456</v>
      </c>
      <c r="AD104" s="85"/>
      <c r="AE104" s="109"/>
      <c r="AF104" s="90"/>
      <c r="AG104" s="84"/>
      <c r="AH104" s="85"/>
      <c r="AI104" s="91"/>
      <c r="AJ104" s="93"/>
      <c r="AK104" s="84" t="s">
        <v>456</v>
      </c>
      <c r="AL104" s="89"/>
      <c r="AM104" s="95"/>
      <c r="AN104" s="93"/>
      <c r="AO104" s="84"/>
      <c r="AP104" s="85"/>
      <c r="AQ104" s="86"/>
      <c r="AR104" s="93"/>
      <c r="AS104" s="84"/>
      <c r="AT104" s="85"/>
      <c r="AU104" s="96"/>
      <c r="AV104" s="93"/>
      <c r="AW104" s="84"/>
      <c r="AX104" s="85"/>
      <c r="AY104" s="91"/>
      <c r="AZ104" s="93"/>
      <c r="BA104" s="77"/>
      <c r="BB104" s="77"/>
      <c r="BC104" s="97"/>
      <c r="BD104" s="77"/>
    </row>
    <row r="105" ht="21.75" customHeight="1">
      <c r="A105" s="111">
        <v>340.0</v>
      </c>
      <c r="B105" s="56" t="str">
        <f>VLOOKUP($A105,LocalisationRemorque,2,0)</f>
        <v>Namur</v>
      </c>
      <c r="C105" s="57" t="str">
        <f>VLOOKUP($A105,LocalisationRemorque,3,0)</f>
        <v>Naninne</v>
      </c>
      <c r="D105" s="59" t="str">
        <f>CONCATENATE(VLOOKUP($A105,LocalisationRemorque,6,0)," ► ",VLOOKUP($A105,LocalisationRemorque,5,0))</f>
        <v>Namur ► Ciney</v>
      </c>
      <c r="E105" s="68" t="s">
        <v>294</v>
      </c>
      <c r="F105" s="63"/>
      <c r="G105" s="64"/>
      <c r="H105" s="78"/>
      <c r="I105" s="67" t="s">
        <v>19</v>
      </c>
      <c r="J105" s="71"/>
      <c r="K105" s="64"/>
      <c r="L105" s="66"/>
      <c r="M105" s="67" t="s">
        <v>19</v>
      </c>
      <c r="N105" s="63"/>
      <c r="O105" s="104"/>
      <c r="P105" s="78"/>
      <c r="Q105" s="67" t="s">
        <v>19</v>
      </c>
      <c r="R105" s="63"/>
      <c r="S105" s="104"/>
      <c r="T105" s="78"/>
      <c r="U105" s="67" t="s">
        <v>19</v>
      </c>
      <c r="V105" s="63"/>
      <c r="W105" s="68"/>
      <c r="X105" s="78"/>
      <c r="Y105" s="67"/>
      <c r="Z105" s="63"/>
      <c r="AA105" s="68"/>
      <c r="AB105" s="78"/>
      <c r="AC105" s="67"/>
      <c r="AD105" s="63"/>
      <c r="AE105" s="64"/>
      <c r="AF105" s="66"/>
      <c r="AG105" s="67"/>
      <c r="AH105" s="63"/>
      <c r="AI105" s="99"/>
      <c r="AJ105" s="101"/>
      <c r="AK105" s="67"/>
      <c r="AL105" s="63"/>
      <c r="AM105" s="68"/>
      <c r="AN105" s="101"/>
      <c r="AO105" s="67" t="s">
        <v>294</v>
      </c>
      <c r="AP105" s="63"/>
      <c r="AQ105" s="68"/>
      <c r="AR105" s="101"/>
      <c r="AS105" s="67"/>
      <c r="AT105" s="63"/>
      <c r="AU105" s="105"/>
      <c r="AV105" s="101"/>
      <c r="AW105" s="67"/>
      <c r="AX105" s="63"/>
      <c r="AY105" s="99"/>
      <c r="AZ105" s="101"/>
      <c r="BA105" s="88"/>
      <c r="BB105" s="88"/>
      <c r="BC105" s="418" t="s">
        <v>28</v>
      </c>
      <c r="BD105" s="88"/>
    </row>
    <row r="106" ht="21.75" customHeight="1">
      <c r="A106" s="80">
        <v>341.0</v>
      </c>
      <c r="B106" s="81" t="str">
        <f>VLOOKUP($A106,LocalisationRemorque,2,0)</f>
        <v>Namur</v>
      </c>
      <c r="C106" s="82" t="str">
        <f>VLOOKUP($A106,LocalisationRemorque,3,0)</f>
        <v>Courrière</v>
      </c>
      <c r="D106" s="83" t="str">
        <f>CONCATENATE(VLOOKUP($A106,LocalisationRemorque,6,0)," ► ",VLOOKUP($A106,LocalisationRemorque,5,0))</f>
        <v>Namur ► Ciney</v>
      </c>
      <c r="E106" s="84"/>
      <c r="F106" s="85" t="s">
        <v>180</v>
      </c>
      <c r="G106" s="109"/>
      <c r="H106" s="87"/>
      <c r="I106" s="84" t="s">
        <v>19</v>
      </c>
      <c r="J106" s="89"/>
      <c r="K106" s="109"/>
      <c r="L106" s="90"/>
      <c r="M106" s="84" t="s">
        <v>19</v>
      </c>
      <c r="N106" s="85"/>
      <c r="O106" s="95"/>
      <c r="P106" s="87"/>
      <c r="Q106" s="84" t="s">
        <v>19</v>
      </c>
      <c r="R106" s="85"/>
      <c r="S106" s="95"/>
      <c r="T106" s="87"/>
      <c r="U106" s="84" t="s">
        <v>19</v>
      </c>
      <c r="V106" s="85"/>
      <c r="W106" s="86"/>
      <c r="X106" s="87"/>
      <c r="Y106" s="84"/>
      <c r="Z106" s="85"/>
      <c r="AA106" s="109"/>
      <c r="AB106" s="87"/>
      <c r="AC106" s="84" t="s">
        <v>294</v>
      </c>
      <c r="AD106" s="85"/>
      <c r="AE106" s="109"/>
      <c r="AF106" s="90"/>
      <c r="AG106" s="84"/>
      <c r="AH106" s="85"/>
      <c r="AI106" s="91"/>
      <c r="AJ106" s="93"/>
      <c r="AK106" s="84"/>
      <c r="AL106" s="85"/>
      <c r="AM106" s="86"/>
      <c r="AN106" s="93"/>
      <c r="AO106" s="84" t="s">
        <v>294</v>
      </c>
      <c r="AP106" s="85"/>
      <c r="AQ106" s="86"/>
      <c r="AR106" s="93"/>
      <c r="AS106" s="84"/>
      <c r="AT106" s="85"/>
      <c r="AU106" s="96"/>
      <c r="AV106" s="93"/>
      <c r="AW106" s="84" t="s">
        <v>294</v>
      </c>
      <c r="AX106" s="92"/>
      <c r="AY106" s="86"/>
      <c r="AZ106" s="93"/>
      <c r="BA106" s="77"/>
      <c r="BB106" s="77" t="s">
        <v>344</v>
      </c>
      <c r="BC106" s="159" t="s">
        <v>28</v>
      </c>
      <c r="BD106" s="77"/>
    </row>
    <row r="107" ht="21.75" customHeight="1">
      <c r="A107" s="111">
        <v>365.0</v>
      </c>
      <c r="B107" s="56" t="str">
        <f>VLOOKUP($A107,LocalisationRemorque,2,0)</f>
        <v>Namur</v>
      </c>
      <c r="C107" s="57" t="str">
        <f>VLOOKUP($A107,LocalisationRemorque,3,0)</f>
        <v>Courrière 2</v>
      </c>
      <c r="D107" s="59" t="str">
        <f>CONCATENATE(VLOOKUP($A107,LocalisationRemorque,6,0)," ► ",VLOOKUP($A107,LocalisationRemorque,5,0))</f>
        <v>Namur ► Ciney</v>
      </c>
      <c r="E107" s="67"/>
      <c r="F107" s="63"/>
      <c r="G107" s="68" t="s">
        <v>19</v>
      </c>
      <c r="H107" s="66"/>
      <c r="I107" s="67"/>
      <c r="J107" s="71"/>
      <c r="K107" s="64"/>
      <c r="L107" s="66"/>
      <c r="M107" s="67"/>
      <c r="N107" s="63"/>
      <c r="O107" s="104"/>
      <c r="P107" s="78"/>
      <c r="Q107" s="67"/>
      <c r="R107" s="71"/>
      <c r="S107" s="104"/>
      <c r="T107" s="78"/>
      <c r="U107" s="67"/>
      <c r="V107" s="63"/>
      <c r="W107" s="68"/>
      <c r="X107" s="78"/>
      <c r="Y107" s="67"/>
      <c r="Z107" s="63"/>
      <c r="AA107" s="64"/>
      <c r="AB107" s="78"/>
      <c r="AC107" s="67"/>
      <c r="AD107" s="63"/>
      <c r="AE107" s="64"/>
      <c r="AF107" s="66"/>
      <c r="AG107" s="67" t="s">
        <v>294</v>
      </c>
      <c r="AH107" s="63"/>
      <c r="AI107" s="99"/>
      <c r="AJ107" s="101"/>
      <c r="AK107" s="67"/>
      <c r="AL107" s="71"/>
      <c r="AM107" s="68"/>
      <c r="AN107" s="78"/>
      <c r="AO107" s="67"/>
      <c r="AP107" s="63"/>
      <c r="AQ107" s="68"/>
      <c r="AR107" s="101"/>
      <c r="AS107" s="67"/>
      <c r="AT107" s="63"/>
      <c r="AU107" s="105"/>
      <c r="AV107" s="101"/>
      <c r="AW107" s="67"/>
      <c r="AX107" s="100"/>
      <c r="AY107" s="99"/>
      <c r="AZ107" s="101"/>
      <c r="BA107" s="70"/>
      <c r="BB107" s="70" t="s">
        <v>344</v>
      </c>
      <c r="BC107" s="157" t="s">
        <v>28</v>
      </c>
      <c r="BD107" s="70"/>
    </row>
    <row r="108" ht="21.75" customHeight="1">
      <c r="A108" s="80">
        <v>342.0</v>
      </c>
      <c r="B108" s="81" t="str">
        <f>VLOOKUP($A108,LocalisationRemorque,2,0)</f>
        <v>Namur</v>
      </c>
      <c r="C108" s="82" t="str">
        <f>VLOOKUP($A108,LocalisationRemorque,3,0)</f>
        <v>Arville/Sart Bernard</v>
      </c>
      <c r="D108" s="83" t="str">
        <f>CONCATENATE(VLOOKUP($A108,LocalisationRemorque,6,0)," ► ",VLOOKUP($A108,LocalisationRemorque,5,0))</f>
        <v>Ciney ► Namur</v>
      </c>
      <c r="E108" s="84" t="s">
        <v>19</v>
      </c>
      <c r="F108" s="85"/>
      <c r="G108" s="109"/>
      <c r="H108" s="90"/>
      <c r="I108" s="84" t="s">
        <v>19</v>
      </c>
      <c r="J108" s="89"/>
      <c r="K108" s="109"/>
      <c r="L108" s="90"/>
      <c r="M108" s="84" t="s">
        <v>19</v>
      </c>
      <c r="N108" s="85"/>
      <c r="O108" s="95" t="s">
        <v>294</v>
      </c>
      <c r="P108" s="87"/>
      <c r="Q108" s="84" t="s">
        <v>19</v>
      </c>
      <c r="R108" s="89"/>
      <c r="S108" s="95"/>
      <c r="T108" s="87"/>
      <c r="U108" s="84" t="s">
        <v>19</v>
      </c>
      <c r="V108" s="85"/>
      <c r="W108" s="86"/>
      <c r="X108" s="87"/>
      <c r="Y108" s="84" t="s">
        <v>460</v>
      </c>
      <c r="Z108" s="85"/>
      <c r="AA108" s="109"/>
      <c r="AB108" s="90"/>
      <c r="AC108" s="84" t="s">
        <v>460</v>
      </c>
      <c r="AD108" s="85"/>
      <c r="AE108" s="86"/>
      <c r="AF108" s="90"/>
      <c r="AG108" s="85"/>
      <c r="AH108" s="85"/>
      <c r="AI108" s="86" t="s">
        <v>294</v>
      </c>
      <c r="AJ108" s="93"/>
      <c r="AK108" s="84"/>
      <c r="AL108" s="89"/>
      <c r="AM108" s="86"/>
      <c r="AN108" s="93"/>
      <c r="AO108" s="84"/>
      <c r="AP108" s="85"/>
      <c r="AQ108" s="86"/>
      <c r="AR108" s="93"/>
      <c r="AS108" s="84"/>
      <c r="AT108" s="92"/>
      <c r="AU108" s="86"/>
      <c r="AV108" s="93"/>
      <c r="AW108" s="126"/>
      <c r="AX108" s="92"/>
      <c r="AY108" s="86"/>
      <c r="AZ108" s="93"/>
      <c r="BA108" s="155"/>
      <c r="BB108" s="155"/>
      <c r="BC108" s="416" t="s">
        <v>28</v>
      </c>
      <c r="BD108" s="155"/>
    </row>
    <row r="109" ht="21.75" customHeight="1">
      <c r="A109" s="111">
        <v>343.0</v>
      </c>
      <c r="B109" s="56" t="str">
        <f>VLOOKUP($A109,LocalisationRemorque,2,0)</f>
        <v>Namur</v>
      </c>
      <c r="C109" s="57" t="str">
        <f>VLOOKUP($A109,LocalisationRemorque,3,0)</f>
        <v>Wierde</v>
      </c>
      <c r="D109" s="59" t="str">
        <f>CONCATENATE(VLOOKUP($A109,LocalisationRemorque,6,0)," ► ",VLOOKUP($A109,LocalisationRemorque,5,0))</f>
        <v>Naninne ► E411</v>
      </c>
      <c r="E109" s="68" t="s">
        <v>294</v>
      </c>
      <c r="F109" s="63"/>
      <c r="G109" s="68"/>
      <c r="H109" s="78"/>
      <c r="I109" s="68" t="s">
        <v>294</v>
      </c>
      <c r="J109" s="71"/>
      <c r="K109" s="68"/>
      <c r="L109" s="66"/>
      <c r="M109" s="67" t="s">
        <v>19</v>
      </c>
      <c r="N109" s="63"/>
      <c r="O109" s="104" t="s">
        <v>462</v>
      </c>
      <c r="P109" s="78"/>
      <c r="Q109" s="67" t="s">
        <v>463</v>
      </c>
      <c r="R109" s="71"/>
      <c r="S109" s="104"/>
      <c r="T109" s="78"/>
      <c r="U109" s="67" t="s">
        <v>19</v>
      </c>
      <c r="V109" s="63"/>
      <c r="W109" s="68"/>
      <c r="X109" s="78"/>
      <c r="Y109" s="67" t="s">
        <v>460</v>
      </c>
      <c r="Z109" s="63"/>
      <c r="AA109" s="68" t="s">
        <v>460</v>
      </c>
      <c r="AB109" s="66"/>
      <c r="AC109" s="67" t="s">
        <v>460</v>
      </c>
      <c r="AD109" s="63"/>
      <c r="AE109" s="429"/>
      <c r="AF109" s="66"/>
      <c r="AG109" s="67" t="s">
        <v>455</v>
      </c>
      <c r="AH109" s="63"/>
      <c r="AI109" s="68"/>
      <c r="AJ109" s="101"/>
      <c r="AK109" s="63"/>
      <c r="AL109" s="71"/>
      <c r="AM109" s="68"/>
      <c r="AN109" s="101"/>
      <c r="AO109" s="67" t="s">
        <v>304</v>
      </c>
      <c r="AP109" s="63"/>
      <c r="AQ109" s="68"/>
      <c r="AR109" s="101"/>
      <c r="AS109" s="67" t="s">
        <v>294</v>
      </c>
      <c r="AT109" s="100"/>
      <c r="AU109" s="68" t="s">
        <v>304</v>
      </c>
      <c r="AV109" s="63"/>
      <c r="AW109" s="67"/>
      <c r="AX109" s="100"/>
      <c r="AY109" s="99"/>
      <c r="AZ109" s="101"/>
      <c r="BA109" s="70"/>
      <c r="BB109" s="70"/>
      <c r="BC109" s="157" t="s">
        <v>28</v>
      </c>
      <c r="BD109" s="70"/>
    </row>
    <row r="110" ht="21.75" customHeight="1">
      <c r="A110" s="80">
        <v>344.0</v>
      </c>
      <c r="B110" s="81" t="str">
        <f>VLOOKUP($A110,LocalisationRemorque,2,0)</f>
        <v>Namur</v>
      </c>
      <c r="C110" s="82" t="str">
        <f>VLOOKUP($A110,LocalisationRemorque,3,0)</f>
        <v>Wierde 2</v>
      </c>
      <c r="D110" s="83" t="str">
        <f>CONCATENATE(VLOOKUP($A110,LocalisationRemorque,6,0)," ► ",VLOOKUP($A110,LocalisationRemorque,5,0))</f>
        <v>Naninne ► E411</v>
      </c>
      <c r="E110" s="84" t="s">
        <v>456</v>
      </c>
      <c r="F110" s="85"/>
      <c r="G110" s="86" t="s">
        <v>22</v>
      </c>
      <c r="H110" s="90"/>
      <c r="I110" s="84"/>
      <c r="J110" s="85" t="s">
        <v>24</v>
      </c>
      <c r="K110" s="109"/>
      <c r="L110" s="90"/>
      <c r="M110" s="84" t="s">
        <v>456</v>
      </c>
      <c r="N110" s="85"/>
      <c r="O110" s="95" t="s">
        <v>304</v>
      </c>
      <c r="P110" s="87"/>
      <c r="Q110" s="84" t="s">
        <v>304</v>
      </c>
      <c r="R110" s="89"/>
      <c r="S110" s="95"/>
      <c r="T110" s="87"/>
      <c r="U110" s="84" t="s">
        <v>456</v>
      </c>
      <c r="V110" s="85"/>
      <c r="W110" s="86"/>
      <c r="X110" s="87"/>
      <c r="Y110" s="84"/>
      <c r="Z110" s="85"/>
      <c r="AA110" s="109"/>
      <c r="AB110" s="90"/>
      <c r="AC110" s="84"/>
      <c r="AD110" s="85"/>
      <c r="AE110" s="430" t="s">
        <v>22</v>
      </c>
      <c r="AF110" s="90"/>
      <c r="AG110" s="84"/>
      <c r="AH110" s="85"/>
      <c r="AI110" s="85"/>
      <c r="AJ110" s="93"/>
      <c r="AK110" s="84"/>
      <c r="AL110" s="89"/>
      <c r="AM110" s="86"/>
      <c r="AN110" s="93"/>
      <c r="AO110" s="84" t="s">
        <v>462</v>
      </c>
      <c r="AP110" s="85"/>
      <c r="AQ110" s="86"/>
      <c r="AR110" s="93"/>
      <c r="AS110" s="84"/>
      <c r="AT110" s="92"/>
      <c r="AU110" s="86" t="s">
        <v>462</v>
      </c>
      <c r="AV110" s="93"/>
      <c r="AW110" s="126"/>
      <c r="AX110" s="92"/>
      <c r="AY110" s="91"/>
      <c r="AZ110" s="93"/>
      <c r="BA110" s="77"/>
      <c r="BB110" s="77"/>
      <c r="BC110" s="159" t="s">
        <v>28</v>
      </c>
      <c r="BD110" s="77"/>
    </row>
    <row r="111" ht="21.75" customHeight="1">
      <c r="A111" s="111">
        <v>363.0</v>
      </c>
      <c r="B111" s="56" t="str">
        <f>VLOOKUP($A111,LocalisationRemorque,2,0)</f>
        <v>Namur</v>
      </c>
      <c r="C111" s="57" t="str">
        <f>VLOOKUP($A111,LocalisationRemorque,3,0)</f>
        <v>Erpent</v>
      </c>
      <c r="D111" s="59" t="str">
        <f>CONCATENATE(VLOOKUP($A111,LocalisationRemorque,6,0)," ► ",VLOOKUP($A111,LocalisationRemorque,5,0))</f>
        <v>Marche-en-Famenne ► Namur</v>
      </c>
      <c r="E111" s="68" t="s">
        <v>294</v>
      </c>
      <c r="F111" s="63"/>
      <c r="G111" s="64"/>
      <c r="H111" s="66"/>
      <c r="I111" s="67"/>
      <c r="J111" s="71"/>
      <c r="K111" s="68" t="s">
        <v>294</v>
      </c>
      <c r="L111" s="66"/>
      <c r="M111" s="67"/>
      <c r="N111" s="63"/>
      <c r="O111" s="104"/>
      <c r="P111" s="78"/>
      <c r="Q111" s="104" t="s">
        <v>19</v>
      </c>
      <c r="R111" s="71"/>
      <c r="S111" s="104"/>
      <c r="T111" s="78"/>
      <c r="U111" s="68" t="s">
        <v>20</v>
      </c>
      <c r="V111" s="63"/>
      <c r="W111" s="68" t="s">
        <v>294</v>
      </c>
      <c r="X111" s="78"/>
      <c r="Y111" s="67"/>
      <c r="Z111" s="63"/>
      <c r="AA111" s="68" t="s">
        <v>20</v>
      </c>
      <c r="AB111" s="66"/>
      <c r="AC111" s="67" t="s">
        <v>29</v>
      </c>
      <c r="AD111" s="63"/>
      <c r="AE111" s="431" t="s">
        <v>294</v>
      </c>
      <c r="AF111" s="66"/>
      <c r="AG111" s="67" t="s">
        <v>29</v>
      </c>
      <c r="AH111" s="63"/>
      <c r="AI111" s="68"/>
      <c r="AJ111" s="101"/>
      <c r="AK111" s="67"/>
      <c r="AL111" s="71"/>
      <c r="AM111" s="68" t="s">
        <v>294</v>
      </c>
      <c r="AN111" s="78"/>
      <c r="AO111" s="67" t="s">
        <v>29</v>
      </c>
      <c r="AP111" s="63"/>
      <c r="AQ111" s="68"/>
      <c r="AR111" s="101"/>
      <c r="AS111" s="67" t="s">
        <v>20</v>
      </c>
      <c r="AT111" s="63"/>
      <c r="AU111" s="105"/>
      <c r="AV111" s="101"/>
      <c r="AW111" s="67" t="s">
        <v>20</v>
      </c>
      <c r="AX111" s="63"/>
      <c r="AY111" s="68" t="s">
        <v>294</v>
      </c>
      <c r="AZ111" s="101"/>
      <c r="BA111" s="88"/>
      <c r="BB111" s="70" t="s">
        <v>344</v>
      </c>
      <c r="BC111" s="79"/>
      <c r="BD111" s="70"/>
    </row>
    <row r="112" ht="21.75" customHeight="1">
      <c r="A112" s="432">
        <v>345.0</v>
      </c>
      <c r="B112" s="81" t="str">
        <f>VLOOKUP($A112,LocalisationRemorque,2,0)</f>
        <v>Philippeville</v>
      </c>
      <c r="C112" s="82" t="str">
        <f>VLOOKUP($A112,LocalisationRemorque,3,0)</f>
        <v>Philippeville</v>
      </c>
      <c r="D112" s="83" t="str">
        <f>CONCATENATE(VLOOKUP($A112,LocalisationRemorque,6,0)," ► ",VLOOKUP($A112,LocalisationRemorque,5,0))</f>
        <v>Philippeville ► Dinant</v>
      </c>
      <c r="E112" s="408"/>
      <c r="F112" s="85"/>
      <c r="G112" s="109"/>
      <c r="H112" s="90"/>
      <c r="I112" s="84"/>
      <c r="J112" s="89"/>
      <c r="K112" s="109"/>
      <c r="L112" s="90"/>
      <c r="M112" s="84"/>
      <c r="N112" s="85"/>
      <c r="O112" s="86"/>
      <c r="P112" s="87"/>
      <c r="Q112" s="95"/>
      <c r="R112" s="89"/>
      <c r="S112" s="95"/>
      <c r="T112" s="87"/>
      <c r="U112" s="86"/>
      <c r="V112" s="85"/>
      <c r="W112" s="86"/>
      <c r="X112" s="87"/>
      <c r="Y112" s="84"/>
      <c r="Z112" s="85"/>
      <c r="AA112" s="109"/>
      <c r="AB112" s="90"/>
      <c r="AC112" s="84"/>
      <c r="AD112" s="85"/>
      <c r="AE112" s="433"/>
      <c r="AF112" s="90"/>
      <c r="AG112" s="84"/>
      <c r="AH112" s="85"/>
      <c r="AI112" s="86"/>
      <c r="AJ112" s="93"/>
      <c r="AK112" s="84"/>
      <c r="AL112" s="89"/>
      <c r="AM112" s="86"/>
      <c r="AN112" s="93"/>
      <c r="AO112" s="84"/>
      <c r="AP112" s="85"/>
      <c r="AQ112" s="86"/>
      <c r="AR112" s="93"/>
      <c r="AS112" s="84"/>
      <c r="AT112" s="92"/>
      <c r="AU112" s="96"/>
      <c r="AV112" s="93"/>
      <c r="AW112" s="126"/>
      <c r="AX112" s="92"/>
      <c r="AY112" s="91"/>
      <c r="AZ112" s="93"/>
      <c r="BA112" s="155"/>
      <c r="BB112" s="155"/>
      <c r="BC112" s="128"/>
      <c r="BD112" s="155"/>
    </row>
    <row r="113" ht="21.75" customHeight="1">
      <c r="A113" s="434">
        <v>346.0</v>
      </c>
      <c r="B113" s="56" t="str">
        <f>VLOOKUP($A113,LocalisationRemorque,2,0)</f>
        <v>Mettet</v>
      </c>
      <c r="C113" s="57" t="str">
        <f>VLOOKUP($A113,LocalisationRemorque,3,0)</f>
        <v>Rond point circuit</v>
      </c>
      <c r="D113" s="59" t="str">
        <f>CONCATENATE(VLOOKUP($A113,LocalisationRemorque,6,0)," ► ",VLOOKUP($A113,LocalisationRemorque,5,0))</f>
        <v>Annevoie ► Circuit</v>
      </c>
      <c r="E113" s="293" t="s">
        <v>456</v>
      </c>
      <c r="F113" s="63"/>
      <c r="G113" s="64"/>
      <c r="H113" s="66"/>
      <c r="I113" s="67"/>
      <c r="J113" s="71"/>
      <c r="K113" s="64"/>
      <c r="L113" s="66"/>
      <c r="M113" s="67"/>
      <c r="N113" s="63"/>
      <c r="O113" s="68"/>
      <c r="P113" s="78"/>
      <c r="Q113" s="104" t="s">
        <v>456</v>
      </c>
      <c r="R113" s="71"/>
      <c r="S113" s="104"/>
      <c r="T113" s="78"/>
      <c r="U113" s="68"/>
      <c r="V113" s="63"/>
      <c r="W113" s="68"/>
      <c r="X113" s="78"/>
      <c r="Y113" s="67"/>
      <c r="Z113" s="63"/>
      <c r="AA113" s="64"/>
      <c r="AB113" s="66"/>
      <c r="AC113" s="67" t="s">
        <v>456</v>
      </c>
      <c r="AD113" s="63"/>
      <c r="AE113" s="429"/>
      <c r="AF113" s="66"/>
      <c r="AG113" s="67"/>
      <c r="AH113" s="63"/>
      <c r="AI113" s="68"/>
      <c r="AJ113" s="101"/>
      <c r="AK113" s="104" t="s">
        <v>456</v>
      </c>
      <c r="AL113" s="71"/>
      <c r="AM113" s="68"/>
      <c r="AN113" s="101"/>
      <c r="AO113" s="67"/>
      <c r="AP113" s="63"/>
      <c r="AQ113" s="68"/>
      <c r="AR113" s="101"/>
      <c r="AS113" s="67"/>
      <c r="AT113" s="100"/>
      <c r="AU113" s="105"/>
      <c r="AV113" s="101"/>
      <c r="AW113" s="67"/>
      <c r="AX113" s="100"/>
      <c r="AY113" s="99"/>
      <c r="AZ113" s="101"/>
      <c r="BA113" s="88"/>
      <c r="BB113" s="88"/>
      <c r="BC113" s="106"/>
      <c r="BD113" s="88"/>
    </row>
    <row r="114" ht="21.75" customHeight="1">
      <c r="A114" s="80">
        <v>359.0</v>
      </c>
      <c r="B114" s="81" t="str">
        <f>VLOOKUP($A114,LocalisationRemorque,2,0)</f>
        <v>Florenne</v>
      </c>
      <c r="C114" s="82" t="str">
        <f>VLOOKUP($A114,LocalisationRemorque,3,0)</f>
        <v>Mettet</v>
      </c>
      <c r="D114" s="83" t="str">
        <f>CONCATENATE(VLOOKUP($A114,LocalisationRemorque,6,0)," ► ",VLOOKUP($A114,LocalisationRemorque,5,0))</f>
        <v>Mettet ► Florennes</v>
      </c>
      <c r="E114" s="95"/>
      <c r="F114" s="85"/>
      <c r="G114" s="109"/>
      <c r="H114" s="90"/>
      <c r="I114" s="84"/>
      <c r="J114" s="89"/>
      <c r="K114" s="109"/>
      <c r="L114" s="90"/>
      <c r="M114" s="84"/>
      <c r="N114" s="85"/>
      <c r="O114" s="86"/>
      <c r="P114" s="87"/>
      <c r="Q114" s="95"/>
      <c r="R114" s="89"/>
      <c r="S114" s="95"/>
      <c r="T114" s="87"/>
      <c r="U114" s="86"/>
      <c r="V114" s="85"/>
      <c r="W114" s="86"/>
      <c r="X114" s="87"/>
      <c r="Y114" s="84"/>
      <c r="Z114" s="85"/>
      <c r="AA114" s="109"/>
      <c r="AB114" s="90"/>
      <c r="AC114" s="84"/>
      <c r="AD114" s="85"/>
      <c r="AE114" s="433"/>
      <c r="AF114" s="90"/>
      <c r="AG114" s="84"/>
      <c r="AH114" s="85"/>
      <c r="AI114" s="86"/>
      <c r="AJ114" s="93"/>
      <c r="AK114" s="95"/>
      <c r="AL114" s="89"/>
      <c r="AM114" s="86"/>
      <c r="AN114" s="93"/>
      <c r="AO114" s="84"/>
      <c r="AP114" s="85"/>
      <c r="AQ114" s="86"/>
      <c r="AR114" s="93"/>
      <c r="AS114" s="84"/>
      <c r="AT114" s="92"/>
      <c r="AU114" s="96"/>
      <c r="AV114" s="93"/>
      <c r="AW114" s="126"/>
      <c r="AX114" s="92"/>
      <c r="AY114" s="91"/>
      <c r="AZ114" s="93"/>
      <c r="BA114" s="155"/>
      <c r="BB114" s="155"/>
      <c r="BC114" s="128"/>
      <c r="BD114" s="155"/>
    </row>
    <row r="115" ht="21.75" customHeight="1">
      <c r="A115" s="111">
        <v>360.0</v>
      </c>
      <c r="B115" s="56" t="str">
        <f>VLOOKUP($A115,LocalisationRemorque,2,0)</f>
        <v>Neuville</v>
      </c>
      <c r="C115" s="57" t="str">
        <f>VLOOKUP($A115,LocalisationRemorque,3,0)</f>
        <v>Philippeville-Couvin</v>
      </c>
      <c r="D115" s="59" t="str">
        <f>CONCATENATE(VLOOKUP($A115,LocalisationRemorque,6,0)," ► ",VLOOKUP($A115,LocalisationRemorque,5,0))</f>
        <v>Philippeville ► Couvin</v>
      </c>
      <c r="E115" s="64"/>
      <c r="F115" s="63"/>
      <c r="G115" s="64"/>
      <c r="H115" s="66"/>
      <c r="I115" s="67"/>
      <c r="J115" s="71"/>
      <c r="K115" s="64"/>
      <c r="L115" s="66"/>
      <c r="M115" s="67"/>
      <c r="N115" s="63"/>
      <c r="O115" s="68"/>
      <c r="P115" s="78"/>
      <c r="Q115" s="104" t="s">
        <v>20</v>
      </c>
      <c r="R115" s="71"/>
      <c r="S115" s="104"/>
      <c r="T115" s="78"/>
      <c r="U115" s="68"/>
      <c r="V115" s="63"/>
      <c r="W115" s="68"/>
      <c r="X115" s="78"/>
      <c r="Y115" s="67"/>
      <c r="Z115" s="63"/>
      <c r="AA115" s="64"/>
      <c r="AB115" s="66"/>
      <c r="AC115" s="67"/>
      <c r="AD115" s="63"/>
      <c r="AE115" s="429"/>
      <c r="AF115" s="66"/>
      <c r="AG115" s="67"/>
      <c r="AH115" s="63"/>
      <c r="AI115" s="68"/>
      <c r="AJ115" s="101"/>
      <c r="AK115" s="104" t="s">
        <v>20</v>
      </c>
      <c r="AL115" s="71"/>
      <c r="AM115" s="68"/>
      <c r="AN115" s="101"/>
      <c r="AO115" s="67"/>
      <c r="AP115" s="63"/>
      <c r="AQ115" s="68"/>
      <c r="AR115" s="101"/>
      <c r="AS115" s="67"/>
      <c r="AT115" s="100"/>
      <c r="AU115" s="105"/>
      <c r="AV115" s="101"/>
      <c r="AW115" s="67"/>
      <c r="AX115" s="63"/>
      <c r="AY115" s="99"/>
      <c r="AZ115" s="101"/>
      <c r="BA115" s="88"/>
      <c r="BB115" s="88"/>
      <c r="BC115" s="106"/>
      <c r="BD115" s="88"/>
    </row>
    <row r="116" ht="21.75" customHeight="1">
      <c r="A116" s="80">
        <v>361.0</v>
      </c>
      <c r="B116" s="81" t="str">
        <f>VLOOKUP($A116,LocalisationRemorque,2,0)</f>
        <v>Lacs de l'Eau d'Heure</v>
      </c>
      <c r="C116" s="82" t="str">
        <f>VLOOKUP($A116,LocalisationRemorque,3,0)</f>
        <v>Silenrieux</v>
      </c>
      <c r="D116" s="83" t="str">
        <f>CONCATENATE(VLOOKUP($A116,LocalisationRemorque,6,0)," ► ",VLOOKUP($A116,LocalisationRemorque,5,0))</f>
        <v>Philippeville ► Silenrieux</v>
      </c>
      <c r="E116" s="84"/>
      <c r="F116" s="85"/>
      <c r="G116" s="109"/>
      <c r="H116" s="90"/>
      <c r="I116" s="84"/>
      <c r="J116" s="89"/>
      <c r="K116" s="109"/>
      <c r="L116" s="90"/>
      <c r="M116" s="84"/>
      <c r="N116" s="85"/>
      <c r="O116" s="86"/>
      <c r="P116" s="87"/>
      <c r="Q116" s="95"/>
      <c r="R116" s="89"/>
      <c r="S116" s="95"/>
      <c r="T116" s="87"/>
      <c r="U116" s="86"/>
      <c r="V116" s="85"/>
      <c r="W116" s="86"/>
      <c r="X116" s="87"/>
      <c r="Y116" s="84"/>
      <c r="Z116" s="85"/>
      <c r="AA116" s="109"/>
      <c r="AB116" s="90"/>
      <c r="AC116" s="165" t="s">
        <v>29</v>
      </c>
      <c r="AD116" s="85"/>
      <c r="AE116" s="433"/>
      <c r="AF116" s="90"/>
      <c r="AG116" s="165" t="s">
        <v>29</v>
      </c>
      <c r="AH116" s="85"/>
      <c r="AI116" s="86"/>
      <c r="AJ116" s="93"/>
      <c r="AK116" s="95"/>
      <c r="AL116" s="89"/>
      <c r="AM116" s="86"/>
      <c r="AN116" s="93"/>
      <c r="AO116" s="165" t="s">
        <v>29</v>
      </c>
      <c r="AP116" s="85"/>
      <c r="AQ116" s="86"/>
      <c r="AR116" s="93"/>
      <c r="AS116" s="84"/>
      <c r="AT116" s="92"/>
      <c r="AU116" s="96"/>
      <c r="AV116" s="93"/>
      <c r="AW116" s="84"/>
      <c r="AX116" s="92"/>
      <c r="AY116" s="91"/>
      <c r="AZ116" s="93"/>
      <c r="BA116" s="155"/>
      <c r="BB116" s="155"/>
      <c r="BC116" s="128"/>
      <c r="BD116" s="155"/>
    </row>
    <row r="117" ht="21.75" hidden="1" customHeight="1">
      <c r="A117" s="53"/>
      <c r="B117" s="56" t="str">
        <f>VLOOKUP($A117,LocalisationRemorque,2,0)</f>
        <v> Remorque non listée</v>
      </c>
      <c r="C117" s="57" t="str">
        <f>VLOOKUP($A117,LocalisationRemorque,3,0)</f>
        <v/>
      </c>
      <c r="D117" s="59" t="str">
        <f>CONCATENATE(VLOOKUP($A117,LocalisationRemorque,6,0)," ► ",VLOOKUP($A117,LocalisationRemorque,5,0))</f>
        <v> ► </v>
      </c>
      <c r="E117" s="67"/>
      <c r="F117" s="63"/>
      <c r="G117" s="64"/>
      <c r="H117" s="66"/>
      <c r="I117" s="67"/>
      <c r="J117" s="71"/>
      <c r="K117" s="64"/>
      <c r="L117" s="66"/>
      <c r="M117" s="67"/>
      <c r="N117" s="63"/>
      <c r="O117" s="68"/>
      <c r="P117" s="78"/>
      <c r="Q117" s="104"/>
      <c r="R117" s="71"/>
      <c r="S117" s="104"/>
      <c r="T117" s="78"/>
      <c r="U117" s="68"/>
      <c r="V117" s="63"/>
      <c r="W117" s="68"/>
      <c r="X117" s="78"/>
      <c r="Y117" s="67"/>
      <c r="Z117" s="63"/>
      <c r="AA117" s="64"/>
      <c r="AB117" s="66"/>
      <c r="AC117" s="67"/>
      <c r="AD117" s="63"/>
      <c r="AE117" s="429"/>
      <c r="AF117" s="66"/>
      <c r="AG117" s="67"/>
      <c r="AH117" s="63"/>
      <c r="AI117" s="68"/>
      <c r="AJ117" s="101"/>
      <c r="AK117" s="104"/>
      <c r="AL117" s="71"/>
      <c r="AM117" s="68"/>
      <c r="AN117" s="101"/>
      <c r="AO117" s="67"/>
      <c r="AP117" s="63"/>
      <c r="AQ117" s="68"/>
      <c r="AR117" s="101"/>
      <c r="AS117" s="67"/>
      <c r="AT117" s="67"/>
      <c r="AU117" s="67"/>
      <c r="AV117" s="67"/>
      <c r="AW117" s="67"/>
      <c r="AX117" s="67"/>
      <c r="AY117" s="67"/>
      <c r="AZ117" s="435"/>
      <c r="BA117" s="88"/>
      <c r="BB117" s="88"/>
      <c r="BC117" s="106"/>
      <c r="BD117" s="88"/>
    </row>
    <row r="118" ht="21.75" customHeight="1">
      <c r="A118" s="80">
        <v>347.0</v>
      </c>
      <c r="B118" s="81" t="str">
        <f>VLOOKUP($A118,LocalisationRemorque,2,0)</f>
        <v>Marche</v>
      </c>
      <c r="C118" s="82" t="str">
        <f>VLOOKUP($A118,LocalisationRemorque,3,0)</f>
        <v>Sinsin</v>
      </c>
      <c r="D118" s="83" t="str">
        <f>CONCATENATE(VLOOKUP($A118,LocalisationRemorque,6,0)," ► ",VLOOKUP($A118,LocalisationRemorque,5,0))</f>
        <v>Namur ► Marche</v>
      </c>
      <c r="E118" s="84" t="s">
        <v>464</v>
      </c>
      <c r="F118" s="85"/>
      <c r="G118" s="436" t="s">
        <v>180</v>
      </c>
      <c r="H118" s="87"/>
      <c r="I118" s="84" t="s">
        <v>464</v>
      </c>
      <c r="J118" s="89"/>
      <c r="K118" s="86" t="s">
        <v>19</v>
      </c>
      <c r="L118" s="90"/>
      <c r="M118" s="84" t="s">
        <v>464</v>
      </c>
      <c r="N118" s="85"/>
      <c r="O118" s="86" t="s">
        <v>19</v>
      </c>
      <c r="P118" s="87"/>
      <c r="Q118" s="84" t="s">
        <v>464</v>
      </c>
      <c r="R118" s="89"/>
      <c r="S118" s="95" t="s">
        <v>19</v>
      </c>
      <c r="T118" s="87"/>
      <c r="U118" s="84" t="s">
        <v>464</v>
      </c>
      <c r="V118" s="85"/>
      <c r="W118" s="86" t="s">
        <v>19</v>
      </c>
      <c r="X118" s="87"/>
      <c r="Y118" s="84" t="s">
        <v>464</v>
      </c>
      <c r="Z118" s="85"/>
      <c r="AA118" s="109"/>
      <c r="AB118" s="90"/>
      <c r="AC118" s="84" t="s">
        <v>464</v>
      </c>
      <c r="AD118" s="85"/>
      <c r="AE118" s="433"/>
      <c r="AF118" s="90"/>
      <c r="AG118" s="84" t="s">
        <v>464</v>
      </c>
      <c r="AH118" s="85"/>
      <c r="AI118" s="86"/>
      <c r="AJ118" s="93"/>
      <c r="AK118" s="95" t="s">
        <v>464</v>
      </c>
      <c r="AL118" s="89"/>
      <c r="AM118" s="86"/>
      <c r="AN118" s="93"/>
      <c r="AO118" s="84" t="s">
        <v>464</v>
      </c>
      <c r="AP118" s="85"/>
      <c r="AQ118" s="86"/>
      <c r="AR118" s="93"/>
      <c r="AS118" s="84" t="s">
        <v>464</v>
      </c>
      <c r="AT118" s="92"/>
      <c r="AU118" s="96"/>
      <c r="AV118" s="93"/>
      <c r="AW118" s="84" t="s">
        <v>464</v>
      </c>
      <c r="AX118" s="85"/>
      <c r="AY118" s="86"/>
      <c r="AZ118" s="93"/>
      <c r="BA118" s="77" t="s">
        <v>17</v>
      </c>
      <c r="BB118" s="77"/>
      <c r="BC118" s="159" t="s">
        <v>28</v>
      </c>
      <c r="BD118" s="77"/>
    </row>
    <row r="119" ht="21.75" customHeight="1">
      <c r="A119" s="111">
        <v>348.0</v>
      </c>
      <c r="B119" s="56" t="str">
        <f>VLOOKUP($A119,LocalisationRemorque,2,0)</f>
        <v>Marche</v>
      </c>
      <c r="C119" s="57" t="str">
        <f>VLOOKUP($A119,LocalisationRemorque,3,0)</f>
        <v>Baillonville</v>
      </c>
      <c r="D119" s="59" t="str">
        <f>CONCATENATE(VLOOKUP($A119,LocalisationRemorque,6,0)," ► ",VLOOKUP($A119,LocalisationRemorque,5,0))</f>
        <v>Marche-en-Famenne ► Liège</v>
      </c>
      <c r="E119" s="67" t="s">
        <v>180</v>
      </c>
      <c r="F119" s="63"/>
      <c r="G119" s="68"/>
      <c r="H119" s="78" t="s">
        <v>180</v>
      </c>
      <c r="I119" s="67" t="s">
        <v>19</v>
      </c>
      <c r="J119" s="71"/>
      <c r="K119" s="68"/>
      <c r="L119" s="66"/>
      <c r="M119" s="67" t="s">
        <v>19</v>
      </c>
      <c r="N119" s="63"/>
      <c r="O119" s="68"/>
      <c r="P119" s="78"/>
      <c r="Q119" s="67" t="s">
        <v>19</v>
      </c>
      <c r="R119" s="71"/>
      <c r="S119" s="104"/>
      <c r="T119" s="78"/>
      <c r="U119" s="67" t="s">
        <v>19</v>
      </c>
      <c r="V119" s="63"/>
      <c r="W119" s="68"/>
      <c r="X119" s="78"/>
      <c r="Y119" s="67"/>
      <c r="Z119" s="63"/>
      <c r="AA119" s="64"/>
      <c r="AB119" s="66"/>
      <c r="AC119" s="67"/>
      <c r="AD119" s="63"/>
      <c r="AE119" s="429"/>
      <c r="AF119" s="66"/>
      <c r="AG119" s="67"/>
      <c r="AH119" s="63"/>
      <c r="AI119" s="68" t="s">
        <v>294</v>
      </c>
      <c r="AJ119" s="101"/>
      <c r="AK119" s="104"/>
      <c r="AL119" s="71"/>
      <c r="AM119" s="68"/>
      <c r="AN119" s="101"/>
      <c r="AO119" s="67"/>
      <c r="AP119" s="63"/>
      <c r="AQ119" s="68"/>
      <c r="AR119" s="101"/>
      <c r="AS119" s="67"/>
      <c r="AT119" s="100"/>
      <c r="AU119" s="68" t="s">
        <v>294</v>
      </c>
      <c r="AV119" s="101"/>
      <c r="AW119" s="67"/>
      <c r="AX119" s="63"/>
      <c r="AY119" s="68"/>
      <c r="AZ119" s="101"/>
      <c r="BA119" s="70" t="s">
        <v>17</v>
      </c>
      <c r="BB119" s="70"/>
      <c r="BC119" s="157" t="s">
        <v>28</v>
      </c>
      <c r="BD119" s="70"/>
    </row>
    <row r="120" ht="21.75" customHeight="1">
      <c r="A120" s="80">
        <v>349.0</v>
      </c>
      <c r="B120" s="81" t="str">
        <f>VLOOKUP($A120,LocalisationRemorque,2,0)</f>
        <v>Marche</v>
      </c>
      <c r="C120" s="82" t="str">
        <f>VLOOKUP($A120,LocalisationRemorque,3,0)</f>
        <v>Chaussée de liège</v>
      </c>
      <c r="D120" s="83" t="str">
        <f>CONCATENATE(VLOOKUP($A120,LocalisationRemorque,6,0)," ► ",VLOOKUP($A120,LocalisationRemorque,5,0))</f>
        <v>Liège ► Marche</v>
      </c>
      <c r="E120" s="84" t="s">
        <v>180</v>
      </c>
      <c r="F120" s="85"/>
      <c r="G120" s="84" t="s">
        <v>20</v>
      </c>
      <c r="H120" s="87"/>
      <c r="I120" s="84" t="s">
        <v>19</v>
      </c>
      <c r="J120" s="89"/>
      <c r="K120" s="109"/>
      <c r="L120" s="90"/>
      <c r="M120" s="84" t="s">
        <v>19</v>
      </c>
      <c r="N120" s="85"/>
      <c r="O120" s="86"/>
      <c r="P120" s="87"/>
      <c r="Q120" s="84" t="s">
        <v>459</v>
      </c>
      <c r="R120" s="89"/>
      <c r="S120" s="95"/>
      <c r="T120" s="87"/>
      <c r="U120" s="84" t="s">
        <v>459</v>
      </c>
      <c r="V120" s="85"/>
      <c r="W120" s="86"/>
      <c r="X120" s="87"/>
      <c r="Y120" s="84" t="s">
        <v>20</v>
      </c>
      <c r="Z120" s="85"/>
      <c r="AA120" s="109"/>
      <c r="AB120" s="90"/>
      <c r="AC120" s="84" t="s">
        <v>29</v>
      </c>
      <c r="AD120" s="85"/>
      <c r="AE120" s="84" t="s">
        <v>20</v>
      </c>
      <c r="AF120" s="90"/>
      <c r="AG120" s="84" t="s">
        <v>29</v>
      </c>
      <c r="AH120" s="85"/>
      <c r="AI120" s="86"/>
      <c r="AJ120" s="93"/>
      <c r="AK120" s="95"/>
      <c r="AL120" s="89"/>
      <c r="AM120" s="95" t="s">
        <v>20</v>
      </c>
      <c r="AN120" s="93"/>
      <c r="AO120" s="84" t="s">
        <v>29</v>
      </c>
      <c r="AP120" s="85"/>
      <c r="AQ120" s="86"/>
      <c r="AR120" s="93"/>
      <c r="AS120" s="84" t="s">
        <v>20</v>
      </c>
      <c r="AT120" s="92"/>
      <c r="AU120" s="86"/>
      <c r="AV120" s="93"/>
      <c r="AW120" s="84" t="s">
        <v>20</v>
      </c>
      <c r="AX120" s="85"/>
      <c r="AY120" s="91"/>
      <c r="AZ120" s="93"/>
      <c r="BA120" s="77" t="s">
        <v>17</v>
      </c>
      <c r="BB120" s="77"/>
      <c r="BC120" s="159" t="s">
        <v>28</v>
      </c>
      <c r="BD120" s="77"/>
    </row>
    <row r="121" ht="21.75" customHeight="1">
      <c r="A121" s="154">
        <v>350.0</v>
      </c>
      <c r="B121" s="56" t="str">
        <f>VLOOKUP($A121,LocalisationRemorque,2,0)</f>
        <v>Marche</v>
      </c>
      <c r="C121" s="57" t="str">
        <f>VLOOKUP($A121,LocalisationRemorque,3,0)</f>
        <v>Wex</v>
      </c>
      <c r="D121" s="59" t="str">
        <f>CONCATENATE(VLOOKUP($A121,LocalisationRemorque,6,0)," ► ",VLOOKUP($A121,LocalisationRemorque,5,0))</f>
        <v>N4 (Aye) ► Marche</v>
      </c>
      <c r="E121" s="67" t="s">
        <v>180</v>
      </c>
      <c r="F121" s="63"/>
      <c r="G121" s="67"/>
      <c r="H121" s="78" t="s">
        <v>180</v>
      </c>
      <c r="I121" s="67" t="s">
        <v>19</v>
      </c>
      <c r="J121" s="71"/>
      <c r="K121" s="64"/>
      <c r="L121" s="66"/>
      <c r="M121" s="67" t="s">
        <v>19</v>
      </c>
      <c r="N121" s="63"/>
      <c r="O121" s="68"/>
      <c r="P121" s="78"/>
      <c r="Q121" s="67" t="s">
        <v>19</v>
      </c>
      <c r="R121" s="71"/>
      <c r="S121" s="104" t="s">
        <v>20</v>
      </c>
      <c r="T121" s="78"/>
      <c r="U121" s="67" t="s">
        <v>19</v>
      </c>
      <c r="V121" s="63"/>
      <c r="W121" s="104"/>
      <c r="X121" s="78"/>
      <c r="Y121" s="67"/>
      <c r="Z121" s="63"/>
      <c r="AA121" s="68" t="s">
        <v>294</v>
      </c>
      <c r="AB121" s="78"/>
      <c r="AC121" s="67"/>
      <c r="AD121" s="63"/>
      <c r="AE121" s="429"/>
      <c r="AF121" s="66"/>
      <c r="AG121" s="67"/>
      <c r="AH121" s="63"/>
      <c r="AI121" s="68"/>
      <c r="AJ121" s="101"/>
      <c r="AK121" s="67" t="s">
        <v>294</v>
      </c>
      <c r="AL121" s="71"/>
      <c r="AM121" s="68" t="s">
        <v>20</v>
      </c>
      <c r="AN121" s="101"/>
      <c r="AO121" s="67"/>
      <c r="AP121" s="63"/>
      <c r="AQ121" s="68"/>
      <c r="AR121" s="101"/>
      <c r="AS121" s="67"/>
      <c r="AT121" s="100"/>
      <c r="AU121" s="68"/>
      <c r="AV121" s="101"/>
      <c r="AW121" s="61"/>
      <c r="AX121" s="63"/>
      <c r="AY121" s="104" t="s">
        <v>20</v>
      </c>
      <c r="AZ121" s="101"/>
      <c r="BA121" s="70" t="s">
        <v>17</v>
      </c>
      <c r="BB121" s="70"/>
      <c r="BC121" s="157" t="s">
        <v>28</v>
      </c>
      <c r="BD121" s="70"/>
    </row>
    <row r="122" ht="21.75" customHeight="1">
      <c r="A122" s="80">
        <v>351.0</v>
      </c>
      <c r="B122" s="81" t="str">
        <f>VLOOKUP($A122,LocalisationRemorque,2,0)</f>
        <v>Marche</v>
      </c>
      <c r="C122" s="82" t="str">
        <f>VLOOKUP($A122,LocalisationRemorque,3,0)</f>
        <v>Bourdon</v>
      </c>
      <c r="D122" s="83" t="str">
        <f>CONCATENATE(VLOOKUP($A122,LocalisationRemorque,6,0)," ► ",VLOOKUP($A122,LocalisationRemorque,5,0))</f>
        <v>Hotton ► Marche</v>
      </c>
      <c r="E122" s="84" t="s">
        <v>180</v>
      </c>
      <c r="F122" s="85"/>
      <c r="G122" s="84"/>
      <c r="H122" s="87" t="s">
        <v>180</v>
      </c>
      <c r="I122" s="84" t="s">
        <v>19</v>
      </c>
      <c r="J122" s="85"/>
      <c r="K122" s="109"/>
      <c r="L122" s="90"/>
      <c r="M122" s="84" t="s">
        <v>19</v>
      </c>
      <c r="N122" s="85"/>
      <c r="O122" s="86"/>
      <c r="P122" s="87"/>
      <c r="Q122" s="84" t="s">
        <v>19</v>
      </c>
      <c r="R122" s="89"/>
      <c r="S122" s="95" t="s">
        <v>294</v>
      </c>
      <c r="T122" s="87"/>
      <c r="U122" s="84" t="s">
        <v>459</v>
      </c>
      <c r="V122" s="85"/>
      <c r="W122" s="86"/>
      <c r="X122" s="87"/>
      <c r="Y122" s="84" t="s">
        <v>20</v>
      </c>
      <c r="Z122" s="85"/>
      <c r="AA122" s="109"/>
      <c r="AB122" s="90"/>
      <c r="AC122" s="84" t="s">
        <v>20</v>
      </c>
      <c r="AD122" s="85"/>
      <c r="AE122" s="109"/>
      <c r="AF122" s="90"/>
      <c r="AG122" s="84"/>
      <c r="AH122" s="85"/>
      <c r="AI122" s="86"/>
      <c r="AJ122" s="93"/>
      <c r="AK122" s="84"/>
      <c r="AL122" s="89"/>
      <c r="AM122" s="86"/>
      <c r="AN122" s="93"/>
      <c r="AO122" s="84"/>
      <c r="AP122" s="85"/>
      <c r="AQ122" s="86"/>
      <c r="AR122" s="93"/>
      <c r="AS122" s="84" t="s">
        <v>20</v>
      </c>
      <c r="AT122" s="92"/>
      <c r="AU122" s="96"/>
      <c r="AV122" s="93"/>
      <c r="AW122" s="84" t="s">
        <v>20</v>
      </c>
      <c r="AX122" s="92"/>
      <c r="AY122" s="91"/>
      <c r="AZ122" s="93"/>
      <c r="BA122" s="77" t="s">
        <v>17</v>
      </c>
      <c r="BB122" s="77"/>
      <c r="BC122" s="159" t="s">
        <v>28</v>
      </c>
      <c r="BD122" s="77"/>
    </row>
    <row r="123" ht="21.75" customHeight="1">
      <c r="A123" s="111">
        <v>352.0</v>
      </c>
      <c r="B123" s="56" t="str">
        <f>VLOOKUP($A123,LocalisationRemorque,2,0)</f>
        <v>Rochefort</v>
      </c>
      <c r="C123" s="57" t="str">
        <f>VLOOKUP($A123,LocalisationRemorque,3,0)</f>
        <v>Zonning</v>
      </c>
      <c r="D123" s="59" t="str">
        <f>CONCATENATE(VLOOKUP($A123,LocalisationRemorque,6,0)," ► ",VLOOKUP($A123,LocalisationRemorque,5,0))</f>
        <v>Rochefort ► Ciney</v>
      </c>
      <c r="E123" s="293"/>
      <c r="F123" s="63" t="s">
        <v>180</v>
      </c>
      <c r="G123" s="68" t="s">
        <v>20</v>
      </c>
      <c r="H123" s="78"/>
      <c r="I123" s="67"/>
      <c r="J123" s="71"/>
      <c r="K123" s="64"/>
      <c r="L123" s="66"/>
      <c r="M123" s="67"/>
      <c r="N123" s="63"/>
      <c r="O123" s="68"/>
      <c r="P123" s="78"/>
      <c r="Q123" s="67"/>
      <c r="R123" s="71"/>
      <c r="S123" s="104"/>
      <c r="T123" s="78"/>
      <c r="U123" s="67"/>
      <c r="V123" s="63"/>
      <c r="W123" s="68"/>
      <c r="X123" s="78"/>
      <c r="Y123" s="67"/>
      <c r="Z123" s="63"/>
      <c r="AA123" s="64"/>
      <c r="AB123" s="66"/>
      <c r="AC123" s="67"/>
      <c r="AD123" s="63"/>
      <c r="AE123" s="64"/>
      <c r="AF123" s="66"/>
      <c r="AG123" s="67"/>
      <c r="AH123" s="63"/>
      <c r="AI123" s="99"/>
      <c r="AJ123" s="101"/>
      <c r="AK123" s="67"/>
      <c r="AL123" s="71"/>
      <c r="AM123" s="68"/>
      <c r="AN123" s="101"/>
      <c r="AO123" s="67"/>
      <c r="AP123" s="63"/>
      <c r="AQ123" s="68"/>
      <c r="AR123" s="101"/>
      <c r="AS123" s="67"/>
      <c r="AT123" s="100"/>
      <c r="AU123" s="105"/>
      <c r="AV123" s="101"/>
      <c r="AW123" s="67"/>
      <c r="AX123" s="100"/>
      <c r="AY123" s="68"/>
      <c r="AZ123" s="101"/>
      <c r="BA123" s="70" t="s">
        <v>17</v>
      </c>
      <c r="BB123" s="70"/>
      <c r="BC123" s="79"/>
      <c r="BD123" s="70"/>
    </row>
    <row r="124" ht="21.75" customHeight="1">
      <c r="A124" s="80">
        <v>353.0</v>
      </c>
      <c r="B124" s="81" t="str">
        <f>VLOOKUP($A124,LocalisationRemorque,2,0)</f>
        <v>Rochefort</v>
      </c>
      <c r="C124" s="82" t="str">
        <f>VLOOKUP($A124,LocalisationRemorque,3,0)</f>
        <v>Hamerenne</v>
      </c>
      <c r="D124" s="83" t="str">
        <f>CONCATENATE(VLOOKUP($A124,LocalisationRemorque,6,0)," ► ",VLOOKUP($A124,LocalisationRemorque,5,0))</f>
        <v>Rochefort ► Saint-Hubert</v>
      </c>
      <c r="E124" s="84"/>
      <c r="F124" s="85"/>
      <c r="G124" s="86"/>
      <c r="H124" s="89"/>
      <c r="I124" s="84"/>
      <c r="J124" s="89"/>
      <c r="K124" s="109"/>
      <c r="L124" s="90"/>
      <c r="M124" s="84"/>
      <c r="N124" s="85"/>
      <c r="O124" s="86"/>
      <c r="P124" s="87"/>
      <c r="Q124" s="84"/>
      <c r="R124" s="89"/>
      <c r="S124" s="95" t="s">
        <v>20</v>
      </c>
      <c r="T124" s="87"/>
      <c r="U124" s="84"/>
      <c r="V124" s="85"/>
      <c r="W124" s="86"/>
      <c r="X124" s="87"/>
      <c r="Y124" s="84"/>
      <c r="Z124" s="85"/>
      <c r="AA124" s="86"/>
      <c r="AB124" s="87"/>
      <c r="AC124" s="84"/>
      <c r="AD124" s="85"/>
      <c r="AE124" s="86"/>
      <c r="AF124" s="87"/>
      <c r="AG124" s="84"/>
      <c r="AH124" s="85"/>
      <c r="AI124" s="86"/>
      <c r="AJ124" s="93"/>
      <c r="AK124" s="84"/>
      <c r="AL124" s="89"/>
      <c r="AM124" s="86"/>
      <c r="AN124" s="87"/>
      <c r="AO124" s="84"/>
      <c r="AP124" s="85"/>
      <c r="AQ124" s="86"/>
      <c r="AR124" s="93"/>
      <c r="AS124" s="84"/>
      <c r="AT124" s="92"/>
      <c r="AU124" s="96"/>
      <c r="AV124" s="93"/>
      <c r="AW124" s="84"/>
      <c r="AX124" s="85"/>
      <c r="AY124" s="91"/>
      <c r="AZ124" s="93"/>
      <c r="BA124" s="77" t="s">
        <v>17</v>
      </c>
      <c r="BB124" s="77"/>
      <c r="BC124" s="97"/>
      <c r="BD124" s="77"/>
    </row>
    <row r="125" ht="21.75" hidden="1" customHeight="1">
      <c r="A125" s="53"/>
      <c r="B125" s="56" t="str">
        <f>VLOOKUP($A125,LocalisationRemorque,2,0)</f>
        <v> Remorque non listée</v>
      </c>
      <c r="C125" s="57" t="str">
        <f>VLOOKUP($A125,LocalisationRemorque,3,0)</f>
        <v/>
      </c>
      <c r="D125" s="59" t="str">
        <f>CONCATENATE(VLOOKUP($A125,LocalisationRemorque,6,0)," ► ",VLOOKUP($A125,LocalisationRemorque,5,0))</f>
        <v> ► </v>
      </c>
      <c r="E125" s="67"/>
      <c r="F125" s="63"/>
      <c r="G125" s="68"/>
      <c r="H125" s="66"/>
      <c r="I125" s="67"/>
      <c r="J125" s="71"/>
      <c r="K125" s="64"/>
      <c r="L125" s="66"/>
      <c r="M125" s="67"/>
      <c r="N125" s="63"/>
      <c r="O125" s="68"/>
      <c r="P125" s="78"/>
      <c r="Q125" s="67"/>
      <c r="R125" s="71"/>
      <c r="S125" s="104"/>
      <c r="T125" s="78"/>
      <c r="U125" s="67"/>
      <c r="V125" s="63"/>
      <c r="W125" s="68"/>
      <c r="X125" s="78"/>
      <c r="Y125" s="67"/>
      <c r="Z125" s="63"/>
      <c r="AA125" s="64"/>
      <c r="AB125" s="66"/>
      <c r="AC125" s="67"/>
      <c r="AD125" s="63"/>
      <c r="AE125" s="64"/>
      <c r="AF125" s="66"/>
      <c r="AG125" s="67"/>
      <c r="AH125" s="63"/>
      <c r="AI125" s="99"/>
      <c r="AJ125" s="101"/>
      <c r="AK125" s="67"/>
      <c r="AL125" s="71"/>
      <c r="AM125" s="68"/>
      <c r="AN125" s="101"/>
      <c r="AO125" s="67"/>
      <c r="AP125" s="63"/>
      <c r="AQ125" s="68"/>
      <c r="AR125" s="101"/>
      <c r="AS125" s="67"/>
      <c r="AT125" s="100"/>
      <c r="AU125" s="105"/>
      <c r="AV125" s="101"/>
      <c r="AW125" s="156"/>
      <c r="AX125" s="100"/>
      <c r="AY125" s="99"/>
      <c r="AZ125" s="101"/>
      <c r="BA125" s="88"/>
      <c r="BB125" s="88"/>
      <c r="BC125" s="106"/>
      <c r="BD125" s="88"/>
    </row>
    <row r="126" ht="21.75" customHeight="1">
      <c r="A126" s="80">
        <v>354.0</v>
      </c>
      <c r="B126" s="81" t="str">
        <f>VLOOKUP($A126,LocalisationRemorque,2,0)</f>
        <v>Basse Sambre</v>
      </c>
      <c r="C126" s="82" t="str">
        <f>VLOOKUP($A126,LocalisationRemorque,3,0)</f>
        <v>Sambreville 1</v>
      </c>
      <c r="D126" s="83" t="str">
        <f>CONCATENATE(VLOOKUP($A126,LocalisationRemorque,6,0)," ► ",VLOOKUP($A126,LocalisationRemorque,5,0))</f>
        <v>Jemeppe-sur-Sambre ► Sombreffe</v>
      </c>
      <c r="E126" s="84"/>
      <c r="F126" s="85"/>
      <c r="G126" s="86"/>
      <c r="H126" s="90"/>
      <c r="I126" s="84" t="s">
        <v>456</v>
      </c>
      <c r="J126" s="89"/>
      <c r="K126" s="109"/>
      <c r="L126" s="90"/>
      <c r="M126" s="84"/>
      <c r="N126" s="85"/>
      <c r="O126" s="86"/>
      <c r="P126" s="87"/>
      <c r="Q126" s="84"/>
      <c r="R126" s="89"/>
      <c r="S126" s="95"/>
      <c r="T126" s="87"/>
      <c r="U126" s="84"/>
      <c r="V126" s="85"/>
      <c r="W126" s="86"/>
      <c r="X126" s="85"/>
      <c r="Y126" s="86" t="s">
        <v>456</v>
      </c>
      <c r="Z126" s="85"/>
      <c r="AA126" s="86"/>
      <c r="AB126" s="90"/>
      <c r="AC126" s="84"/>
      <c r="AD126" s="85"/>
      <c r="AE126" s="109"/>
      <c r="AF126" s="90"/>
      <c r="AG126" s="84"/>
      <c r="AH126" s="85"/>
      <c r="AI126" s="91"/>
      <c r="AJ126" s="93"/>
      <c r="AK126" s="84"/>
      <c r="AL126" s="89"/>
      <c r="AM126" s="86"/>
      <c r="AN126" s="93"/>
      <c r="AO126" s="84"/>
      <c r="AP126" s="85"/>
      <c r="AQ126" s="86"/>
      <c r="AR126" s="93"/>
      <c r="AS126" s="84"/>
      <c r="AT126" s="92"/>
      <c r="AU126" s="96"/>
      <c r="AV126" s="93"/>
      <c r="AW126" s="126"/>
      <c r="AX126" s="92"/>
      <c r="AY126" s="91"/>
      <c r="AZ126" s="93"/>
      <c r="BA126" s="155"/>
      <c r="BB126" s="155"/>
      <c r="BC126" s="128"/>
      <c r="BD126" s="155"/>
    </row>
    <row r="127" ht="21.75" customHeight="1">
      <c r="A127" s="111">
        <v>355.0</v>
      </c>
      <c r="B127" s="56" t="str">
        <f>VLOOKUP($A127,LocalisationRemorque,2,0)</f>
        <v>Basse Sambre</v>
      </c>
      <c r="C127" s="57" t="str">
        <f>VLOOKUP($A127,LocalisationRemorque,3,0)</f>
        <v>Sambreville 2</v>
      </c>
      <c r="D127" s="59" t="str">
        <f>CONCATENATE(VLOOKUP($A127,LocalisationRemorque,6,0)," ► ",VLOOKUP($A127,LocalisationRemorque,5,0))</f>
        <v>E42 Velaine ► Mettet</v>
      </c>
      <c r="E127" s="67"/>
      <c r="F127" s="63"/>
      <c r="G127" s="68"/>
      <c r="H127" s="66"/>
      <c r="I127" s="67"/>
      <c r="J127" s="71"/>
      <c r="K127" s="64"/>
      <c r="L127" s="66"/>
      <c r="M127" s="67"/>
      <c r="N127" s="63"/>
      <c r="O127" s="68"/>
      <c r="P127" s="78"/>
      <c r="Q127" s="67" t="s">
        <v>456</v>
      </c>
      <c r="R127" s="71"/>
      <c r="S127" s="104"/>
      <c r="T127" s="78"/>
      <c r="U127" s="67"/>
      <c r="V127" s="63"/>
      <c r="W127" s="68"/>
      <c r="X127" s="78"/>
      <c r="Y127" s="67"/>
      <c r="Z127" s="63"/>
      <c r="AA127" s="64"/>
      <c r="AB127" s="66"/>
      <c r="AC127" s="67"/>
      <c r="AD127" s="63"/>
      <c r="AE127" s="64"/>
      <c r="AF127" s="66"/>
      <c r="AG127" s="67"/>
      <c r="AH127" s="63"/>
      <c r="AI127" s="436" t="s">
        <v>457</v>
      </c>
      <c r="AJ127" s="437" t="s">
        <v>465</v>
      </c>
      <c r="AK127" s="67"/>
      <c r="AL127" s="71"/>
      <c r="AM127" s="68"/>
      <c r="AN127" s="101"/>
      <c r="AO127" s="67"/>
      <c r="AP127" s="63"/>
      <c r="AQ127" s="68"/>
      <c r="AR127" s="101"/>
      <c r="AS127" s="67"/>
      <c r="AT127" s="100"/>
      <c r="AU127" s="105"/>
      <c r="AV127" s="101"/>
      <c r="AW127" s="156"/>
      <c r="AX127" s="100"/>
      <c r="AY127" s="99"/>
      <c r="AZ127" s="101"/>
      <c r="BA127" s="88"/>
      <c r="BB127" s="88"/>
      <c r="BC127" s="106"/>
      <c r="BD127" s="88"/>
    </row>
    <row r="128" ht="21.75" customHeight="1">
      <c r="A128" s="80">
        <v>356.0</v>
      </c>
      <c r="B128" s="81" t="str">
        <f>VLOOKUP($A128,LocalisationRemorque,2,0)</f>
        <v>Basse Sambre</v>
      </c>
      <c r="C128" s="82" t="str">
        <f>VLOOKUP($A128,LocalisationRemorque,3,0)</f>
        <v>Moustier</v>
      </c>
      <c r="D128" s="83" t="str">
        <f>CONCATENATE(VLOOKUP($A128,LocalisationRemorque,6,0)," ► ",VLOOKUP($A128,LocalisationRemorque,5,0))</f>
        <v>Charleroi ► Namur</v>
      </c>
      <c r="E128" s="84"/>
      <c r="F128" s="85"/>
      <c r="G128" s="86"/>
      <c r="H128" s="90"/>
      <c r="I128" s="84" t="s">
        <v>456</v>
      </c>
      <c r="J128" s="89"/>
      <c r="K128" s="109"/>
      <c r="L128" s="90"/>
      <c r="M128" s="84"/>
      <c r="N128" s="85"/>
      <c r="O128" s="86"/>
      <c r="P128" s="87"/>
      <c r="Q128" s="84"/>
      <c r="R128" s="89"/>
      <c r="S128" s="95"/>
      <c r="T128" s="87"/>
      <c r="U128" s="84" t="s">
        <v>456</v>
      </c>
      <c r="V128" s="85"/>
      <c r="W128" s="86"/>
      <c r="X128" s="87"/>
      <c r="Y128" s="84"/>
      <c r="Z128" s="85"/>
      <c r="AA128" s="109"/>
      <c r="AB128" s="90"/>
      <c r="AC128" s="84"/>
      <c r="AD128" s="85"/>
      <c r="AE128" s="109"/>
      <c r="AF128" s="90"/>
      <c r="AG128" s="84" t="s">
        <v>455</v>
      </c>
      <c r="AH128" s="85"/>
      <c r="AI128" s="91"/>
      <c r="AJ128" s="93"/>
      <c r="AK128" s="84"/>
      <c r="AL128" s="89"/>
      <c r="AM128" s="86"/>
      <c r="AN128" s="93"/>
      <c r="AO128" s="84"/>
      <c r="AP128" s="85"/>
      <c r="AQ128" s="86"/>
      <c r="AR128" s="93"/>
      <c r="AS128" s="84"/>
      <c r="AT128" s="92"/>
      <c r="AU128" s="96"/>
      <c r="AV128" s="93"/>
      <c r="AW128" s="126"/>
      <c r="AX128" s="92"/>
      <c r="AY128" s="91"/>
      <c r="AZ128" s="93"/>
      <c r="BA128" s="77"/>
      <c r="BB128" s="77"/>
      <c r="BC128" s="97"/>
      <c r="BD128" s="77"/>
    </row>
    <row r="129" ht="21.75" customHeight="1">
      <c r="A129" s="111">
        <v>357.0</v>
      </c>
      <c r="B129" s="56" t="str">
        <f>VLOOKUP($A129,LocalisationRemorque,2,0)</f>
        <v>Havelange</v>
      </c>
      <c r="C129" s="57" t="str">
        <f>VLOOKUP($A129,LocalisationRemorque,3,0)</f>
        <v>Verlée</v>
      </c>
      <c r="D129" s="59" t="str">
        <f>CONCATENATE(VLOOKUP($A129,LocalisationRemorque,6,0)," ► ",VLOOKUP($A129,LocalisationRemorque,5,0))</f>
        <v>Havelange ► Durbuy</v>
      </c>
      <c r="E129" s="67" t="s">
        <v>20</v>
      </c>
      <c r="F129" s="63"/>
      <c r="G129" s="68"/>
      <c r="H129" s="78"/>
      <c r="I129" s="67"/>
      <c r="J129" s="71"/>
      <c r="K129" s="64"/>
      <c r="L129" s="66"/>
      <c r="M129" s="67"/>
      <c r="N129" s="63"/>
      <c r="O129" s="68"/>
      <c r="P129" s="78"/>
      <c r="Q129" s="67"/>
      <c r="R129" s="71"/>
      <c r="S129" s="104"/>
      <c r="T129" s="78"/>
      <c r="U129" s="293"/>
      <c r="V129" s="63"/>
      <c r="W129" s="68"/>
      <c r="X129" s="78"/>
      <c r="Y129" s="67"/>
      <c r="Z129" s="63"/>
      <c r="AA129" s="68"/>
      <c r="AB129" s="66"/>
      <c r="AC129" s="67"/>
      <c r="AD129" s="63"/>
      <c r="AE129" s="68"/>
      <c r="AF129" s="66"/>
      <c r="AG129" s="67"/>
      <c r="AH129" s="71"/>
      <c r="AI129" s="68"/>
      <c r="AJ129" s="78"/>
      <c r="AK129" s="67" t="s">
        <v>20</v>
      </c>
      <c r="AL129" s="71"/>
      <c r="AM129" s="68"/>
      <c r="AN129" s="101"/>
      <c r="AO129" s="67"/>
      <c r="AP129" s="63"/>
      <c r="AQ129" s="68"/>
      <c r="AR129" s="101"/>
      <c r="AS129" s="67" t="s">
        <v>20</v>
      </c>
      <c r="AT129" s="100"/>
      <c r="AU129" s="105"/>
      <c r="AV129" s="78"/>
      <c r="AW129" s="68"/>
      <c r="AX129" s="63"/>
      <c r="AY129" s="68"/>
      <c r="AZ129" s="101"/>
      <c r="BA129" s="70"/>
      <c r="BB129" s="70" t="s">
        <v>344</v>
      </c>
      <c r="BC129" s="79"/>
      <c r="BD129" s="70"/>
    </row>
    <row r="130" ht="21.75" customHeight="1">
      <c r="A130" s="129"/>
      <c r="B130" s="130"/>
      <c r="C130" s="131"/>
      <c r="D130" s="132"/>
      <c r="E130" s="137"/>
      <c r="F130" s="134"/>
      <c r="G130" s="135"/>
      <c r="H130" s="136"/>
      <c r="I130" s="137"/>
      <c r="J130" s="142"/>
      <c r="K130" s="135"/>
      <c r="L130" s="136"/>
      <c r="M130" s="137"/>
      <c r="N130" s="134"/>
      <c r="O130" s="140"/>
      <c r="P130" s="145"/>
      <c r="Q130" s="137"/>
      <c r="R130" s="142"/>
      <c r="S130" s="445"/>
      <c r="T130" s="145"/>
      <c r="U130" s="137"/>
      <c r="V130" s="134"/>
      <c r="W130" s="138"/>
      <c r="X130" s="145"/>
      <c r="Y130" s="137"/>
      <c r="Z130" s="134"/>
      <c r="AA130" s="135"/>
      <c r="AB130" s="136"/>
      <c r="AC130" s="137"/>
      <c r="AD130" s="134"/>
      <c r="AE130" s="135"/>
      <c r="AF130" s="136"/>
      <c r="AG130" s="143"/>
      <c r="AH130" s="142"/>
      <c r="AI130" s="138"/>
      <c r="AJ130" s="147"/>
      <c r="AK130" s="137"/>
      <c r="AL130" s="142"/>
      <c r="AM130" s="138"/>
      <c r="AN130" s="147"/>
      <c r="AO130" s="137"/>
      <c r="AP130" s="134"/>
      <c r="AQ130" s="138"/>
      <c r="AR130" s="147"/>
      <c r="AS130" s="137"/>
      <c r="AT130" s="146"/>
      <c r="AU130" s="326"/>
      <c r="AV130" s="147"/>
      <c r="AW130" s="446"/>
      <c r="AX130" s="146"/>
      <c r="AY130" s="144"/>
      <c r="AZ130" s="147"/>
      <c r="BA130" s="417"/>
      <c r="BB130" s="417"/>
      <c r="BC130" s="153"/>
      <c r="BD130" s="417"/>
    </row>
    <row r="131" ht="21.75" hidden="1" customHeight="1">
      <c r="A131" s="129"/>
      <c r="B131" s="130"/>
      <c r="C131" s="131"/>
      <c r="D131" s="132"/>
      <c r="E131" s="137"/>
      <c r="F131" s="134"/>
      <c r="G131" s="135"/>
      <c r="H131" s="136"/>
      <c r="I131" s="137"/>
      <c r="J131" s="142"/>
      <c r="K131" s="135"/>
      <c r="L131" s="136"/>
      <c r="M131" s="137"/>
      <c r="N131" s="134"/>
      <c r="O131" s="140"/>
      <c r="P131" s="145"/>
      <c r="Q131" s="137"/>
      <c r="R131" s="142"/>
      <c r="S131" s="445"/>
      <c r="T131" s="145"/>
      <c r="U131" s="137"/>
      <c r="V131" s="134"/>
      <c r="W131" s="138"/>
      <c r="X131" s="145"/>
      <c r="Y131" s="137"/>
      <c r="Z131" s="134"/>
      <c r="AA131" s="138"/>
      <c r="AB131" s="136"/>
      <c r="AC131" s="137"/>
      <c r="AD131" s="134"/>
      <c r="AE131" s="135"/>
      <c r="AF131" s="136"/>
      <c r="AG131" s="143"/>
      <c r="AH131" s="142"/>
      <c r="AI131" s="138"/>
      <c r="AJ131" s="147"/>
      <c r="AK131" s="137"/>
      <c r="AL131" s="142"/>
      <c r="AM131" s="138"/>
      <c r="AN131" s="147"/>
      <c r="AO131" s="137"/>
      <c r="AP131" s="134"/>
      <c r="AQ131" s="138"/>
      <c r="AR131" s="147"/>
      <c r="AS131" s="137"/>
      <c r="AT131" s="146"/>
      <c r="AU131" s="326"/>
      <c r="AV131" s="147"/>
      <c r="AW131" s="138"/>
      <c r="AX131" s="134"/>
      <c r="AY131" s="144"/>
      <c r="AZ131" s="147"/>
      <c r="BA131" s="417"/>
      <c r="BB131" s="417"/>
      <c r="BC131" s="153"/>
      <c r="BD131" s="417"/>
    </row>
    <row r="132" ht="21.75" hidden="1" customHeight="1">
      <c r="A132" s="129"/>
      <c r="B132" s="130"/>
      <c r="C132" s="131"/>
      <c r="D132" s="132"/>
      <c r="E132" s="137"/>
      <c r="F132" s="134"/>
      <c r="G132" s="135"/>
      <c r="H132" s="136"/>
      <c r="I132" s="137"/>
      <c r="J132" s="142"/>
      <c r="K132" s="135"/>
      <c r="L132" s="136"/>
      <c r="M132" s="137"/>
      <c r="N132" s="134"/>
      <c r="O132" s="140"/>
      <c r="P132" s="145"/>
      <c r="Q132" s="137"/>
      <c r="R132" s="142"/>
      <c r="S132" s="445"/>
      <c r="T132" s="145"/>
      <c r="U132" s="137"/>
      <c r="V132" s="134"/>
      <c r="W132" s="138"/>
      <c r="X132" s="145"/>
      <c r="Y132" s="137"/>
      <c r="Z132" s="134"/>
      <c r="AA132" s="135"/>
      <c r="AB132" s="136"/>
      <c r="AC132" s="137"/>
      <c r="AD132" s="134"/>
      <c r="AE132" s="135"/>
      <c r="AF132" s="136"/>
      <c r="AG132" s="143"/>
      <c r="AH132" s="142"/>
      <c r="AI132" s="138"/>
      <c r="AJ132" s="147"/>
      <c r="AK132" s="137"/>
      <c r="AL132" s="142"/>
      <c r="AM132" s="138"/>
      <c r="AN132" s="147"/>
      <c r="AO132" s="137"/>
      <c r="AP132" s="134"/>
      <c r="AQ132" s="138"/>
      <c r="AR132" s="147"/>
      <c r="AS132" s="137"/>
      <c r="AT132" s="146"/>
      <c r="AU132" s="326"/>
      <c r="AV132" s="147"/>
      <c r="AW132" s="446"/>
      <c r="AX132" s="146"/>
      <c r="AY132" s="144"/>
      <c r="AZ132" s="147"/>
      <c r="BA132" s="417"/>
      <c r="BB132" s="417"/>
      <c r="BC132" s="153"/>
      <c r="BD132" s="417"/>
    </row>
    <row r="133" ht="21.75" hidden="1" customHeight="1">
      <c r="A133" s="129"/>
      <c r="B133" s="130"/>
      <c r="C133" s="131"/>
      <c r="D133" s="132"/>
      <c r="E133" s="137"/>
      <c r="F133" s="134"/>
      <c r="G133" s="135"/>
      <c r="H133" s="136"/>
      <c r="I133" s="137"/>
      <c r="J133" s="142"/>
      <c r="K133" s="135"/>
      <c r="L133" s="136"/>
      <c r="M133" s="137"/>
      <c r="N133" s="134"/>
      <c r="O133" s="140"/>
      <c r="P133" s="145"/>
      <c r="Q133" s="137"/>
      <c r="R133" s="142"/>
      <c r="S133" s="445"/>
      <c r="T133" s="145"/>
      <c r="U133" s="137"/>
      <c r="V133" s="134"/>
      <c r="W133" s="138"/>
      <c r="X133" s="145"/>
      <c r="Y133" s="137"/>
      <c r="Z133" s="134"/>
      <c r="AA133" s="138"/>
      <c r="AB133" s="136"/>
      <c r="AC133" s="137"/>
      <c r="AD133" s="134"/>
      <c r="AE133" s="135"/>
      <c r="AF133" s="136"/>
      <c r="AG133" s="143"/>
      <c r="AH133" s="142"/>
      <c r="AI133" s="138"/>
      <c r="AJ133" s="147"/>
      <c r="AK133" s="137"/>
      <c r="AL133" s="142"/>
      <c r="AM133" s="138"/>
      <c r="AN133" s="147"/>
      <c r="AO133" s="137"/>
      <c r="AP133" s="134"/>
      <c r="AQ133" s="138"/>
      <c r="AR133" s="147"/>
      <c r="AS133" s="137"/>
      <c r="AT133" s="146"/>
      <c r="AU133" s="326"/>
      <c r="AV133" s="147"/>
      <c r="AW133" s="138"/>
      <c r="AX133" s="134"/>
      <c r="AY133" s="144"/>
      <c r="AZ133" s="147"/>
      <c r="BA133" s="417"/>
      <c r="BB133" s="417"/>
      <c r="BC133" s="153"/>
      <c r="BD133" s="417"/>
    </row>
    <row r="134" ht="21.75" hidden="1" customHeight="1">
      <c r="A134" s="129"/>
      <c r="B134" s="130"/>
      <c r="C134" s="131"/>
      <c r="D134" s="132"/>
      <c r="E134" s="137"/>
      <c r="F134" s="134"/>
      <c r="G134" s="135"/>
      <c r="H134" s="136"/>
      <c r="I134" s="137"/>
      <c r="J134" s="142"/>
      <c r="K134" s="135"/>
      <c r="L134" s="136"/>
      <c r="M134" s="137"/>
      <c r="N134" s="134"/>
      <c r="O134" s="140"/>
      <c r="P134" s="145"/>
      <c r="Q134" s="137"/>
      <c r="R134" s="142"/>
      <c r="S134" s="445"/>
      <c r="T134" s="145"/>
      <c r="U134" s="137"/>
      <c r="V134" s="134"/>
      <c r="W134" s="138"/>
      <c r="X134" s="145"/>
      <c r="Y134" s="137"/>
      <c r="Z134" s="134"/>
      <c r="AA134" s="135"/>
      <c r="AB134" s="136"/>
      <c r="AC134" s="137"/>
      <c r="AD134" s="134"/>
      <c r="AE134" s="135"/>
      <c r="AF134" s="136"/>
      <c r="AG134" s="143"/>
      <c r="AH134" s="142"/>
      <c r="AI134" s="138"/>
      <c r="AJ134" s="147"/>
      <c r="AK134" s="137"/>
      <c r="AL134" s="142"/>
      <c r="AM134" s="138"/>
      <c r="AN134" s="147"/>
      <c r="AO134" s="137"/>
      <c r="AP134" s="134"/>
      <c r="AQ134" s="138"/>
      <c r="AR134" s="147"/>
      <c r="AS134" s="137"/>
      <c r="AT134" s="146"/>
      <c r="AU134" s="326"/>
      <c r="AV134" s="147"/>
      <c r="AW134" s="446"/>
      <c r="AX134" s="146"/>
      <c r="AY134" s="144"/>
      <c r="AZ134" s="147"/>
      <c r="BA134" s="417"/>
      <c r="BB134" s="417"/>
      <c r="BC134" s="153"/>
      <c r="BD134" s="417"/>
    </row>
    <row r="135" ht="21.75" customHeight="1">
      <c r="A135" s="111">
        <v>401.0</v>
      </c>
      <c r="B135" s="56" t="str">
        <f>VLOOKUP($A135,LocalisationRemorque,2,0)</f>
        <v>Charleroi</v>
      </c>
      <c r="C135" s="57" t="str">
        <f>VLOOKUP($A135,LocalisationRemorque,3,0)</f>
        <v>Chatelet</v>
      </c>
      <c r="D135" s="59" t="str">
        <f>CONCATENATE(VLOOKUP($A135,LocalisationRemorque,6,0)," ► ",VLOOKUP($A135,LocalisationRemorque,5,0))</f>
        <v>Chatelet ► Charleroi</v>
      </c>
      <c r="E135" s="67" t="s">
        <v>19</v>
      </c>
      <c r="F135" s="63"/>
      <c r="G135" s="64"/>
      <c r="H135" s="66"/>
      <c r="I135" s="67" t="s">
        <v>19</v>
      </c>
      <c r="J135" s="71"/>
      <c r="K135" s="64"/>
      <c r="L135" s="66"/>
      <c r="M135" s="67" t="s">
        <v>456</v>
      </c>
      <c r="N135" s="63"/>
      <c r="O135" s="67" t="s">
        <v>19</v>
      </c>
      <c r="P135" s="78"/>
      <c r="Q135" s="67" t="s">
        <v>19</v>
      </c>
      <c r="R135" s="71"/>
      <c r="S135" s="104"/>
      <c r="T135" s="78"/>
      <c r="U135" s="67" t="s">
        <v>19</v>
      </c>
      <c r="V135" s="63"/>
      <c r="W135" s="68"/>
      <c r="X135" s="78"/>
      <c r="Y135" s="67" t="s">
        <v>456</v>
      </c>
      <c r="Z135" s="63"/>
      <c r="AA135" s="68"/>
      <c r="AB135" s="66"/>
      <c r="AC135" s="67"/>
      <c r="AD135" s="63"/>
      <c r="AE135" s="64"/>
      <c r="AF135" s="66"/>
      <c r="AG135" s="67" t="s">
        <v>455</v>
      </c>
      <c r="AH135" s="71"/>
      <c r="AI135" s="68"/>
      <c r="AJ135" s="101"/>
      <c r="AK135" s="67"/>
      <c r="AL135" s="71"/>
      <c r="AM135" s="68"/>
      <c r="AN135" s="101"/>
      <c r="AO135" s="67"/>
      <c r="AP135" s="63"/>
      <c r="AQ135" s="68"/>
      <c r="AR135" s="101"/>
      <c r="AS135" s="67"/>
      <c r="AT135" s="100"/>
      <c r="AU135" s="105"/>
      <c r="AV135" s="101"/>
      <c r="AW135" s="68"/>
      <c r="AX135" s="63"/>
      <c r="AY135" s="99"/>
      <c r="AZ135" s="101"/>
      <c r="BA135" s="70"/>
      <c r="BB135" s="70"/>
      <c r="BC135" s="157" t="s">
        <v>28</v>
      </c>
      <c r="BD135" s="70"/>
    </row>
    <row r="136" ht="21.75" customHeight="1">
      <c r="A136" s="80">
        <v>402.0</v>
      </c>
      <c r="B136" s="81" t="str">
        <f>VLOOKUP($A136,LocalisationRemorque,2,0)</f>
        <v>Charleroi</v>
      </c>
      <c r="C136" s="82" t="str">
        <f>VLOOKUP($A136,LocalisationRemorque,3,0)</f>
        <v>Farcienne</v>
      </c>
      <c r="D136" s="83" t="str">
        <f>CONCATENATE(VLOOKUP($A136,LocalisationRemorque,6,0)," ► ",VLOOKUP($A136,LocalisationRemorque,5,0))</f>
        <v>Sambreville ► Charleroi</v>
      </c>
      <c r="E136" s="84" t="s">
        <v>456</v>
      </c>
      <c r="F136" s="85"/>
      <c r="G136" s="84" t="s">
        <v>19</v>
      </c>
      <c r="H136" s="90"/>
      <c r="I136" s="84" t="s">
        <v>19</v>
      </c>
      <c r="J136" s="89"/>
      <c r="K136" s="109"/>
      <c r="L136" s="90"/>
      <c r="M136" s="84" t="s">
        <v>19</v>
      </c>
      <c r="N136" s="85"/>
      <c r="O136" s="86"/>
      <c r="P136" s="87"/>
      <c r="Q136" s="84" t="s">
        <v>19</v>
      </c>
      <c r="R136" s="89"/>
      <c r="S136" s="447"/>
      <c r="T136" s="87"/>
      <c r="U136" s="84" t="s">
        <v>19</v>
      </c>
      <c r="V136" s="85"/>
      <c r="W136" s="86"/>
      <c r="X136" s="87"/>
      <c r="Y136" s="84"/>
      <c r="Z136" s="85"/>
      <c r="AA136" s="109"/>
      <c r="AB136" s="90"/>
      <c r="AC136" s="165" t="s">
        <v>29</v>
      </c>
      <c r="AD136" s="85"/>
      <c r="AE136" s="109"/>
      <c r="AF136" s="90"/>
      <c r="AG136" s="165" t="s">
        <v>29</v>
      </c>
      <c r="AH136" s="89"/>
      <c r="AI136" s="86"/>
      <c r="AJ136" s="93"/>
      <c r="AK136" s="84"/>
      <c r="AL136" s="89"/>
      <c r="AM136" s="86"/>
      <c r="AN136" s="93"/>
      <c r="AO136" s="165" t="s">
        <v>29</v>
      </c>
      <c r="AP136" s="85"/>
      <c r="AQ136" s="86"/>
      <c r="AR136" s="93"/>
      <c r="AS136" s="84"/>
      <c r="AT136" s="92"/>
      <c r="AU136" s="96"/>
      <c r="AV136" s="93"/>
      <c r="AW136" s="126"/>
      <c r="AX136" s="92"/>
      <c r="AY136" s="91"/>
      <c r="AZ136" s="93"/>
      <c r="BA136" s="155"/>
      <c r="BB136" s="155"/>
      <c r="BC136" s="416" t="s">
        <v>28</v>
      </c>
      <c r="BD136" s="155"/>
    </row>
    <row r="137" ht="21.75" customHeight="1">
      <c r="A137" s="111">
        <v>403.0</v>
      </c>
      <c r="B137" s="56" t="str">
        <f>VLOOKUP($A137,LocalisationRemorque,2,0)</f>
        <v>Charleroi</v>
      </c>
      <c r="C137" s="57" t="str">
        <f>VLOOKUP($A137,LocalisationRemorque,3,0)</f>
        <v>Nalinnes</v>
      </c>
      <c r="D137" s="59" t="str">
        <f>CONCATENATE(VLOOKUP($A137,LocalisationRemorque,6,0)," ► ",VLOOKUP($A137,LocalisationRemorque,5,0))</f>
        <v>Charleroi ► Couvin</v>
      </c>
      <c r="E137" s="67" t="s">
        <v>19</v>
      </c>
      <c r="F137" s="63"/>
      <c r="G137" s="64"/>
      <c r="H137" s="66"/>
      <c r="I137" s="67" t="s">
        <v>19</v>
      </c>
      <c r="J137" s="71"/>
      <c r="K137" s="64"/>
      <c r="L137" s="66"/>
      <c r="M137" s="67" t="s">
        <v>19</v>
      </c>
      <c r="N137" s="63"/>
      <c r="O137" s="68"/>
      <c r="P137" s="78"/>
      <c r="Q137" s="67" t="s">
        <v>19</v>
      </c>
      <c r="R137" s="71"/>
      <c r="S137" s="160"/>
      <c r="T137" s="78"/>
      <c r="U137" s="67" t="s">
        <v>456</v>
      </c>
      <c r="V137" s="63"/>
      <c r="W137" s="67" t="s">
        <v>19</v>
      </c>
      <c r="X137" s="78"/>
      <c r="Y137" s="67"/>
      <c r="Z137" s="63"/>
      <c r="AA137" s="68"/>
      <c r="AB137" s="66"/>
      <c r="AC137" s="67"/>
      <c r="AD137" s="63"/>
      <c r="AE137" s="64"/>
      <c r="AF137" s="66"/>
      <c r="AG137" s="61"/>
      <c r="AH137" s="71"/>
      <c r="AI137" s="68"/>
      <c r="AJ137" s="101"/>
      <c r="AK137" s="67"/>
      <c r="AL137" s="71"/>
      <c r="AM137" s="104"/>
      <c r="AN137" s="101"/>
      <c r="AO137" s="67"/>
      <c r="AP137" s="63"/>
      <c r="AQ137" s="68"/>
      <c r="AR137" s="101"/>
      <c r="AS137" s="67"/>
      <c r="AT137" s="100"/>
      <c r="AU137" s="105"/>
      <c r="AV137" s="101"/>
      <c r="AW137" s="68"/>
      <c r="AX137" s="63"/>
      <c r="AY137" s="99"/>
      <c r="AZ137" s="101"/>
      <c r="BA137" s="88"/>
      <c r="BB137" s="88"/>
      <c r="BC137" s="418" t="s">
        <v>28</v>
      </c>
      <c r="BD137" s="88"/>
    </row>
    <row r="138" ht="21.75" customHeight="1">
      <c r="A138" s="80">
        <v>404.0</v>
      </c>
      <c r="B138" s="81" t="str">
        <f>VLOOKUP($A138,LocalisationRemorque,2,0)</f>
        <v>Charleroi</v>
      </c>
      <c r="C138" s="82" t="str">
        <f>VLOOKUP($A138,LocalisationRemorque,3,0)</f>
        <v>Gosselies aéroport</v>
      </c>
      <c r="D138" s="83" t="str">
        <f>CONCATENATE(VLOOKUP($A138,LocalisationRemorque,6,0)," ► ",VLOOKUP($A138,LocalisationRemorque,5,0))</f>
        <v>E420 (Ransart) ► Aeroport</v>
      </c>
      <c r="E138" s="84" t="s">
        <v>19</v>
      </c>
      <c r="F138" s="85"/>
      <c r="G138" s="109"/>
      <c r="H138" s="90"/>
      <c r="I138" s="84" t="s">
        <v>456</v>
      </c>
      <c r="J138" s="85"/>
      <c r="K138" s="86" t="s">
        <v>19</v>
      </c>
      <c r="L138" s="90"/>
      <c r="M138" s="84" t="s">
        <v>19</v>
      </c>
      <c r="N138" s="85"/>
      <c r="O138" s="86"/>
      <c r="P138" s="87"/>
      <c r="Q138" s="84" t="s">
        <v>456</v>
      </c>
      <c r="R138" s="89"/>
      <c r="S138" s="84" t="s">
        <v>19</v>
      </c>
      <c r="T138" s="87"/>
      <c r="U138" s="84" t="s">
        <v>19</v>
      </c>
      <c r="V138" s="85"/>
      <c r="W138" s="86"/>
      <c r="X138" s="87"/>
      <c r="Y138" s="84"/>
      <c r="Z138" s="85"/>
      <c r="AA138" s="109"/>
      <c r="AB138" s="87"/>
      <c r="AC138" s="84" t="s">
        <v>456</v>
      </c>
      <c r="AD138" s="85"/>
      <c r="AE138" s="109"/>
      <c r="AF138" s="90"/>
      <c r="AG138" s="107"/>
      <c r="AH138" s="89"/>
      <c r="AI138" s="86"/>
      <c r="AJ138" s="93"/>
      <c r="AK138" s="84"/>
      <c r="AL138" s="89"/>
      <c r="AM138" s="86"/>
      <c r="AN138" s="93"/>
      <c r="AO138" s="84"/>
      <c r="AP138" s="85"/>
      <c r="AQ138" s="86"/>
      <c r="AR138" s="93"/>
      <c r="AS138" s="84"/>
      <c r="AT138" s="92"/>
      <c r="AU138" s="96"/>
      <c r="AV138" s="93"/>
      <c r="AW138" s="84"/>
      <c r="AX138" s="92"/>
      <c r="AY138" s="91"/>
      <c r="AZ138" s="93"/>
      <c r="BA138" s="77"/>
      <c r="BB138" s="77"/>
      <c r="BC138" s="159" t="s">
        <v>28</v>
      </c>
      <c r="BD138" s="77"/>
    </row>
    <row r="139" ht="21.75" customHeight="1">
      <c r="A139" s="111">
        <v>405.0</v>
      </c>
      <c r="B139" s="56" t="str">
        <f>VLOOKUP($A139,LocalisationRemorque,2,0)</f>
        <v>Thuin</v>
      </c>
      <c r="C139" s="57" t="str">
        <f>VLOOKUP($A139,LocalisationRemorque,3,0)</f>
        <v>Thuin N59</v>
      </c>
      <c r="D139" s="59" t="str">
        <f>CONCATENATE(VLOOKUP($A139,LocalisationRemorque,6,0)," ► ",VLOOKUP($A139,LocalisationRemorque,5,0))</f>
        <v>Thuin ► Charleroi</v>
      </c>
      <c r="E139" s="67" t="s">
        <v>20</v>
      </c>
      <c r="F139" s="63"/>
      <c r="G139" s="64"/>
      <c r="H139" s="66"/>
      <c r="I139" s="67"/>
      <c r="J139" s="71"/>
      <c r="K139" s="64"/>
      <c r="L139" s="66"/>
      <c r="M139" s="67"/>
      <c r="N139" s="63"/>
      <c r="O139" s="68"/>
      <c r="P139" s="78"/>
      <c r="Q139" s="67" t="s">
        <v>20</v>
      </c>
      <c r="R139" s="63"/>
      <c r="S139" s="160"/>
      <c r="T139" s="78"/>
      <c r="U139" s="68"/>
      <c r="V139" s="63"/>
      <c r="W139" s="68"/>
      <c r="X139" s="78"/>
      <c r="Y139" s="67" t="s">
        <v>20</v>
      </c>
      <c r="Z139" s="63"/>
      <c r="AA139" s="68"/>
      <c r="AB139" s="66"/>
      <c r="AC139" s="67"/>
      <c r="AD139" s="63"/>
      <c r="AE139" s="64"/>
      <c r="AF139" s="66"/>
      <c r="AG139" s="61"/>
      <c r="AH139" s="71"/>
      <c r="AI139" s="68"/>
      <c r="AJ139" s="101"/>
      <c r="AK139" s="67"/>
      <c r="AL139" s="71"/>
      <c r="AM139" s="68"/>
      <c r="AN139" s="101"/>
      <c r="AO139" s="67"/>
      <c r="AP139" s="63"/>
      <c r="AQ139" s="68"/>
      <c r="AR139" s="101"/>
      <c r="AS139" s="67"/>
      <c r="AT139" s="63"/>
      <c r="AU139" s="68" t="s">
        <v>20</v>
      </c>
      <c r="AV139" s="101"/>
      <c r="AW139" s="67"/>
      <c r="AX139" s="63"/>
      <c r="AY139" s="68" t="s">
        <v>20</v>
      </c>
      <c r="AZ139" s="101"/>
      <c r="BA139" s="88"/>
      <c r="BB139" s="88"/>
      <c r="BC139" s="106"/>
      <c r="BD139" s="88"/>
    </row>
    <row r="140" ht="21.75" customHeight="1">
      <c r="A140" s="80">
        <v>406.0</v>
      </c>
      <c r="B140" s="81" t="str">
        <f>VLOOKUP($A140,LocalisationRemorque,2,0)</f>
        <v>Gozée</v>
      </c>
      <c r="C140" s="82" t="str">
        <f>VLOOKUP($A140,LocalisationRemorque,3,0)</f>
        <v>N53  Charleroi - Beaumont</v>
      </c>
      <c r="D140" s="83" t="str">
        <f>CONCATENATE(VLOOKUP($A140,LocalisationRemorque,6,0)," ► ",VLOOKUP($A140,LocalisationRemorque,5,0))</f>
        <v>Beaumont ► Charleroi</v>
      </c>
      <c r="E140" s="84"/>
      <c r="F140" s="85"/>
      <c r="G140" s="109"/>
      <c r="H140" s="90"/>
      <c r="I140" s="84"/>
      <c r="J140" s="89"/>
      <c r="K140" s="109"/>
      <c r="L140" s="90"/>
      <c r="M140" s="84"/>
      <c r="N140" s="85"/>
      <c r="O140" s="86"/>
      <c r="P140" s="87"/>
      <c r="Q140" s="84"/>
      <c r="R140" s="89"/>
      <c r="S140" s="447"/>
      <c r="T140" s="87"/>
      <c r="U140" s="84"/>
      <c r="V140" s="85"/>
      <c r="W140" s="86"/>
      <c r="X140" s="87"/>
      <c r="Y140" s="84"/>
      <c r="Z140" s="85"/>
      <c r="AA140" s="109"/>
      <c r="AB140" s="90"/>
      <c r="AC140" s="84"/>
      <c r="AD140" s="85"/>
      <c r="AE140" s="109"/>
      <c r="AF140" s="90"/>
      <c r="AG140" s="84"/>
      <c r="AH140" s="85"/>
      <c r="AI140" s="91"/>
      <c r="AJ140" s="93"/>
      <c r="AK140" s="84"/>
      <c r="AL140" s="89"/>
      <c r="AM140" s="86"/>
      <c r="AN140" s="93"/>
      <c r="AO140" s="84"/>
      <c r="AP140" s="85"/>
      <c r="AQ140" s="86"/>
      <c r="AR140" s="349"/>
      <c r="AS140" s="84"/>
      <c r="AT140" s="92"/>
      <c r="AU140" s="96"/>
      <c r="AV140" s="93"/>
      <c r="AW140" s="126"/>
      <c r="AX140" s="92"/>
      <c r="AY140" s="91"/>
      <c r="AZ140" s="93"/>
      <c r="BA140" s="155"/>
      <c r="BB140" s="155"/>
      <c r="BC140" s="128"/>
      <c r="BD140" s="155"/>
    </row>
    <row r="141" ht="21.75" customHeight="1">
      <c r="A141" s="111">
        <v>407.0</v>
      </c>
      <c r="B141" s="56" t="str">
        <f>VLOOKUP($A141,LocalisationRemorque,2,0)</f>
        <v>Anderlues</v>
      </c>
      <c r="C141" s="57" t="str">
        <f>VLOOKUP($A141,LocalisationRemorque,3,0)</f>
        <v>Morlanwelz 1</v>
      </c>
      <c r="D141" s="59" t="str">
        <f>CONCATENATE(VLOOKUP($A141,LocalisationRemorque,6,0)," ► ",VLOOKUP($A141,LocalisationRemorque,5,0))</f>
        <v>Anderlues ► E42</v>
      </c>
      <c r="E141" s="67" t="s">
        <v>19</v>
      </c>
      <c r="F141" s="63"/>
      <c r="G141" s="64"/>
      <c r="H141" s="66"/>
      <c r="I141" s="67" t="s">
        <v>19</v>
      </c>
      <c r="J141" s="71"/>
      <c r="K141" s="64"/>
      <c r="L141" s="66"/>
      <c r="M141" s="67" t="s">
        <v>19</v>
      </c>
      <c r="N141" s="63"/>
      <c r="O141" s="68"/>
      <c r="P141" s="78"/>
      <c r="Q141" s="67" t="s">
        <v>19</v>
      </c>
      <c r="R141" s="63"/>
      <c r="S141" s="160"/>
      <c r="T141" s="78"/>
      <c r="U141" s="67" t="s">
        <v>19</v>
      </c>
      <c r="V141" s="63"/>
      <c r="W141" s="68" t="s">
        <v>20</v>
      </c>
      <c r="X141" s="78"/>
      <c r="Y141" s="67"/>
      <c r="Z141" s="63"/>
      <c r="AA141" s="64"/>
      <c r="AB141" s="66"/>
      <c r="AC141" s="67"/>
      <c r="AD141" s="63"/>
      <c r="AE141" s="64"/>
      <c r="AF141" s="66"/>
      <c r="AG141" s="67"/>
      <c r="AH141" s="63"/>
      <c r="AI141" s="99"/>
      <c r="AJ141" s="101"/>
      <c r="AK141" s="67"/>
      <c r="AL141" s="71"/>
      <c r="AM141" s="68"/>
      <c r="AN141" s="101"/>
      <c r="AO141" s="67"/>
      <c r="AP141" s="63"/>
      <c r="AQ141" s="68"/>
      <c r="AR141" s="407"/>
      <c r="AS141" s="67" t="s">
        <v>20</v>
      </c>
      <c r="AT141" s="63"/>
      <c r="AU141" s="105"/>
      <c r="AV141" s="101"/>
      <c r="AW141" s="156"/>
      <c r="AX141" s="100"/>
      <c r="AY141" s="99"/>
      <c r="AZ141" s="101"/>
      <c r="BA141" s="88"/>
      <c r="BB141" s="88"/>
      <c r="BC141" s="418" t="s">
        <v>28</v>
      </c>
      <c r="BD141" s="88"/>
    </row>
    <row r="142" ht="21.75" customHeight="1">
      <c r="A142" s="448">
        <v>408.0</v>
      </c>
      <c r="B142" s="81" t="str">
        <f>VLOOKUP($A142,LocalisationRemorque,2,0)</f>
        <v>Anderlues</v>
      </c>
      <c r="C142" s="449" t="str">
        <f>VLOOKUP($A142,LocalisationRemorque,3,0)</f>
        <v>Morlanwelz 2</v>
      </c>
      <c r="D142" s="450" t="str">
        <f>CONCATENATE(VLOOKUP($A142,LocalisationRemorque,6,0)," ► ",VLOOKUP($A142,LocalisationRemorque,5,0))</f>
        <v>Anderlues ► E42</v>
      </c>
      <c r="E142" s="84" t="s">
        <v>19</v>
      </c>
      <c r="F142" s="85"/>
      <c r="G142" s="109"/>
      <c r="H142" s="90"/>
      <c r="I142" s="84" t="s">
        <v>19</v>
      </c>
      <c r="J142" s="89"/>
      <c r="K142" s="109"/>
      <c r="L142" s="90"/>
      <c r="M142" s="84" t="s">
        <v>19</v>
      </c>
      <c r="N142" s="85"/>
      <c r="O142" s="86"/>
      <c r="P142" s="87"/>
      <c r="Q142" s="84" t="s">
        <v>459</v>
      </c>
      <c r="R142" s="89"/>
      <c r="S142" s="447"/>
      <c r="T142" s="87"/>
      <c r="U142" s="84" t="s">
        <v>19</v>
      </c>
      <c r="V142" s="85"/>
      <c r="W142" s="86"/>
      <c r="X142" s="87"/>
      <c r="Y142" s="84" t="s">
        <v>20</v>
      </c>
      <c r="Z142" s="85"/>
      <c r="AA142" s="109"/>
      <c r="AB142" s="90"/>
      <c r="AC142" s="84"/>
      <c r="AD142" s="85"/>
      <c r="AE142" s="109"/>
      <c r="AF142" s="90"/>
      <c r="AG142" s="84"/>
      <c r="AH142" s="85"/>
      <c r="AI142" s="91"/>
      <c r="AJ142" s="93"/>
      <c r="AK142" s="84"/>
      <c r="AL142" s="85"/>
      <c r="AM142" s="86"/>
      <c r="AN142" s="93"/>
      <c r="AO142" s="84" t="s">
        <v>20</v>
      </c>
      <c r="AP142" s="85"/>
      <c r="AQ142" s="86"/>
      <c r="AR142" s="349"/>
      <c r="AS142" s="84"/>
      <c r="AT142" s="92"/>
      <c r="AU142" s="96"/>
      <c r="AV142" s="93"/>
      <c r="AW142" s="126"/>
      <c r="AX142" s="92"/>
      <c r="AY142" s="91"/>
      <c r="AZ142" s="93"/>
      <c r="BA142" s="155"/>
      <c r="BB142" s="155"/>
      <c r="BC142" s="416" t="s">
        <v>28</v>
      </c>
      <c r="BD142" s="155"/>
    </row>
    <row r="143" ht="21.75" customHeight="1">
      <c r="A143" s="451">
        <v>409.0</v>
      </c>
      <c r="B143" s="56" t="str">
        <f>VLOOKUP($A143,LocalisationRemorque,2,0)</f>
        <v>Nivelles</v>
      </c>
      <c r="C143" s="452" t="str">
        <f>VLOOKUP($A143,LocalisationRemorque,3,0)</f>
        <v>Buzet</v>
      </c>
      <c r="D143" s="453" t="str">
        <f>CONCATENATE(VLOOKUP($A143,LocalisationRemorque,6,0)," ► ",VLOOKUP($A143,LocalisationRemorque,5,0))</f>
        <v>Nivelles ► Charleroi</v>
      </c>
      <c r="E143" s="67"/>
      <c r="F143" s="63"/>
      <c r="G143" s="64"/>
      <c r="H143" s="66"/>
      <c r="I143" s="67"/>
      <c r="J143" s="63" t="s">
        <v>24</v>
      </c>
      <c r="K143" s="64"/>
      <c r="L143" s="66"/>
      <c r="M143" s="61"/>
      <c r="N143" s="63"/>
      <c r="O143" s="104" t="s">
        <v>20</v>
      </c>
      <c r="P143" s="78"/>
      <c r="Q143" s="67"/>
      <c r="R143" s="71"/>
      <c r="S143" s="160"/>
      <c r="T143" s="78"/>
      <c r="U143" s="67"/>
      <c r="V143" s="63"/>
      <c r="W143" s="68"/>
      <c r="X143" s="78"/>
      <c r="Y143" s="67"/>
      <c r="Z143" s="63"/>
      <c r="AA143" s="68" t="s">
        <v>20</v>
      </c>
      <c r="AB143" s="66"/>
      <c r="AC143" s="67"/>
      <c r="AD143" s="63"/>
      <c r="AE143" s="68" t="s">
        <v>20</v>
      </c>
      <c r="AF143" s="66"/>
      <c r="AG143" s="104"/>
      <c r="AH143" s="63"/>
      <c r="AI143" s="99"/>
      <c r="AJ143" s="101"/>
      <c r="AK143" s="67"/>
      <c r="AL143" s="71"/>
      <c r="AM143" s="68" t="s">
        <v>20</v>
      </c>
      <c r="AN143" s="101"/>
      <c r="AO143" s="67"/>
      <c r="AP143" s="63"/>
      <c r="AQ143" s="68"/>
      <c r="AR143" s="407"/>
      <c r="AS143" s="67"/>
      <c r="AT143" s="63"/>
      <c r="AU143" s="68" t="s">
        <v>20</v>
      </c>
      <c r="AV143" s="101"/>
      <c r="AW143" s="156"/>
      <c r="AX143" s="100"/>
      <c r="AY143" s="99"/>
      <c r="AZ143" s="101"/>
      <c r="BA143" s="70"/>
      <c r="BB143" s="70"/>
      <c r="BC143" s="454" t="s">
        <v>28</v>
      </c>
      <c r="BD143" s="70"/>
    </row>
    <row r="144" ht="21.75" customHeight="1">
      <c r="A144" s="455">
        <v>415.0</v>
      </c>
      <c r="B144" s="81" t="str">
        <f>VLOOKUP($A144,LocalisationRemorque,2,0)</f>
        <v>Binche</v>
      </c>
      <c r="C144" s="449" t="str">
        <f>VLOOKUP($A144,LocalisationRemorque,3,0)</f>
        <v>Péronnes-lez-Binche</v>
      </c>
      <c r="D144" s="450" t="str">
        <f>CONCATENATE(VLOOKUP($A144,LocalisationRemorque,6,0)," ► ",VLOOKUP($A144,LocalisationRemorque,5,0))</f>
        <v>Binche ► La Louvière</v>
      </c>
      <c r="E144" s="84" t="s">
        <v>19</v>
      </c>
      <c r="F144" s="85"/>
      <c r="G144" s="86"/>
      <c r="H144" s="90"/>
      <c r="I144" s="84" t="s">
        <v>19</v>
      </c>
      <c r="J144" s="89"/>
      <c r="K144" s="86"/>
      <c r="L144" s="90"/>
      <c r="M144" s="84" t="s">
        <v>19</v>
      </c>
      <c r="N144" s="85"/>
      <c r="O144" s="86"/>
      <c r="P144" s="87"/>
      <c r="Q144" s="84" t="s">
        <v>19</v>
      </c>
      <c r="R144" s="89"/>
      <c r="S144" s="86"/>
      <c r="T144" s="87"/>
      <c r="U144" s="84" t="s">
        <v>19</v>
      </c>
      <c r="V144" s="85"/>
      <c r="W144" s="86"/>
      <c r="X144" s="87"/>
      <c r="Y144" s="84"/>
      <c r="Z144" s="85"/>
      <c r="AA144" s="86"/>
      <c r="AB144" s="90"/>
      <c r="AC144" s="84"/>
      <c r="AD144" s="85"/>
      <c r="AE144" s="109"/>
      <c r="AF144" s="90"/>
      <c r="AG144" s="95"/>
      <c r="AH144" s="85"/>
      <c r="AI144" s="91"/>
      <c r="AJ144" s="93"/>
      <c r="AK144" s="84"/>
      <c r="AL144" s="89"/>
      <c r="AM144" s="86"/>
      <c r="AN144" s="93"/>
      <c r="AO144" s="84"/>
      <c r="AP144" s="85"/>
      <c r="AQ144" s="86"/>
      <c r="AR144" s="349"/>
      <c r="AS144" s="84"/>
      <c r="AT144" s="92"/>
      <c r="AU144" s="96"/>
      <c r="AV144" s="93"/>
      <c r="AW144" s="84"/>
      <c r="AX144" s="92"/>
      <c r="AY144" s="91"/>
      <c r="AZ144" s="93"/>
      <c r="BA144" s="155"/>
      <c r="BB144" s="155"/>
      <c r="BC144" s="416" t="s">
        <v>28</v>
      </c>
      <c r="BD144" s="155"/>
    </row>
    <row r="145" ht="21.75" customHeight="1">
      <c r="A145" s="456"/>
      <c r="B145" s="457"/>
      <c r="C145" s="458"/>
      <c r="D145" s="459"/>
      <c r="E145" s="67"/>
      <c r="F145" s="63"/>
      <c r="G145" s="64"/>
      <c r="H145" s="66"/>
      <c r="I145" s="67"/>
      <c r="J145" s="71"/>
      <c r="K145" s="64"/>
      <c r="L145" s="66"/>
      <c r="M145" s="67"/>
      <c r="N145" s="63"/>
      <c r="O145" s="70"/>
      <c r="P145" s="78"/>
      <c r="Q145" s="67"/>
      <c r="R145" s="71"/>
      <c r="S145" s="160"/>
      <c r="T145" s="78"/>
      <c r="U145" s="67"/>
      <c r="V145" s="63"/>
      <c r="W145" s="68"/>
      <c r="X145" s="78"/>
      <c r="Y145" s="67"/>
      <c r="Z145" s="63"/>
      <c r="AA145" s="64"/>
      <c r="AB145" s="66"/>
      <c r="AC145" s="67"/>
      <c r="AD145" s="63"/>
      <c r="AE145" s="64"/>
      <c r="AF145" s="66"/>
      <c r="AG145" s="104"/>
      <c r="AH145" s="63"/>
      <c r="AI145" s="99"/>
      <c r="AJ145" s="101"/>
      <c r="AK145" s="67"/>
      <c r="AL145" s="71"/>
      <c r="AM145" s="68"/>
      <c r="AN145" s="101"/>
      <c r="AO145" s="67"/>
      <c r="AP145" s="63"/>
      <c r="AQ145" s="68"/>
      <c r="AR145" s="407"/>
      <c r="AS145" s="67"/>
      <c r="AT145" s="100"/>
      <c r="AU145" s="105"/>
      <c r="AV145" s="101"/>
      <c r="AW145" s="156"/>
      <c r="AX145" s="100"/>
      <c r="AY145" s="99"/>
      <c r="AZ145" s="101"/>
      <c r="BA145" s="70"/>
      <c r="BB145" s="70"/>
      <c r="BC145" s="79"/>
      <c r="BD145" s="70"/>
    </row>
    <row r="146" ht="21.75" hidden="1" customHeight="1">
      <c r="A146" s="129"/>
      <c r="B146" s="130"/>
      <c r="C146" s="131"/>
      <c r="D146" s="132"/>
      <c r="E146" s="137"/>
      <c r="F146" s="134"/>
      <c r="G146" s="138"/>
      <c r="H146" s="136"/>
      <c r="I146" s="137"/>
      <c r="J146" s="142"/>
      <c r="K146" s="135"/>
      <c r="L146" s="136"/>
      <c r="M146" s="460"/>
      <c r="N146" s="461"/>
      <c r="O146" s="462"/>
      <c r="P146" s="145"/>
      <c r="Q146" s="137"/>
      <c r="R146" s="142"/>
      <c r="S146" s="463"/>
      <c r="T146" s="145"/>
      <c r="U146" s="137"/>
      <c r="V146" s="134"/>
      <c r="W146" s="138"/>
      <c r="X146" s="145"/>
      <c r="Y146" s="137"/>
      <c r="Z146" s="134"/>
      <c r="AA146" s="135"/>
      <c r="AB146" s="136"/>
      <c r="AC146" s="137"/>
      <c r="AD146" s="134"/>
      <c r="AE146" s="135"/>
      <c r="AF146" s="136"/>
      <c r="AG146" s="445"/>
      <c r="AH146" s="134"/>
      <c r="AI146" s="144"/>
      <c r="AJ146" s="147"/>
      <c r="AK146" s="137"/>
      <c r="AL146" s="142"/>
      <c r="AM146" s="138"/>
      <c r="AN146" s="147"/>
      <c r="AO146" s="137"/>
      <c r="AP146" s="134"/>
      <c r="AQ146" s="138"/>
      <c r="AR146" s="464"/>
      <c r="AS146" s="137"/>
      <c r="AT146" s="146"/>
      <c r="AU146" s="326"/>
      <c r="AV146" s="147"/>
      <c r="AW146" s="446"/>
      <c r="AX146" s="146"/>
      <c r="AY146" s="144"/>
      <c r="AZ146" s="147"/>
      <c r="BA146" s="417"/>
      <c r="BB146" s="417"/>
      <c r="BC146" s="153"/>
      <c r="BD146" s="417"/>
    </row>
    <row r="147" ht="21.75" hidden="1" customHeight="1">
      <c r="A147" s="129"/>
      <c r="B147" s="130"/>
      <c r="C147" s="131"/>
      <c r="D147" s="132"/>
      <c r="E147" s="137"/>
      <c r="F147" s="134"/>
      <c r="G147" s="135"/>
      <c r="H147" s="136"/>
      <c r="I147" s="137"/>
      <c r="J147" s="142"/>
      <c r="K147" s="135"/>
      <c r="L147" s="136"/>
      <c r="M147" s="460"/>
      <c r="N147" s="461"/>
      <c r="O147" s="462"/>
      <c r="P147" s="145"/>
      <c r="Q147" s="137"/>
      <c r="R147" s="142"/>
      <c r="S147" s="463"/>
      <c r="T147" s="145"/>
      <c r="U147" s="137"/>
      <c r="V147" s="134"/>
      <c r="W147" s="138"/>
      <c r="X147" s="145"/>
      <c r="Y147" s="137"/>
      <c r="Z147" s="134"/>
      <c r="AA147" s="135"/>
      <c r="AB147" s="136"/>
      <c r="AC147" s="137"/>
      <c r="AD147" s="134"/>
      <c r="AE147" s="135"/>
      <c r="AF147" s="136"/>
      <c r="AG147" s="445"/>
      <c r="AH147" s="134"/>
      <c r="AI147" s="144"/>
      <c r="AJ147" s="147"/>
      <c r="AK147" s="137"/>
      <c r="AL147" s="142"/>
      <c r="AM147" s="138"/>
      <c r="AN147" s="147"/>
      <c r="AO147" s="137"/>
      <c r="AP147" s="134"/>
      <c r="AQ147" s="138"/>
      <c r="AR147" s="464"/>
      <c r="AS147" s="137"/>
      <c r="AT147" s="146"/>
      <c r="AU147" s="326"/>
      <c r="AV147" s="147"/>
      <c r="AW147" s="446"/>
      <c r="AX147" s="146"/>
      <c r="AY147" s="144"/>
      <c r="AZ147" s="147"/>
      <c r="BA147" s="417"/>
      <c r="BB147" s="417"/>
      <c r="BC147" s="153"/>
      <c r="BD147" s="417"/>
    </row>
    <row r="148" ht="21.75" hidden="1" customHeight="1">
      <c r="A148" s="129"/>
      <c r="B148" s="130"/>
      <c r="C148" s="131"/>
      <c r="D148" s="132"/>
      <c r="E148" s="137"/>
      <c r="F148" s="134"/>
      <c r="G148" s="138"/>
      <c r="H148" s="136"/>
      <c r="I148" s="137"/>
      <c r="J148" s="142"/>
      <c r="K148" s="135"/>
      <c r="L148" s="136"/>
      <c r="M148" s="460"/>
      <c r="N148" s="461"/>
      <c r="O148" s="462"/>
      <c r="P148" s="145"/>
      <c r="Q148" s="137"/>
      <c r="R148" s="142"/>
      <c r="S148" s="463"/>
      <c r="T148" s="145"/>
      <c r="U148" s="137"/>
      <c r="V148" s="134"/>
      <c r="W148" s="138"/>
      <c r="X148" s="145"/>
      <c r="Y148" s="137"/>
      <c r="Z148" s="134"/>
      <c r="AA148" s="135"/>
      <c r="AB148" s="136"/>
      <c r="AC148" s="137"/>
      <c r="AD148" s="134"/>
      <c r="AE148" s="135"/>
      <c r="AF148" s="136"/>
      <c r="AG148" s="445"/>
      <c r="AH148" s="134"/>
      <c r="AI148" s="144"/>
      <c r="AJ148" s="147"/>
      <c r="AK148" s="137"/>
      <c r="AL148" s="142"/>
      <c r="AM148" s="138"/>
      <c r="AN148" s="147"/>
      <c r="AO148" s="137"/>
      <c r="AP148" s="134"/>
      <c r="AQ148" s="138"/>
      <c r="AR148" s="464"/>
      <c r="AS148" s="137"/>
      <c r="AT148" s="146"/>
      <c r="AU148" s="326"/>
      <c r="AV148" s="147"/>
      <c r="AW148" s="446"/>
      <c r="AX148" s="146"/>
      <c r="AY148" s="144"/>
      <c r="AZ148" s="147"/>
      <c r="BA148" s="417"/>
      <c r="BB148" s="417"/>
      <c r="BC148" s="153"/>
      <c r="BD148" s="417"/>
    </row>
    <row r="149" ht="21.75" hidden="1" customHeight="1">
      <c r="A149" s="129"/>
      <c r="B149" s="130"/>
      <c r="C149" s="131"/>
      <c r="D149" s="132"/>
      <c r="E149" s="137"/>
      <c r="F149" s="134"/>
      <c r="G149" s="135"/>
      <c r="H149" s="136"/>
      <c r="I149" s="137"/>
      <c r="J149" s="142"/>
      <c r="K149" s="135"/>
      <c r="L149" s="136"/>
      <c r="M149" s="460"/>
      <c r="N149" s="461"/>
      <c r="O149" s="462"/>
      <c r="P149" s="145"/>
      <c r="Q149" s="137"/>
      <c r="R149" s="142"/>
      <c r="S149" s="463"/>
      <c r="T149" s="145"/>
      <c r="U149" s="137"/>
      <c r="V149" s="134"/>
      <c r="W149" s="138"/>
      <c r="X149" s="145"/>
      <c r="Y149" s="137"/>
      <c r="Z149" s="134"/>
      <c r="AA149" s="135"/>
      <c r="AB149" s="136"/>
      <c r="AC149" s="137"/>
      <c r="AD149" s="134"/>
      <c r="AE149" s="135"/>
      <c r="AF149" s="136"/>
      <c r="AG149" s="445"/>
      <c r="AH149" s="134"/>
      <c r="AI149" s="144"/>
      <c r="AJ149" s="147"/>
      <c r="AK149" s="137"/>
      <c r="AL149" s="142"/>
      <c r="AM149" s="138"/>
      <c r="AN149" s="147"/>
      <c r="AO149" s="137"/>
      <c r="AP149" s="134"/>
      <c r="AQ149" s="138"/>
      <c r="AR149" s="464"/>
      <c r="AS149" s="137"/>
      <c r="AT149" s="146"/>
      <c r="AU149" s="326"/>
      <c r="AV149" s="147"/>
      <c r="AW149" s="446"/>
      <c r="AX149" s="146"/>
      <c r="AY149" s="144"/>
      <c r="AZ149" s="147"/>
      <c r="BA149" s="417"/>
      <c r="BB149" s="417"/>
      <c r="BC149" s="153"/>
      <c r="BD149" s="417"/>
    </row>
    <row r="150" ht="21.75" hidden="1" customHeight="1">
      <c r="A150" s="129"/>
      <c r="B150" s="130"/>
      <c r="C150" s="131"/>
      <c r="D150" s="132"/>
      <c r="E150" s="137"/>
      <c r="F150" s="134"/>
      <c r="G150" s="138"/>
      <c r="H150" s="136"/>
      <c r="I150" s="137"/>
      <c r="J150" s="142"/>
      <c r="K150" s="135"/>
      <c r="L150" s="136"/>
      <c r="M150" s="460"/>
      <c r="N150" s="461"/>
      <c r="O150" s="462"/>
      <c r="P150" s="145"/>
      <c r="Q150" s="137"/>
      <c r="R150" s="142"/>
      <c r="S150" s="463"/>
      <c r="T150" s="145"/>
      <c r="U150" s="137"/>
      <c r="V150" s="134"/>
      <c r="W150" s="138"/>
      <c r="X150" s="145"/>
      <c r="Y150" s="137"/>
      <c r="Z150" s="134"/>
      <c r="AA150" s="135"/>
      <c r="AB150" s="136"/>
      <c r="AC150" s="137"/>
      <c r="AD150" s="134"/>
      <c r="AE150" s="135"/>
      <c r="AF150" s="136"/>
      <c r="AG150" s="445"/>
      <c r="AH150" s="134"/>
      <c r="AI150" s="144"/>
      <c r="AJ150" s="147"/>
      <c r="AK150" s="137"/>
      <c r="AL150" s="142"/>
      <c r="AM150" s="138"/>
      <c r="AN150" s="147"/>
      <c r="AO150" s="137"/>
      <c r="AP150" s="134"/>
      <c r="AQ150" s="138"/>
      <c r="AR150" s="464"/>
      <c r="AS150" s="137"/>
      <c r="AT150" s="146"/>
      <c r="AU150" s="326"/>
      <c r="AV150" s="147"/>
      <c r="AW150" s="446"/>
      <c r="AX150" s="146"/>
      <c r="AY150" s="144"/>
      <c r="AZ150" s="147"/>
      <c r="BA150" s="417"/>
      <c r="BB150" s="417"/>
      <c r="BC150" s="153"/>
      <c r="BD150" s="417"/>
    </row>
    <row r="151" ht="21.75" hidden="1" customHeight="1">
      <c r="A151" s="129"/>
      <c r="B151" s="130"/>
      <c r="C151" s="131"/>
      <c r="D151" s="132"/>
      <c r="E151" s="137"/>
      <c r="F151" s="134"/>
      <c r="G151" s="135"/>
      <c r="H151" s="136"/>
      <c r="I151" s="137"/>
      <c r="J151" s="142"/>
      <c r="K151" s="135"/>
      <c r="L151" s="136"/>
      <c r="M151" s="460"/>
      <c r="N151" s="461"/>
      <c r="O151" s="462"/>
      <c r="P151" s="145"/>
      <c r="Q151" s="137"/>
      <c r="R151" s="142"/>
      <c r="S151" s="463"/>
      <c r="T151" s="145"/>
      <c r="U151" s="137"/>
      <c r="V151" s="134"/>
      <c r="W151" s="138"/>
      <c r="X151" s="145"/>
      <c r="Y151" s="137"/>
      <c r="Z151" s="134"/>
      <c r="AA151" s="135"/>
      <c r="AB151" s="136"/>
      <c r="AC151" s="137"/>
      <c r="AD151" s="134"/>
      <c r="AE151" s="135"/>
      <c r="AF151" s="136"/>
      <c r="AG151" s="445"/>
      <c r="AH151" s="134"/>
      <c r="AI151" s="144"/>
      <c r="AJ151" s="147"/>
      <c r="AK151" s="137"/>
      <c r="AL151" s="142"/>
      <c r="AM151" s="138"/>
      <c r="AN151" s="147"/>
      <c r="AO151" s="137"/>
      <c r="AP151" s="134"/>
      <c r="AQ151" s="138"/>
      <c r="AR151" s="464"/>
      <c r="AS151" s="137"/>
      <c r="AT151" s="146"/>
      <c r="AU151" s="326"/>
      <c r="AV151" s="147"/>
      <c r="AW151" s="446"/>
      <c r="AX151" s="146"/>
      <c r="AY151" s="144"/>
      <c r="AZ151" s="147"/>
      <c r="BA151" s="417"/>
      <c r="BB151" s="417"/>
      <c r="BC151" s="153"/>
      <c r="BD151" s="417"/>
    </row>
    <row r="152" ht="21.75" hidden="1" customHeight="1">
      <c r="A152" s="129"/>
      <c r="B152" s="130"/>
      <c r="C152" s="131"/>
      <c r="D152" s="132"/>
      <c r="E152" s="137"/>
      <c r="F152" s="134"/>
      <c r="G152" s="138"/>
      <c r="H152" s="136"/>
      <c r="I152" s="137"/>
      <c r="J152" s="142"/>
      <c r="K152" s="135"/>
      <c r="L152" s="136"/>
      <c r="M152" s="460"/>
      <c r="N152" s="461"/>
      <c r="O152" s="462"/>
      <c r="P152" s="145"/>
      <c r="Q152" s="137"/>
      <c r="R152" s="142"/>
      <c r="S152" s="463"/>
      <c r="T152" s="145"/>
      <c r="U152" s="137"/>
      <c r="V152" s="134"/>
      <c r="W152" s="138"/>
      <c r="X152" s="145"/>
      <c r="Y152" s="137"/>
      <c r="Z152" s="134"/>
      <c r="AA152" s="135"/>
      <c r="AB152" s="136"/>
      <c r="AC152" s="137"/>
      <c r="AD152" s="134"/>
      <c r="AE152" s="135"/>
      <c r="AF152" s="136"/>
      <c r="AG152" s="445"/>
      <c r="AH152" s="134"/>
      <c r="AI152" s="144"/>
      <c r="AJ152" s="147"/>
      <c r="AK152" s="137"/>
      <c r="AL152" s="142"/>
      <c r="AM152" s="138"/>
      <c r="AN152" s="147"/>
      <c r="AO152" s="137"/>
      <c r="AP152" s="134"/>
      <c r="AQ152" s="138"/>
      <c r="AR152" s="464"/>
      <c r="AS152" s="137"/>
      <c r="AT152" s="146"/>
      <c r="AU152" s="326"/>
      <c r="AV152" s="147"/>
      <c r="AW152" s="446"/>
      <c r="AX152" s="146"/>
      <c r="AY152" s="144"/>
      <c r="AZ152" s="147"/>
      <c r="BA152" s="417"/>
      <c r="BB152" s="417"/>
      <c r="BC152" s="153"/>
      <c r="BD152" s="417"/>
    </row>
    <row r="153" ht="21.75" hidden="1" customHeight="1">
      <c r="A153" s="129"/>
      <c r="B153" s="130"/>
      <c r="C153" s="131"/>
      <c r="D153" s="132"/>
      <c r="E153" s="137"/>
      <c r="F153" s="134"/>
      <c r="G153" s="135"/>
      <c r="H153" s="136"/>
      <c r="I153" s="137"/>
      <c r="J153" s="142"/>
      <c r="K153" s="135"/>
      <c r="L153" s="136"/>
      <c r="M153" s="460"/>
      <c r="N153" s="461"/>
      <c r="O153" s="462"/>
      <c r="P153" s="145"/>
      <c r="Q153" s="137"/>
      <c r="R153" s="142"/>
      <c r="S153" s="463"/>
      <c r="T153" s="145"/>
      <c r="U153" s="137"/>
      <c r="V153" s="134"/>
      <c r="W153" s="138"/>
      <c r="X153" s="145"/>
      <c r="Y153" s="137"/>
      <c r="Z153" s="134"/>
      <c r="AA153" s="135"/>
      <c r="AB153" s="136"/>
      <c r="AC153" s="137"/>
      <c r="AD153" s="134"/>
      <c r="AE153" s="135"/>
      <c r="AF153" s="136"/>
      <c r="AG153" s="445"/>
      <c r="AH153" s="134"/>
      <c r="AI153" s="144"/>
      <c r="AJ153" s="147"/>
      <c r="AK153" s="137"/>
      <c r="AL153" s="142"/>
      <c r="AM153" s="138"/>
      <c r="AN153" s="147"/>
      <c r="AO153" s="137"/>
      <c r="AP153" s="134"/>
      <c r="AQ153" s="138"/>
      <c r="AR153" s="464"/>
      <c r="AS153" s="137"/>
      <c r="AT153" s="146"/>
      <c r="AU153" s="326"/>
      <c r="AV153" s="147"/>
      <c r="AW153" s="446"/>
      <c r="AX153" s="146"/>
      <c r="AY153" s="144"/>
      <c r="AZ153" s="147"/>
      <c r="BA153" s="417"/>
      <c r="BB153" s="417"/>
      <c r="BC153" s="153"/>
      <c r="BD153" s="417"/>
    </row>
    <row r="154" ht="21.75" customHeight="1">
      <c r="A154" s="111">
        <v>501.0</v>
      </c>
      <c r="B154" s="56" t="str">
        <f>VLOOKUP($A154,LocalisationRemorque,2,0)</f>
        <v>Habay-La-Neuve</v>
      </c>
      <c r="C154" s="57" t="str">
        <f>VLOOKUP($A154,LocalisationRemorque,3,0)</f>
        <v>Truck center</v>
      </c>
      <c r="D154" s="59" t="str">
        <f>CONCATENATE(VLOOKUP($A154,LocalisationRemorque,6,0)," ► ",VLOOKUP($A154,LocalisationRemorque,5,0))</f>
        <v>Habay-La-Neuve ► Étalle</v>
      </c>
      <c r="E154" s="465"/>
      <c r="F154" s="63"/>
      <c r="G154" s="68" t="s">
        <v>294</v>
      </c>
      <c r="H154" s="66"/>
      <c r="I154" s="67"/>
      <c r="J154" s="71"/>
      <c r="K154" s="68" t="s">
        <v>294</v>
      </c>
      <c r="L154" s="66"/>
      <c r="M154" s="67"/>
      <c r="N154" s="466"/>
      <c r="O154" s="467" t="s">
        <v>294</v>
      </c>
      <c r="P154" s="78"/>
      <c r="Q154" s="465"/>
      <c r="R154" s="466"/>
      <c r="S154" s="467" t="s">
        <v>294</v>
      </c>
      <c r="T154" s="78"/>
      <c r="U154" s="465"/>
      <c r="V154" s="466"/>
      <c r="W154" s="467" t="s">
        <v>294</v>
      </c>
      <c r="X154" s="78"/>
      <c r="Y154" s="465"/>
      <c r="Z154" s="466"/>
      <c r="AA154" s="467" t="s">
        <v>294</v>
      </c>
      <c r="AB154" s="66"/>
      <c r="AC154" s="465"/>
      <c r="AD154" s="63"/>
      <c r="AE154" s="68" t="s">
        <v>294</v>
      </c>
      <c r="AF154" s="66"/>
      <c r="AG154" s="104"/>
      <c r="AH154" s="63"/>
      <c r="AI154" s="68" t="s">
        <v>294</v>
      </c>
      <c r="AJ154" s="101"/>
      <c r="AK154" s="468"/>
      <c r="AL154" s="466"/>
      <c r="AM154" s="467" t="s">
        <v>294</v>
      </c>
      <c r="AN154" s="101"/>
      <c r="AO154" s="67"/>
      <c r="AP154" s="63"/>
      <c r="AQ154" s="68" t="s">
        <v>294</v>
      </c>
      <c r="AR154" s="407"/>
      <c r="AS154" s="67"/>
      <c r="AT154" s="466"/>
      <c r="AU154" s="467" t="s">
        <v>294</v>
      </c>
      <c r="AV154" s="101"/>
      <c r="AW154" s="468"/>
      <c r="AX154" s="466"/>
      <c r="AY154" s="467" t="s">
        <v>294</v>
      </c>
      <c r="AZ154" s="101"/>
      <c r="BA154" s="88"/>
      <c r="BB154" s="88"/>
      <c r="BC154" s="106"/>
      <c r="BD154" s="88"/>
    </row>
    <row r="155" ht="21.75" customHeight="1">
      <c r="A155" s="80">
        <v>502.0</v>
      </c>
      <c r="B155" s="81" t="str">
        <f>VLOOKUP($A155,LocalisationRemorque,2,0)</f>
        <v>Bastogne</v>
      </c>
      <c r="C155" s="82" t="str">
        <f>VLOOKUP($A155,LocalisationRemorque,3,0)</f>
        <v>Entre Foy et Noville</v>
      </c>
      <c r="D155" s="83" t="str">
        <f>CONCATENATE(VLOOKUP($A155,LocalisationRemorque,6,0)," ► ",VLOOKUP($A155,LocalisationRemorque,5,0))</f>
        <v>Bastogne ► Houffalize</v>
      </c>
      <c r="E155" s="469" t="s">
        <v>294</v>
      </c>
      <c r="F155" s="85"/>
      <c r="G155" s="86" t="s">
        <v>19</v>
      </c>
      <c r="H155" s="90"/>
      <c r="I155" s="469" t="s">
        <v>294</v>
      </c>
      <c r="J155" s="89"/>
      <c r="K155" s="86" t="s">
        <v>19</v>
      </c>
      <c r="L155" s="90"/>
      <c r="M155" s="469" t="s">
        <v>294</v>
      </c>
      <c r="N155" s="470"/>
      <c r="O155" s="86" t="s">
        <v>19</v>
      </c>
      <c r="P155" s="87"/>
      <c r="Q155" s="469" t="s">
        <v>294</v>
      </c>
      <c r="R155" s="470"/>
      <c r="S155" s="86" t="s">
        <v>19</v>
      </c>
      <c r="T155" s="87"/>
      <c r="U155" s="469" t="s">
        <v>294</v>
      </c>
      <c r="V155" s="470"/>
      <c r="W155" s="86" t="s">
        <v>19</v>
      </c>
      <c r="X155" s="87"/>
      <c r="Y155" s="471" t="s">
        <v>294</v>
      </c>
      <c r="Z155" s="470"/>
      <c r="AA155" s="86" t="s">
        <v>19</v>
      </c>
      <c r="AB155" s="90"/>
      <c r="AC155" s="165" t="s">
        <v>294</v>
      </c>
      <c r="AD155" s="85"/>
      <c r="AE155" s="109"/>
      <c r="AF155" s="90"/>
      <c r="AG155" s="95" t="s">
        <v>294</v>
      </c>
      <c r="AH155" s="85"/>
      <c r="AI155" s="91"/>
      <c r="AJ155" s="93"/>
      <c r="AK155" s="165" t="s">
        <v>294</v>
      </c>
      <c r="AL155" s="470"/>
      <c r="AM155" s="86"/>
      <c r="AN155" s="93"/>
      <c r="AO155" s="84" t="s">
        <v>294</v>
      </c>
      <c r="AP155" s="85"/>
      <c r="AQ155" s="86"/>
      <c r="AR155" s="349"/>
      <c r="AS155" s="84" t="s">
        <v>294</v>
      </c>
      <c r="AT155" s="470"/>
      <c r="AU155" s="86"/>
      <c r="AV155" s="93"/>
      <c r="AW155" s="165" t="s">
        <v>294</v>
      </c>
      <c r="AX155" s="470"/>
      <c r="AY155" s="86"/>
      <c r="AZ155" s="93"/>
      <c r="BA155" s="77" t="s">
        <v>17</v>
      </c>
      <c r="BB155" s="77"/>
      <c r="BC155" s="159" t="s">
        <v>28</v>
      </c>
      <c r="BD155" s="77"/>
    </row>
    <row r="156" ht="21.75" hidden="1" customHeight="1">
      <c r="A156" s="53"/>
      <c r="B156" s="56" t="str">
        <f>VLOOKUP($A156,LocalisationRemorque,2,0)</f>
        <v> Remorque non listée</v>
      </c>
      <c r="C156" s="57" t="str">
        <f>VLOOKUP($A156,LocalisationRemorque,3,0)</f>
        <v/>
      </c>
      <c r="D156" s="59" t="str">
        <f>CONCATENATE(VLOOKUP($A156,LocalisationRemorque,6,0)," ► ",VLOOKUP($A156,LocalisationRemorque,5,0))</f>
        <v> ► </v>
      </c>
      <c r="E156" s="469" t="s">
        <v>294</v>
      </c>
      <c r="F156" s="63"/>
      <c r="G156" s="68" t="s">
        <v>19</v>
      </c>
      <c r="H156" s="66"/>
      <c r="I156" s="469" t="s">
        <v>294</v>
      </c>
      <c r="J156" s="71"/>
      <c r="K156" s="68" t="s">
        <v>19</v>
      </c>
      <c r="L156" s="66"/>
      <c r="M156" s="469" t="s">
        <v>294</v>
      </c>
      <c r="N156" s="472"/>
      <c r="O156" s="68" t="s">
        <v>19</v>
      </c>
      <c r="P156" s="78"/>
      <c r="Q156" s="469" t="s">
        <v>294</v>
      </c>
      <c r="R156" s="472"/>
      <c r="S156" s="68" t="s">
        <v>19</v>
      </c>
      <c r="T156" s="78"/>
      <c r="U156" s="469" t="s">
        <v>294</v>
      </c>
      <c r="V156" s="472"/>
      <c r="W156" s="68" t="s">
        <v>19</v>
      </c>
      <c r="X156" s="78"/>
      <c r="Y156" s="469" t="s">
        <v>294</v>
      </c>
      <c r="Z156" s="472"/>
      <c r="AA156" s="68" t="s">
        <v>19</v>
      </c>
      <c r="AB156" s="66"/>
      <c r="AC156" s="67"/>
      <c r="AD156" s="63"/>
      <c r="AE156" s="64"/>
      <c r="AF156" s="66"/>
      <c r="AG156" s="104"/>
      <c r="AH156" s="63"/>
      <c r="AI156" s="99"/>
      <c r="AJ156" s="101"/>
      <c r="AK156" s="473"/>
      <c r="AL156" s="472"/>
      <c r="AM156" s="68"/>
      <c r="AN156" s="101"/>
      <c r="AO156" s="67"/>
      <c r="AP156" s="63"/>
      <c r="AQ156" s="68"/>
      <c r="AR156" s="407"/>
      <c r="AS156" s="67"/>
      <c r="AT156" s="472"/>
      <c r="AU156" s="68"/>
      <c r="AV156" s="101"/>
      <c r="AW156" s="473"/>
      <c r="AX156" s="472"/>
      <c r="AY156" s="68"/>
      <c r="AZ156" s="101"/>
      <c r="BA156" s="70" t="s">
        <v>17</v>
      </c>
      <c r="BB156" s="70"/>
      <c r="BC156" s="79"/>
      <c r="BD156" s="70"/>
    </row>
    <row r="157" ht="21.75" hidden="1" customHeight="1">
      <c r="A157" s="113"/>
      <c r="B157" s="81" t="str">
        <f>VLOOKUP($A157,LocalisationRemorque,2,0)</f>
        <v> Remorque non listée</v>
      </c>
      <c r="C157" s="82" t="str">
        <f>VLOOKUP($A157,LocalisationRemorque,3,0)</f>
        <v/>
      </c>
      <c r="D157" s="83" t="str">
        <f>CONCATENATE(VLOOKUP($A157,LocalisationRemorque,6,0)," ► ",VLOOKUP($A157,LocalisationRemorque,5,0))</f>
        <v> ► </v>
      </c>
      <c r="E157" s="469" t="s">
        <v>294</v>
      </c>
      <c r="F157" s="85"/>
      <c r="G157" s="86" t="s">
        <v>19</v>
      </c>
      <c r="H157" s="90"/>
      <c r="I157" s="469" t="s">
        <v>294</v>
      </c>
      <c r="J157" s="89"/>
      <c r="K157" s="86" t="s">
        <v>19</v>
      </c>
      <c r="L157" s="90"/>
      <c r="M157" s="469" t="s">
        <v>294</v>
      </c>
      <c r="N157" s="85"/>
      <c r="O157" s="86" t="s">
        <v>19</v>
      </c>
      <c r="P157" s="87"/>
      <c r="Q157" s="469" t="s">
        <v>294</v>
      </c>
      <c r="R157" s="474"/>
      <c r="S157" s="86" t="s">
        <v>19</v>
      </c>
      <c r="T157" s="87"/>
      <c r="U157" s="469" t="s">
        <v>294</v>
      </c>
      <c r="V157" s="85"/>
      <c r="W157" s="86" t="s">
        <v>19</v>
      </c>
      <c r="X157" s="87"/>
      <c r="Y157" s="469" t="s">
        <v>294</v>
      </c>
      <c r="Z157" s="85"/>
      <c r="AA157" s="86" t="s">
        <v>19</v>
      </c>
      <c r="AB157" s="90"/>
      <c r="AC157" s="84"/>
      <c r="AD157" s="85"/>
      <c r="AE157" s="109"/>
      <c r="AF157" s="90"/>
      <c r="AG157" s="95"/>
      <c r="AH157" s="85"/>
      <c r="AI157" s="91"/>
      <c r="AJ157" s="93"/>
      <c r="AK157" s="84"/>
      <c r="AL157" s="85"/>
      <c r="AM157" s="86"/>
      <c r="AN157" s="93"/>
      <c r="AO157" s="84"/>
      <c r="AP157" s="85"/>
      <c r="AQ157" s="86"/>
      <c r="AR157" s="349"/>
      <c r="AS157" s="84"/>
      <c r="AT157" s="85"/>
      <c r="AU157" s="86"/>
      <c r="AV157" s="93"/>
      <c r="AW157" s="84"/>
      <c r="AX157" s="85"/>
      <c r="AY157" s="86"/>
      <c r="AZ157" s="93"/>
      <c r="BA157" s="77" t="s">
        <v>17</v>
      </c>
      <c r="BB157" s="77"/>
      <c r="BC157" s="97"/>
      <c r="BD157" s="77"/>
    </row>
    <row r="158" ht="21.75" customHeight="1">
      <c r="A158" s="111">
        <v>505.0</v>
      </c>
      <c r="B158" s="56" t="str">
        <f>VLOOKUP($A158,LocalisationRemorque,2,0)</f>
        <v>Bastogne</v>
      </c>
      <c r="C158" s="57" t="str">
        <f>VLOOKUP($A158,LocalisationRemorque,3,0)</f>
        <v>Neffe</v>
      </c>
      <c r="D158" s="59" t="str">
        <f>CONCATENATE(VLOOKUP($A158,LocalisationRemorque,6,0)," ► ",VLOOKUP($A158,LocalisationRemorque,5,0))</f>
        <v>Bastogne ► Clervaux</v>
      </c>
      <c r="E158" s="469" t="s">
        <v>294</v>
      </c>
      <c r="F158" s="63"/>
      <c r="G158" s="68" t="s">
        <v>19</v>
      </c>
      <c r="H158" s="66"/>
      <c r="I158" s="469" t="s">
        <v>294</v>
      </c>
      <c r="J158" s="71"/>
      <c r="K158" s="68" t="s">
        <v>19</v>
      </c>
      <c r="L158" s="66"/>
      <c r="M158" s="469" t="s">
        <v>294</v>
      </c>
      <c r="N158" s="466"/>
      <c r="O158" s="68" t="s">
        <v>19</v>
      </c>
      <c r="P158" s="78"/>
      <c r="Q158" s="469" t="s">
        <v>294</v>
      </c>
      <c r="R158" s="472"/>
      <c r="S158" s="68" t="s">
        <v>19</v>
      </c>
      <c r="T158" s="78"/>
      <c r="U158" s="469" t="s">
        <v>294</v>
      </c>
      <c r="V158" s="466"/>
      <c r="W158" s="68" t="s">
        <v>19</v>
      </c>
      <c r="X158" s="78"/>
      <c r="Y158" s="471" t="s">
        <v>294</v>
      </c>
      <c r="Z158" s="466"/>
      <c r="AA158" s="68" t="s">
        <v>19</v>
      </c>
      <c r="AB158" s="66"/>
      <c r="AC158" s="321" t="s">
        <v>294</v>
      </c>
      <c r="AD158" s="63"/>
      <c r="AE158" s="64"/>
      <c r="AF158" s="66"/>
      <c r="AG158" s="104" t="s">
        <v>294</v>
      </c>
      <c r="AH158" s="63"/>
      <c r="AI158" s="99"/>
      <c r="AJ158" s="101"/>
      <c r="AK158" s="321" t="s">
        <v>294</v>
      </c>
      <c r="AL158" s="466"/>
      <c r="AM158" s="68"/>
      <c r="AN158" s="101"/>
      <c r="AO158" s="67" t="s">
        <v>294</v>
      </c>
      <c r="AP158" s="63"/>
      <c r="AQ158" s="68"/>
      <c r="AR158" s="407"/>
      <c r="AS158" s="67" t="s">
        <v>294</v>
      </c>
      <c r="AT158" s="466"/>
      <c r="AU158" s="68"/>
      <c r="AV158" s="101"/>
      <c r="AW158" s="321" t="s">
        <v>294</v>
      </c>
      <c r="AX158" s="466"/>
      <c r="AY158" s="68"/>
      <c r="AZ158" s="101"/>
      <c r="BA158" s="70" t="s">
        <v>17</v>
      </c>
      <c r="BB158" s="70"/>
      <c r="BC158" s="157" t="s">
        <v>28</v>
      </c>
      <c r="BD158" s="70"/>
    </row>
    <row r="159" ht="21.75" customHeight="1">
      <c r="A159" s="80">
        <v>506.0</v>
      </c>
      <c r="B159" s="81" t="str">
        <f>VLOOKUP($A159,LocalisationRemorque,2,0)</f>
        <v>Bouillon</v>
      </c>
      <c r="C159" s="82" t="str">
        <f>VLOOKUP($A159,LocalisationRemorque,3,0)</f>
        <v>Noirefontaine</v>
      </c>
      <c r="D159" s="83" t="str">
        <f>CONCATENATE(VLOOKUP($A159,LocalisationRemorque,6,0)," ► ",VLOOKUP($A159,LocalisationRemorque,5,0))</f>
        <v>Libramont ► Bouillon</v>
      </c>
      <c r="E159" s="484"/>
      <c r="F159" s="85"/>
      <c r="G159" s="86" t="s">
        <v>294</v>
      </c>
      <c r="H159" s="90"/>
      <c r="I159" s="84"/>
      <c r="J159" s="89"/>
      <c r="K159" s="86" t="s">
        <v>294</v>
      </c>
      <c r="L159" s="90"/>
      <c r="M159" s="84"/>
      <c r="N159" s="85"/>
      <c r="O159" s="485" t="s">
        <v>294</v>
      </c>
      <c r="P159" s="87"/>
      <c r="Q159" s="84"/>
      <c r="R159" s="474"/>
      <c r="S159" s="86" t="s">
        <v>294</v>
      </c>
      <c r="T159" s="87"/>
      <c r="U159" s="84"/>
      <c r="V159" s="85"/>
      <c r="W159" s="485" t="s">
        <v>294</v>
      </c>
      <c r="X159" s="87"/>
      <c r="Y159" s="84"/>
      <c r="Z159" s="85"/>
      <c r="AA159" s="485" t="s">
        <v>294</v>
      </c>
      <c r="AB159" s="90"/>
      <c r="AC159" s="84"/>
      <c r="AD159" s="85"/>
      <c r="AE159" s="86" t="s">
        <v>294</v>
      </c>
      <c r="AF159" s="90"/>
      <c r="AG159" s="95"/>
      <c r="AH159" s="85"/>
      <c r="AI159" s="86" t="s">
        <v>294</v>
      </c>
      <c r="AJ159" s="93"/>
      <c r="AK159" s="84"/>
      <c r="AL159" s="85"/>
      <c r="AM159" s="485" t="s">
        <v>294</v>
      </c>
      <c r="AN159" s="93"/>
      <c r="AO159" s="84"/>
      <c r="AP159" s="85"/>
      <c r="AQ159" s="86" t="s">
        <v>294</v>
      </c>
      <c r="AR159" s="349"/>
      <c r="AS159" s="84"/>
      <c r="AT159" s="85"/>
      <c r="AU159" s="485" t="s">
        <v>294</v>
      </c>
      <c r="AV159" s="93"/>
      <c r="AW159" s="84"/>
      <c r="AX159" s="85"/>
      <c r="AY159" s="485" t="s">
        <v>294</v>
      </c>
      <c r="AZ159" s="93"/>
      <c r="BA159" s="155"/>
      <c r="BB159" s="155"/>
      <c r="BC159" s="128"/>
      <c r="BD159" s="155"/>
    </row>
    <row r="160" ht="21.75" customHeight="1">
      <c r="A160" s="111">
        <v>507.0</v>
      </c>
      <c r="B160" s="56" t="str">
        <f>VLOOKUP($A160,LocalisationRemorque,2,0)</f>
        <v>La Roche en Ardenne</v>
      </c>
      <c r="C160" s="57" t="str">
        <f>VLOOKUP($A160,LocalisationRemorque,3,0)</f>
        <v>Vecmont</v>
      </c>
      <c r="D160" s="59" t="str">
        <f>CONCATENATE(VLOOKUP($A160,LocalisationRemorque,6,0)," ► ",VLOOKUP($A160,LocalisationRemorque,5,0))</f>
        <v>La Roche en Ardenne ► Saint-Hubert</v>
      </c>
      <c r="E160" s="67" t="s">
        <v>294</v>
      </c>
      <c r="F160" s="63"/>
      <c r="G160" s="68"/>
      <c r="H160" s="466"/>
      <c r="I160" s="67" t="s">
        <v>294</v>
      </c>
      <c r="J160" s="71"/>
      <c r="K160" s="64"/>
      <c r="L160" s="66"/>
      <c r="M160" s="321" t="s">
        <v>294</v>
      </c>
      <c r="N160" s="466"/>
      <c r="O160" s="486"/>
      <c r="P160" s="78"/>
      <c r="Q160" s="321" t="s">
        <v>294</v>
      </c>
      <c r="R160" s="472"/>
      <c r="S160" s="68"/>
      <c r="T160" s="78"/>
      <c r="U160" s="321" t="s">
        <v>294</v>
      </c>
      <c r="V160" s="466"/>
      <c r="W160" s="487"/>
      <c r="X160" s="78"/>
      <c r="Y160" s="321" t="s">
        <v>294</v>
      </c>
      <c r="Z160" s="466"/>
      <c r="AA160" s="487"/>
      <c r="AB160" s="66"/>
      <c r="AC160" s="321" t="s">
        <v>294</v>
      </c>
      <c r="AD160" s="63"/>
      <c r="AE160" s="64"/>
      <c r="AF160" s="66"/>
      <c r="AG160" s="104" t="s">
        <v>294</v>
      </c>
      <c r="AH160" s="63"/>
      <c r="AI160" s="99"/>
      <c r="AJ160" s="101"/>
      <c r="AK160" s="321" t="s">
        <v>294</v>
      </c>
      <c r="AL160" s="466"/>
      <c r="AM160" s="487"/>
      <c r="AN160" s="101"/>
      <c r="AO160" s="67" t="s">
        <v>294</v>
      </c>
      <c r="AP160" s="63"/>
      <c r="AQ160" s="68"/>
      <c r="AR160" s="407"/>
      <c r="AS160" s="67" t="s">
        <v>294</v>
      </c>
      <c r="AT160" s="466"/>
      <c r="AU160" s="487"/>
      <c r="AV160" s="101"/>
      <c r="AW160" s="321" t="s">
        <v>294</v>
      </c>
      <c r="AX160" s="466"/>
      <c r="AY160" s="67"/>
      <c r="AZ160" s="101"/>
      <c r="BA160" s="70" t="s">
        <v>17</v>
      </c>
      <c r="BB160" s="70"/>
      <c r="BC160" s="79"/>
      <c r="BD160" s="70"/>
    </row>
    <row r="161" ht="21.75" customHeight="1">
      <c r="A161" s="80">
        <v>508.0</v>
      </c>
      <c r="B161" s="81" t="str">
        <f>VLOOKUP($A161,LocalisationRemorque,2,0)</f>
        <v>Etalle</v>
      </c>
      <c r="C161" s="82" t="str">
        <f>VLOOKUP($A161,LocalisationRemorque,3,0)</f>
        <v>Vance</v>
      </c>
      <c r="D161" s="83" t="str">
        <f>CONCATENATE(VLOOKUP($A161,LocalisationRemorque,6,0)," ► ",VLOOKUP($A161,LocalisationRemorque,5,0))</f>
        <v>Arlon ► Étalle</v>
      </c>
      <c r="E161" s="489"/>
      <c r="F161" s="85"/>
      <c r="G161" s="86" t="s">
        <v>294</v>
      </c>
      <c r="H161" s="90"/>
      <c r="I161" s="84"/>
      <c r="J161" s="89"/>
      <c r="K161" s="86" t="s">
        <v>294</v>
      </c>
      <c r="L161" s="90"/>
      <c r="M161" s="84"/>
      <c r="N161" s="470"/>
      <c r="O161" s="485" t="s">
        <v>294</v>
      </c>
      <c r="P161" s="87"/>
      <c r="Q161" s="489"/>
      <c r="R161" s="474"/>
      <c r="S161" s="86" t="s">
        <v>294</v>
      </c>
      <c r="T161" s="87"/>
      <c r="U161" s="490"/>
      <c r="V161" s="470"/>
      <c r="W161" s="485" t="s">
        <v>294</v>
      </c>
      <c r="X161" s="87"/>
      <c r="Y161" s="489"/>
      <c r="Z161" s="470"/>
      <c r="AA161" s="485" t="s">
        <v>294</v>
      </c>
      <c r="AB161" s="90"/>
      <c r="AC161" s="165"/>
      <c r="AD161" s="85"/>
      <c r="AE161" s="86" t="s">
        <v>294</v>
      </c>
      <c r="AF161" s="90"/>
      <c r="AG161" s="95"/>
      <c r="AH161" s="85"/>
      <c r="AI161" s="86" t="s">
        <v>294</v>
      </c>
      <c r="AJ161" s="93"/>
      <c r="AK161" s="490"/>
      <c r="AL161" s="470"/>
      <c r="AM161" s="485" t="s">
        <v>294</v>
      </c>
      <c r="AN161" s="93"/>
      <c r="AO161" s="84"/>
      <c r="AP161" s="85"/>
      <c r="AQ161" s="86" t="s">
        <v>294</v>
      </c>
      <c r="AR161" s="349"/>
      <c r="AS161" s="84"/>
      <c r="AT161" s="470"/>
      <c r="AU161" s="485" t="s">
        <v>294</v>
      </c>
      <c r="AV161" s="93"/>
      <c r="AW161" s="489"/>
      <c r="AX161" s="470"/>
      <c r="AY161" s="485" t="s">
        <v>294</v>
      </c>
      <c r="AZ161" s="93"/>
      <c r="BA161" s="155"/>
      <c r="BB161" s="155"/>
      <c r="BC161" s="128"/>
      <c r="BD161" s="155"/>
    </row>
    <row r="162" ht="21.75" customHeight="1">
      <c r="A162" s="111">
        <v>509.0</v>
      </c>
      <c r="B162" s="56" t="str">
        <f>VLOOKUP($A162,LocalisationRemorque,2,0)</f>
        <v>Gouvy</v>
      </c>
      <c r="C162" s="57" t="str">
        <f>VLOOKUP($A162,LocalisationRemorque,3,0)</f>
        <v>Cherain</v>
      </c>
      <c r="D162" s="59" t="str">
        <f>CONCATENATE(VLOOKUP($A162,LocalisationRemorque,6,0)," ► ",VLOOKUP($A162,LocalisationRemorque,5,0))</f>
        <v>Houffalize ► Gouvy</v>
      </c>
      <c r="E162" s="124"/>
      <c r="F162" s="63"/>
      <c r="G162" s="68"/>
      <c r="H162" s="66"/>
      <c r="I162" s="67"/>
      <c r="J162" s="71"/>
      <c r="K162" s="64"/>
      <c r="L162" s="66"/>
      <c r="M162" s="468"/>
      <c r="N162" s="466"/>
      <c r="O162" s="487"/>
      <c r="P162" s="78"/>
      <c r="Q162" s="67"/>
      <c r="R162" s="472"/>
      <c r="S162" s="68"/>
      <c r="T162" s="78"/>
      <c r="U162" s="468"/>
      <c r="V162" s="466"/>
      <c r="W162" s="487"/>
      <c r="X162" s="78"/>
      <c r="Y162" s="465"/>
      <c r="Z162" s="466"/>
      <c r="AA162" s="487"/>
      <c r="AB162" s="66"/>
      <c r="AC162" s="67"/>
      <c r="AD162" s="63"/>
      <c r="AE162" s="64"/>
      <c r="AF162" s="66"/>
      <c r="AG162" s="104"/>
      <c r="AH162" s="63"/>
      <c r="AI162" s="99"/>
      <c r="AJ162" s="101"/>
      <c r="AK162" s="468"/>
      <c r="AL162" s="466"/>
      <c r="AM162" s="487"/>
      <c r="AN162" s="101"/>
      <c r="AO162" s="67"/>
      <c r="AP162" s="63"/>
      <c r="AQ162" s="68"/>
      <c r="AR162" s="407"/>
      <c r="AS162" s="67"/>
      <c r="AT162" s="466"/>
      <c r="AU162" s="487"/>
      <c r="AV162" s="101"/>
      <c r="AW162" s="465"/>
      <c r="AX162" s="466"/>
      <c r="AY162" s="487"/>
      <c r="AZ162" s="101"/>
      <c r="BA162" s="70" t="s">
        <v>17</v>
      </c>
      <c r="BB162" s="70"/>
      <c r="BC162" s="79"/>
      <c r="BD162" s="70"/>
    </row>
    <row r="163" ht="21.75" customHeight="1">
      <c r="A163" s="113">
        <v>510.0</v>
      </c>
      <c r="B163" s="81" t="str">
        <f>VLOOKUP($A163,LocalisationRemorque,2,0)</f>
        <v>Libramont</v>
      </c>
      <c r="C163" s="82" t="str">
        <f>VLOOKUP($A163,LocalisationRemorque,3,0)</f>
        <v>Verlaine</v>
      </c>
      <c r="D163" s="83" t="str">
        <f>CONCATENATE(VLOOKUP($A163,LocalisationRemorque,6,0)," ► ",VLOOKUP($A163,LocalisationRemorque,5,0))</f>
        <v>Libramont ► Neufchateau</v>
      </c>
      <c r="E163" s="84" t="s">
        <v>294</v>
      </c>
      <c r="F163" s="85"/>
      <c r="G163" s="109"/>
      <c r="H163" s="90"/>
      <c r="I163" s="84" t="s">
        <v>294</v>
      </c>
      <c r="J163" s="89"/>
      <c r="K163" s="485"/>
      <c r="L163" s="90"/>
      <c r="M163" s="165" t="s">
        <v>294</v>
      </c>
      <c r="N163" s="470"/>
      <c r="O163" s="494"/>
      <c r="P163" s="87"/>
      <c r="Q163" s="165" t="s">
        <v>294</v>
      </c>
      <c r="R163" s="474"/>
      <c r="S163" s="86"/>
      <c r="T163" s="87"/>
      <c r="U163" s="165" t="s">
        <v>294</v>
      </c>
      <c r="V163" s="470"/>
      <c r="W163" s="495"/>
      <c r="X163" s="87"/>
      <c r="Y163" s="165" t="s">
        <v>294</v>
      </c>
      <c r="Z163" s="470"/>
      <c r="AA163" s="495"/>
      <c r="AB163" s="90"/>
      <c r="AC163" s="165" t="s">
        <v>294</v>
      </c>
      <c r="AD163" s="85"/>
      <c r="AE163" s="109"/>
      <c r="AF163" s="90"/>
      <c r="AG163" s="95" t="s">
        <v>294</v>
      </c>
      <c r="AH163" s="85"/>
      <c r="AI163" s="91"/>
      <c r="AJ163" s="93"/>
      <c r="AK163" s="165" t="s">
        <v>294</v>
      </c>
      <c r="AL163" s="470"/>
      <c r="AM163" s="495"/>
      <c r="AN163" s="93"/>
      <c r="AO163" s="84" t="s">
        <v>294</v>
      </c>
      <c r="AP163" s="85"/>
      <c r="AQ163" s="86"/>
      <c r="AR163" s="349"/>
      <c r="AS163" s="84" t="s">
        <v>294</v>
      </c>
      <c r="AT163" s="470"/>
      <c r="AU163" s="495"/>
      <c r="AV163" s="93"/>
      <c r="AW163" s="165" t="s">
        <v>294</v>
      </c>
      <c r="AX163" s="470"/>
      <c r="AY163" s="495"/>
      <c r="AZ163" s="93"/>
      <c r="BA163" s="77" t="s">
        <v>17</v>
      </c>
      <c r="BB163" s="77"/>
      <c r="BC163" s="97"/>
      <c r="BD163" s="77"/>
    </row>
    <row r="164" ht="21.75" hidden="1" customHeight="1">
      <c r="A164" s="496"/>
      <c r="B164" s="56" t="str">
        <f>VLOOKUP($A164,LocalisationRemorque,2,0)</f>
        <v> Remorque non listée</v>
      </c>
      <c r="C164" s="57" t="str">
        <f>VLOOKUP($A164,LocalisationRemorque,3,0)</f>
        <v/>
      </c>
      <c r="D164" s="59" t="str">
        <f>CONCATENATE(VLOOKUP($A164,LocalisationRemorque,6,0)," ► ",VLOOKUP($A164,LocalisationRemorque,5,0))</f>
        <v> ► </v>
      </c>
      <c r="E164" s="465"/>
      <c r="F164" s="466"/>
      <c r="G164" s="487"/>
      <c r="H164" s="66"/>
      <c r="I164" s="67"/>
      <c r="J164" s="71"/>
      <c r="K164" s="64"/>
      <c r="L164" s="66"/>
      <c r="M164" s="468"/>
      <c r="N164" s="466"/>
      <c r="O164" s="487"/>
      <c r="P164" s="78"/>
      <c r="Q164" s="465"/>
      <c r="R164" s="466"/>
      <c r="S164" s="487"/>
      <c r="T164" s="78"/>
      <c r="U164" s="468"/>
      <c r="V164" s="466"/>
      <c r="W164" s="487"/>
      <c r="X164" s="78"/>
      <c r="Y164" s="468"/>
      <c r="Z164" s="466"/>
      <c r="AA164" s="487"/>
      <c r="AB164" s="66"/>
      <c r="AC164" s="465"/>
      <c r="AD164" s="63"/>
      <c r="AE164" s="64"/>
      <c r="AF164" s="66"/>
      <c r="AG164" s="104"/>
      <c r="AH164" s="63"/>
      <c r="AI164" s="99"/>
      <c r="AJ164" s="101"/>
      <c r="AK164" s="465"/>
      <c r="AL164" s="466"/>
      <c r="AM164" s="487"/>
      <c r="AN164" s="101"/>
      <c r="AO164" s="67"/>
      <c r="AP164" s="63"/>
      <c r="AQ164" s="68"/>
      <c r="AR164" s="407"/>
      <c r="AS164" s="67"/>
      <c r="AT164" s="466"/>
      <c r="AU164" s="487"/>
      <c r="AV164" s="101"/>
      <c r="AW164" s="156"/>
      <c r="AX164" s="100"/>
      <c r="AY164" s="99"/>
      <c r="AZ164" s="101"/>
      <c r="BA164" s="88"/>
      <c r="BB164" s="88"/>
      <c r="BC164" s="106"/>
      <c r="BD164" s="88"/>
    </row>
    <row r="165" ht="21.75" hidden="1" customHeight="1">
      <c r="A165" s="113"/>
      <c r="B165" s="81" t="str">
        <f>VLOOKUP($A165,LocalisationRemorque,2,0)</f>
        <v> Remorque non listée</v>
      </c>
      <c r="C165" s="82" t="str">
        <f>VLOOKUP($A165,LocalisationRemorque,3,0)</f>
        <v/>
      </c>
      <c r="D165" s="83" t="str">
        <f>CONCATENATE(VLOOKUP($A165,LocalisationRemorque,6,0)," ► ",VLOOKUP($A165,LocalisationRemorque,5,0))</f>
        <v> ► </v>
      </c>
      <c r="E165" s="409"/>
      <c r="F165" s="85"/>
      <c r="G165" s="109"/>
      <c r="H165" s="90"/>
      <c r="I165" s="84"/>
      <c r="J165" s="89"/>
      <c r="K165" s="109"/>
      <c r="L165" s="90"/>
      <c r="M165" s="84"/>
      <c r="N165" s="470"/>
      <c r="O165" s="494"/>
      <c r="P165" s="87"/>
      <c r="Q165" s="84"/>
      <c r="R165" s="89"/>
      <c r="S165" s="447"/>
      <c r="T165" s="87"/>
      <c r="U165" s="84"/>
      <c r="V165" s="85"/>
      <c r="W165" s="86"/>
      <c r="X165" s="87"/>
      <c r="Y165" s="84"/>
      <c r="Z165" s="85"/>
      <c r="AA165" s="109"/>
      <c r="AB165" s="90"/>
      <c r="AC165" s="84"/>
      <c r="AD165" s="85"/>
      <c r="AE165" s="109"/>
      <c r="AF165" s="90"/>
      <c r="AG165" s="95"/>
      <c r="AH165" s="85"/>
      <c r="AI165" s="91"/>
      <c r="AJ165" s="93"/>
      <c r="AK165" s="84"/>
      <c r="AL165" s="89"/>
      <c r="AM165" s="86"/>
      <c r="AN165" s="93"/>
      <c r="AO165" s="84"/>
      <c r="AP165" s="85"/>
      <c r="AQ165" s="86"/>
      <c r="AR165" s="349"/>
      <c r="AS165" s="84"/>
      <c r="AT165" s="92"/>
      <c r="AU165" s="96"/>
      <c r="AV165" s="93"/>
      <c r="AW165" s="126"/>
      <c r="AX165" s="92"/>
      <c r="AY165" s="91"/>
      <c r="AZ165" s="93"/>
      <c r="BA165" s="77" t="s">
        <v>17</v>
      </c>
      <c r="BB165" s="77"/>
      <c r="BC165" s="97"/>
      <c r="BD165" s="77"/>
    </row>
    <row r="166" ht="21.75" customHeight="1">
      <c r="A166" s="111">
        <v>527.0</v>
      </c>
      <c r="B166" s="56" t="str">
        <f>VLOOKUP($A166,LocalisationRemorque,2,0)</f>
        <v>Tenneville</v>
      </c>
      <c r="C166" s="57" t="str">
        <f>VLOOKUP($A166,LocalisationRemorque,3,0)</f>
        <v>Moriville</v>
      </c>
      <c r="D166" s="59" t="str">
        <f>CONCATENATE(VLOOKUP($A166,LocalisationRemorque,6,0)," ► ",VLOOKUP($A166,LocalisationRemorque,5,0))</f>
        <v>Barrière Hinck ► Tenneville</v>
      </c>
      <c r="E166" s="67"/>
      <c r="F166" s="63"/>
      <c r="G166" s="64"/>
      <c r="H166" s="66"/>
      <c r="I166" s="67"/>
      <c r="J166" s="71"/>
      <c r="K166" s="64"/>
      <c r="L166" s="66"/>
      <c r="M166" s="67"/>
      <c r="N166" s="466"/>
      <c r="O166" s="487"/>
      <c r="P166" s="78"/>
      <c r="Q166" s="67"/>
      <c r="R166" s="71"/>
      <c r="S166" s="160"/>
      <c r="T166" s="78"/>
      <c r="U166" s="67"/>
      <c r="V166" s="63"/>
      <c r="W166" s="68"/>
      <c r="X166" s="78"/>
      <c r="Y166" s="67"/>
      <c r="Z166" s="63"/>
      <c r="AA166" s="64"/>
      <c r="AB166" s="66"/>
      <c r="AC166" s="67"/>
      <c r="AD166" s="63"/>
      <c r="AE166" s="64"/>
      <c r="AF166" s="66"/>
      <c r="AG166" s="104"/>
      <c r="AH166" s="63"/>
      <c r="AI166" s="99"/>
      <c r="AJ166" s="101"/>
      <c r="AK166" s="67"/>
      <c r="AL166" s="71"/>
      <c r="AM166" s="68"/>
      <c r="AN166" s="101"/>
      <c r="AO166" s="67"/>
      <c r="AP166" s="63"/>
      <c r="AQ166" s="68"/>
      <c r="AR166" s="407"/>
      <c r="AS166" s="67"/>
      <c r="AT166" s="100"/>
      <c r="AU166" s="105"/>
      <c r="AV166" s="101"/>
      <c r="AW166" s="156"/>
      <c r="AX166" s="100"/>
      <c r="AY166" s="99"/>
      <c r="AZ166" s="101"/>
      <c r="BA166" s="70" t="s">
        <v>17</v>
      </c>
      <c r="BB166" s="70"/>
      <c r="BC166" s="79"/>
      <c r="BD166" s="70"/>
    </row>
    <row r="167" ht="21.75" customHeight="1">
      <c r="A167" s="80">
        <v>512.0</v>
      </c>
      <c r="B167" s="81" t="str">
        <f>VLOOKUP($A167,LocalisationRemorque,2,0)</f>
        <v>Tenneville</v>
      </c>
      <c r="C167" s="82" t="str">
        <f>VLOOKUP($A167,LocalisationRemorque,3,0)</f>
        <v>Tenneville</v>
      </c>
      <c r="D167" s="83" t="str">
        <f>CONCATENATE(VLOOKUP($A167,LocalisationRemorque,6,0)," ► ",VLOOKUP($A167,LocalisationRemorque,5,0))</f>
        <v>Marche-en-Famenne ► Bastogne</v>
      </c>
      <c r="E167" s="84" t="s">
        <v>294</v>
      </c>
      <c r="F167" s="85"/>
      <c r="G167" s="109"/>
      <c r="H167" s="90"/>
      <c r="I167" s="84" t="s">
        <v>294</v>
      </c>
      <c r="J167" s="89"/>
      <c r="K167" s="109"/>
      <c r="L167" s="90"/>
      <c r="M167" s="165" t="s">
        <v>294</v>
      </c>
      <c r="N167" s="470"/>
      <c r="O167" s="495"/>
      <c r="P167" s="87"/>
      <c r="Q167" s="165" t="s">
        <v>294</v>
      </c>
      <c r="R167" s="89"/>
      <c r="S167" s="447"/>
      <c r="T167" s="87"/>
      <c r="U167" s="165" t="s">
        <v>294</v>
      </c>
      <c r="V167" s="85"/>
      <c r="W167" s="86"/>
      <c r="X167" s="87"/>
      <c r="Y167" s="165" t="s">
        <v>294</v>
      </c>
      <c r="Z167" s="85"/>
      <c r="AA167" s="109"/>
      <c r="AB167" s="90"/>
      <c r="AC167" s="165" t="s">
        <v>29</v>
      </c>
      <c r="AD167" s="85"/>
      <c r="AE167" s="86" t="s">
        <v>294</v>
      </c>
      <c r="AF167" s="90"/>
      <c r="AG167" s="95" t="s">
        <v>29</v>
      </c>
      <c r="AH167" s="85"/>
      <c r="AI167" s="86" t="s">
        <v>294</v>
      </c>
      <c r="AJ167" s="93"/>
      <c r="AK167" s="165"/>
      <c r="AL167" s="89"/>
      <c r="AM167" s="165" t="s">
        <v>294</v>
      </c>
      <c r="AN167" s="93"/>
      <c r="AO167" s="84" t="s">
        <v>29</v>
      </c>
      <c r="AP167" s="85"/>
      <c r="AQ167" s="84" t="s">
        <v>294</v>
      </c>
      <c r="AR167" s="349"/>
      <c r="AS167" s="84" t="s">
        <v>294</v>
      </c>
      <c r="AT167" s="92"/>
      <c r="AU167" s="96"/>
      <c r="AV167" s="93"/>
      <c r="AW167" s="165" t="s">
        <v>294</v>
      </c>
      <c r="AX167" s="92"/>
      <c r="AY167" s="91"/>
      <c r="AZ167" s="93"/>
      <c r="BA167" s="77" t="s">
        <v>17</v>
      </c>
      <c r="BB167" s="77"/>
      <c r="BC167" s="97"/>
      <c r="BD167" s="77"/>
    </row>
    <row r="168" ht="21.75" customHeight="1">
      <c r="A168" s="111">
        <v>513.0</v>
      </c>
      <c r="B168" s="56" t="str">
        <f>VLOOKUP($A168,LocalisationRemorque,2,0)</f>
        <v>Saint Vith</v>
      </c>
      <c r="C168" s="57" t="str">
        <f>VLOOKUP($A168,LocalisationRemorque,3,0)</f>
        <v>Hotel Furellenhof </v>
      </c>
      <c r="D168" s="59" t="str">
        <f>CONCATENATE(VLOOKUP($A168,LocalisationRemorque,6,0)," ► ",VLOOKUP($A168,LocalisationRemorque,5,0))</f>
        <v>Saint-Vith ► Luxembourg</v>
      </c>
      <c r="E168" s="67"/>
      <c r="F168" s="63"/>
      <c r="G168" s="64"/>
      <c r="H168" s="66"/>
      <c r="I168" s="67"/>
      <c r="J168" s="71"/>
      <c r="K168" s="64"/>
      <c r="L168" s="66"/>
      <c r="M168" s="468"/>
      <c r="N168" s="466"/>
      <c r="O168" s="487"/>
      <c r="P168" s="78"/>
      <c r="Q168" s="67"/>
      <c r="R168" s="71"/>
      <c r="S168" s="160"/>
      <c r="T168" s="78"/>
      <c r="U168" s="67"/>
      <c r="V168" s="63"/>
      <c r="W168" s="68"/>
      <c r="X168" s="78"/>
      <c r="Y168" s="67"/>
      <c r="Z168" s="63"/>
      <c r="AA168" s="68"/>
      <c r="AB168" s="66"/>
      <c r="AC168" s="67"/>
      <c r="AD168" s="63"/>
      <c r="AE168" s="64"/>
      <c r="AF168" s="66"/>
      <c r="AG168" s="104"/>
      <c r="AH168" s="63"/>
      <c r="AI168" s="99"/>
      <c r="AJ168" s="101"/>
      <c r="AK168" s="67"/>
      <c r="AL168" s="71"/>
      <c r="AM168" s="68"/>
      <c r="AN168" s="101"/>
      <c r="AO168" s="67"/>
      <c r="AP168" s="63"/>
      <c r="AQ168" s="68"/>
      <c r="AR168" s="407"/>
      <c r="AS168" s="67"/>
      <c r="AT168" s="100"/>
      <c r="AU168" s="68"/>
      <c r="AV168" s="101"/>
      <c r="AW168" s="67"/>
      <c r="AX168" s="100"/>
      <c r="AY168" s="99"/>
      <c r="AZ168" s="101"/>
      <c r="BA168" s="70" t="s">
        <v>17</v>
      </c>
      <c r="BB168" s="70"/>
      <c r="BC168" s="79"/>
      <c r="BD168" s="70"/>
    </row>
    <row r="169" ht="21.75" customHeight="1">
      <c r="A169" s="80">
        <v>514.0</v>
      </c>
      <c r="B169" s="81" t="str">
        <f>VLOOKUP($A169,LocalisationRemorque,2,0)</f>
        <v>Burg Reuland</v>
      </c>
      <c r="C169" s="82" t="str">
        <f>VLOOKUP($A169,LocalisationRemorque,3,0)</f>
        <v>East Karting </v>
      </c>
      <c r="D169" s="83" t="str">
        <f>CONCATENATE(VLOOKUP($A169,LocalisationRemorque,6,0)," ► ",VLOOKUP($A169,LocalisationRemorque,5,0))</f>
        <v>Luxembourg ► Saint Vith</v>
      </c>
      <c r="E169" s="84"/>
      <c r="F169" s="85"/>
      <c r="G169" s="86"/>
      <c r="H169" s="90"/>
      <c r="I169" s="84"/>
      <c r="J169" s="89"/>
      <c r="K169" s="86"/>
      <c r="L169" s="90"/>
      <c r="M169" s="490"/>
      <c r="N169" s="470"/>
      <c r="O169" s="494"/>
      <c r="P169" s="87"/>
      <c r="Q169" s="490"/>
      <c r="R169" s="89"/>
      <c r="S169" s="95"/>
      <c r="T169" s="87"/>
      <c r="U169" s="86"/>
      <c r="V169" s="85"/>
      <c r="W169" s="86"/>
      <c r="X169" s="87"/>
      <c r="Y169" s="84"/>
      <c r="Z169" s="85"/>
      <c r="AA169" s="86"/>
      <c r="AB169" s="90"/>
      <c r="AC169" s="84"/>
      <c r="AD169" s="85"/>
      <c r="AE169" s="109"/>
      <c r="AF169" s="90"/>
      <c r="AG169" s="95"/>
      <c r="AH169" s="85"/>
      <c r="AI169" s="91"/>
      <c r="AJ169" s="93"/>
      <c r="AK169" s="84"/>
      <c r="AL169" s="89"/>
      <c r="AM169" s="86"/>
      <c r="AN169" s="93"/>
      <c r="AO169" s="84"/>
      <c r="AP169" s="85"/>
      <c r="AQ169" s="86"/>
      <c r="AR169" s="349"/>
      <c r="AS169" s="84"/>
      <c r="AT169" s="92"/>
      <c r="AU169" s="86"/>
      <c r="AV169" s="93"/>
      <c r="AW169" s="84"/>
      <c r="AX169" s="92"/>
      <c r="AY169" s="86"/>
      <c r="AZ169" s="93"/>
      <c r="BA169" s="77" t="s">
        <v>17</v>
      </c>
      <c r="BB169" s="77"/>
      <c r="BC169" s="97"/>
      <c r="BD169" s="77"/>
    </row>
    <row r="170" ht="21.75" customHeight="1">
      <c r="A170" s="111">
        <v>515.0</v>
      </c>
      <c r="B170" s="56" t="str">
        <f>VLOOKUP($A170,LocalisationRemorque,2,0)</f>
        <v>Burg Reuland</v>
      </c>
      <c r="C170" s="57" t="str">
        <f>VLOOKUP($A170,LocalisationRemorque,3,0)</f>
        <v>Durler </v>
      </c>
      <c r="D170" s="59" t="str">
        <f>CONCATENATE(VLOOKUP($A170,LocalisationRemorque,6,0)," ► ",VLOOKUP($A170,LocalisationRemorque,5,0))</f>
        <v>Luxembourg ► Saint Vith</v>
      </c>
      <c r="E170" s="124"/>
      <c r="F170" s="63"/>
      <c r="G170" s="68"/>
      <c r="H170" s="66"/>
      <c r="I170" s="67"/>
      <c r="J170" s="71"/>
      <c r="K170" s="68"/>
      <c r="L170" s="66"/>
      <c r="M170" s="465"/>
      <c r="N170" s="466"/>
      <c r="O170" s="486"/>
      <c r="P170" s="78"/>
      <c r="Q170" s="67"/>
      <c r="R170" s="71"/>
      <c r="S170" s="104"/>
      <c r="T170" s="78"/>
      <c r="U170" s="67"/>
      <c r="V170" s="63"/>
      <c r="W170" s="68"/>
      <c r="X170" s="78"/>
      <c r="Y170" s="67"/>
      <c r="Z170" s="63"/>
      <c r="AA170" s="68"/>
      <c r="AB170" s="66"/>
      <c r="AC170" s="67"/>
      <c r="AD170" s="63"/>
      <c r="AE170" s="64"/>
      <c r="AF170" s="66"/>
      <c r="AG170" s="104"/>
      <c r="AH170" s="63"/>
      <c r="AI170" s="99"/>
      <c r="AJ170" s="101"/>
      <c r="AK170" s="67"/>
      <c r="AL170" s="71"/>
      <c r="AM170" s="68"/>
      <c r="AN170" s="101"/>
      <c r="AO170" s="67"/>
      <c r="AP170" s="63"/>
      <c r="AQ170" s="68"/>
      <c r="AR170" s="407"/>
      <c r="AS170" s="67"/>
      <c r="AT170" s="100"/>
      <c r="AU170" s="68"/>
      <c r="AV170" s="101"/>
      <c r="AW170" s="67"/>
      <c r="AX170" s="100"/>
      <c r="AY170" s="68"/>
      <c r="AZ170" s="101"/>
      <c r="BA170" s="70" t="s">
        <v>17</v>
      </c>
      <c r="BB170" s="70"/>
      <c r="BC170" s="79"/>
      <c r="BD170" s="70"/>
    </row>
    <row r="171" ht="21.75" customHeight="1">
      <c r="A171" s="80">
        <v>517.0</v>
      </c>
      <c r="B171" s="81" t="str">
        <f>VLOOKUP($A171,LocalisationRemorque,2,0)</f>
        <v>Beho</v>
      </c>
      <c r="C171" s="82" t="str">
        <f>VLOOKUP($A171,LocalisationRemorque,3,0)</f>
        <v>Silot 1</v>
      </c>
      <c r="D171" s="83" t="str">
        <f>CONCATENATE(VLOOKUP($A171,LocalisationRemorque,6,0)," ► ",VLOOKUP($A171,LocalisationRemorque,5,0))</f>
        <v>Salm Château ► Luxembourg</v>
      </c>
      <c r="E171" s="84"/>
      <c r="F171" s="85"/>
      <c r="G171" s="86"/>
      <c r="H171" s="90"/>
      <c r="I171" s="84"/>
      <c r="J171" s="89"/>
      <c r="K171" s="86"/>
      <c r="L171" s="90"/>
      <c r="M171" s="490"/>
      <c r="N171" s="470"/>
      <c r="O171" s="494"/>
      <c r="P171" s="87"/>
      <c r="Q171" s="84"/>
      <c r="R171" s="89"/>
      <c r="S171" s="85"/>
      <c r="T171" s="87"/>
      <c r="U171" s="84"/>
      <c r="V171" s="85"/>
      <c r="W171" s="86"/>
      <c r="X171" s="87"/>
      <c r="Y171" s="84"/>
      <c r="Z171" s="85"/>
      <c r="AA171" s="86"/>
      <c r="AB171" s="90"/>
      <c r="AC171" s="84"/>
      <c r="AD171" s="85"/>
      <c r="AE171" s="109"/>
      <c r="AF171" s="90"/>
      <c r="AG171" s="95"/>
      <c r="AH171" s="85"/>
      <c r="AI171" s="91"/>
      <c r="AJ171" s="93"/>
      <c r="AK171" s="84"/>
      <c r="AL171" s="89"/>
      <c r="AM171" s="86"/>
      <c r="AN171" s="93"/>
      <c r="AO171" s="84"/>
      <c r="AP171" s="85"/>
      <c r="AQ171" s="86"/>
      <c r="AR171" s="349"/>
      <c r="AS171" s="84"/>
      <c r="AT171" s="92"/>
      <c r="AU171" s="86"/>
      <c r="AV171" s="93"/>
      <c r="AW171" s="84"/>
      <c r="AX171" s="92"/>
      <c r="AY171" s="86"/>
      <c r="AZ171" s="93"/>
      <c r="BA171" s="77" t="s">
        <v>17</v>
      </c>
      <c r="BB171" s="77"/>
      <c r="BC171" s="97"/>
      <c r="BD171" s="77"/>
    </row>
    <row r="172" ht="21.75" customHeight="1">
      <c r="A172" s="111">
        <v>518.0</v>
      </c>
      <c r="B172" s="56" t="str">
        <f>VLOOKUP($A172,LocalisationRemorque,2,0)</f>
        <v>Beho</v>
      </c>
      <c r="C172" s="57" t="str">
        <f>VLOOKUP($A172,LocalisationRemorque,3,0)</f>
        <v>Silot 2</v>
      </c>
      <c r="D172" s="59" t="str">
        <f>CONCATENATE(VLOOKUP($A172,LocalisationRemorque,6,0)," ► ",VLOOKUP($A172,LocalisationRemorque,5,0))</f>
        <v>Luxembourg ► Salm Château</v>
      </c>
      <c r="E172" s="67"/>
      <c r="F172" s="63"/>
      <c r="G172" s="64"/>
      <c r="H172" s="66"/>
      <c r="I172" s="67"/>
      <c r="J172" s="71"/>
      <c r="K172" s="64"/>
      <c r="L172" s="66"/>
      <c r="M172" s="465"/>
      <c r="N172" s="466"/>
      <c r="O172" s="487"/>
      <c r="P172" s="78"/>
      <c r="Q172" s="67"/>
      <c r="R172" s="71"/>
      <c r="S172" s="160"/>
      <c r="T172" s="78"/>
      <c r="U172" s="67"/>
      <c r="V172" s="63"/>
      <c r="W172" s="68"/>
      <c r="X172" s="78"/>
      <c r="Y172" s="67"/>
      <c r="Z172" s="63"/>
      <c r="AA172" s="64"/>
      <c r="AB172" s="66"/>
      <c r="AC172" s="67"/>
      <c r="AD172" s="63"/>
      <c r="AE172" s="64"/>
      <c r="AF172" s="66"/>
      <c r="AG172" s="104"/>
      <c r="AH172" s="63"/>
      <c r="AI172" s="99"/>
      <c r="AJ172" s="101"/>
      <c r="AK172" s="67"/>
      <c r="AL172" s="71"/>
      <c r="AM172" s="68"/>
      <c r="AN172" s="101"/>
      <c r="AO172" s="67"/>
      <c r="AP172" s="63"/>
      <c r="AQ172" s="68"/>
      <c r="AR172" s="407"/>
      <c r="AS172" s="67"/>
      <c r="AT172" s="100"/>
      <c r="AU172" s="105"/>
      <c r="AV172" s="101"/>
      <c r="AW172" s="156"/>
      <c r="AX172" s="100"/>
      <c r="AY172" s="99"/>
      <c r="AZ172" s="101"/>
      <c r="BA172" s="70" t="s">
        <v>17</v>
      </c>
      <c r="BB172" s="70"/>
      <c r="BC172" s="79"/>
      <c r="BD172" s="70"/>
    </row>
    <row r="173" ht="21.75" hidden="1" customHeight="1">
      <c r="A173" s="113"/>
      <c r="B173" s="81" t="str">
        <f>VLOOKUP($A173,LocalisationRemorque,2,0)</f>
        <v> Remorque non listée</v>
      </c>
      <c r="C173" s="82" t="str">
        <f>VLOOKUP($A173,LocalisationRemorque,3,0)</f>
        <v/>
      </c>
      <c r="D173" s="83" t="str">
        <f>CONCATENATE(VLOOKUP($A173,LocalisationRemorque,6,0)," ► ",VLOOKUP($A173,LocalisationRemorque,5,0))</f>
        <v> ► </v>
      </c>
      <c r="E173" s="84"/>
      <c r="F173" s="85"/>
      <c r="G173" s="109"/>
      <c r="H173" s="90"/>
      <c r="I173" s="84"/>
      <c r="J173" s="89"/>
      <c r="K173" s="109"/>
      <c r="L173" s="90"/>
      <c r="M173" s="489"/>
      <c r="N173" s="470"/>
      <c r="O173" s="84"/>
      <c r="P173" s="87"/>
      <c r="Q173" s="84"/>
      <c r="R173" s="89"/>
      <c r="S173" s="447"/>
      <c r="T173" s="87"/>
      <c r="U173" s="84"/>
      <c r="V173" s="85"/>
      <c r="W173" s="86"/>
      <c r="X173" s="87"/>
      <c r="Y173" s="84"/>
      <c r="Z173" s="85"/>
      <c r="AA173" s="109"/>
      <c r="AB173" s="90"/>
      <c r="AC173" s="84"/>
      <c r="AD173" s="85"/>
      <c r="AE173" s="109"/>
      <c r="AF173" s="90"/>
      <c r="AG173" s="95"/>
      <c r="AH173" s="85"/>
      <c r="AI173" s="91"/>
      <c r="AJ173" s="93"/>
      <c r="AK173" s="84"/>
      <c r="AL173" s="89"/>
      <c r="AM173" s="86"/>
      <c r="AN173" s="93"/>
      <c r="AO173" s="84"/>
      <c r="AP173" s="85"/>
      <c r="AQ173" s="86"/>
      <c r="AR173" s="349"/>
      <c r="AS173" s="84"/>
      <c r="AT173" s="92"/>
      <c r="AU173" s="96"/>
      <c r="AV173" s="93"/>
      <c r="AW173" s="126"/>
      <c r="AX173" s="92"/>
      <c r="AY173" s="91"/>
      <c r="AZ173" s="93"/>
      <c r="BA173" s="155"/>
      <c r="BB173" s="155"/>
      <c r="BC173" s="128"/>
      <c r="BD173" s="155"/>
    </row>
    <row r="174" ht="21.75" customHeight="1">
      <c r="A174" s="111">
        <v>520.0</v>
      </c>
      <c r="B174" s="56" t="str">
        <f>VLOOKUP($A174,LocalisationRemorque,2,0)</f>
        <v>Vielsam</v>
      </c>
      <c r="C174" s="57" t="str">
        <f>VLOOKUP($A174,LocalisationRemorque,3,0)</f>
        <v>Regné</v>
      </c>
      <c r="D174" s="59" t="str">
        <f>CONCATENATE(VLOOKUP($A174,LocalisationRemorque,6,0)," ► ",VLOOKUP($A174,LocalisationRemorque,5,0))</f>
        <v>Baraque de Fraiture ► Vielsam</v>
      </c>
      <c r="E174" s="67"/>
      <c r="F174" s="63"/>
      <c r="G174" s="64"/>
      <c r="H174" s="66"/>
      <c r="I174" s="67"/>
      <c r="J174" s="71"/>
      <c r="K174" s="64"/>
      <c r="L174" s="66"/>
      <c r="M174" s="468"/>
      <c r="N174" s="466"/>
      <c r="O174" s="487"/>
      <c r="P174" s="78"/>
      <c r="Q174" s="67"/>
      <c r="R174" s="71"/>
      <c r="S174" s="160"/>
      <c r="T174" s="78"/>
      <c r="U174" s="67"/>
      <c r="V174" s="63"/>
      <c r="W174" s="68"/>
      <c r="X174" s="78"/>
      <c r="Y174" s="67"/>
      <c r="Z174" s="63"/>
      <c r="AA174" s="64"/>
      <c r="AB174" s="66"/>
      <c r="AC174" s="67"/>
      <c r="AD174" s="63"/>
      <c r="AE174" s="64"/>
      <c r="AF174" s="66"/>
      <c r="AG174" s="104"/>
      <c r="AH174" s="63"/>
      <c r="AI174" s="99"/>
      <c r="AJ174" s="78"/>
      <c r="AK174" s="67"/>
      <c r="AL174" s="71"/>
      <c r="AM174" s="68"/>
      <c r="AN174" s="101"/>
      <c r="AO174" s="67"/>
      <c r="AP174" s="63"/>
      <c r="AQ174" s="68"/>
      <c r="AR174" s="407"/>
      <c r="AS174" s="67"/>
      <c r="AT174" s="100"/>
      <c r="AU174" s="68"/>
      <c r="AV174" s="101"/>
      <c r="AW174" s="67"/>
      <c r="AX174" s="100"/>
      <c r="AY174" s="99"/>
      <c r="AZ174" s="101"/>
      <c r="BA174" s="70" t="s">
        <v>17</v>
      </c>
      <c r="BB174" s="70"/>
      <c r="BC174" s="79"/>
      <c r="BD174" s="70"/>
    </row>
    <row r="175" ht="21.75" customHeight="1">
      <c r="A175" s="80">
        <v>521.0</v>
      </c>
      <c r="B175" s="81" t="str">
        <f>VLOOKUP($A175,LocalisationRemorque,2,0)</f>
        <v>Vielsam</v>
      </c>
      <c r="C175" s="82" t="str">
        <f>VLOOKUP($A175,LocalisationRemorque,3,0)</f>
        <v>Fraiture</v>
      </c>
      <c r="D175" s="83" t="str">
        <f>CONCATENATE(VLOOKUP($A175,LocalisationRemorque,6,0)," ► ",VLOOKUP($A175,LocalisationRemorque,5,0))</f>
        <v>Vielsam ► Baraque Fraiture</v>
      </c>
      <c r="E175" s="408"/>
      <c r="F175" s="85"/>
      <c r="G175" s="109"/>
      <c r="H175" s="90"/>
      <c r="I175" s="84"/>
      <c r="J175" s="89"/>
      <c r="K175" s="109"/>
      <c r="L175" s="90"/>
      <c r="M175" s="490"/>
      <c r="N175" s="470"/>
      <c r="O175" s="494"/>
      <c r="P175" s="87"/>
      <c r="Q175" s="84"/>
      <c r="R175" s="89"/>
      <c r="S175" s="447"/>
      <c r="T175" s="87"/>
      <c r="U175" s="84"/>
      <c r="V175" s="85"/>
      <c r="W175" s="86"/>
      <c r="X175" s="87"/>
      <c r="Y175" s="84"/>
      <c r="Z175" s="85"/>
      <c r="AA175" s="109"/>
      <c r="AB175" s="90"/>
      <c r="AC175" s="165" t="s">
        <v>29</v>
      </c>
      <c r="AD175" s="85"/>
      <c r="AE175" s="109"/>
      <c r="AF175" s="90"/>
      <c r="AG175" s="165" t="s">
        <v>29</v>
      </c>
      <c r="AH175" s="85"/>
      <c r="AI175" s="91"/>
      <c r="AJ175" s="87"/>
      <c r="AK175" s="84"/>
      <c r="AL175" s="89"/>
      <c r="AM175" s="86"/>
      <c r="AN175" s="93"/>
      <c r="AO175" s="165" t="s">
        <v>29</v>
      </c>
      <c r="AP175" s="85"/>
      <c r="AQ175" s="86"/>
      <c r="AR175" s="349"/>
      <c r="AS175" s="84"/>
      <c r="AT175" s="92"/>
      <c r="AU175" s="96"/>
      <c r="AV175" s="93"/>
      <c r="AW175" s="84"/>
      <c r="AX175" s="92"/>
      <c r="AY175" s="91"/>
      <c r="AZ175" s="93"/>
      <c r="BA175" s="77" t="s">
        <v>17</v>
      </c>
      <c r="BB175" s="77"/>
      <c r="BC175" s="97"/>
      <c r="BD175" s="77"/>
    </row>
    <row r="176" ht="21.75" customHeight="1">
      <c r="A176" s="111">
        <v>525.0</v>
      </c>
      <c r="B176" s="56" t="str">
        <f>VLOOKUP($A176,LocalisationRemorque,2,0)</f>
        <v>Durbuy</v>
      </c>
      <c r="C176" s="57" t="str">
        <f>VLOOKUP($A176,LocalisationRemorque,3,0)</f>
        <v>Grandhan</v>
      </c>
      <c r="D176" s="59" t="str">
        <f>CONCATENATE(VLOOKUP($A176,LocalisationRemorque,6,0)," ► ",VLOOKUP($A176,LocalisationRemorque,5,0))</f>
        <v>Baillonville ► Durbuy</v>
      </c>
      <c r="E176" s="293" t="s">
        <v>20</v>
      </c>
      <c r="F176" s="63" t="s">
        <v>471</v>
      </c>
      <c r="G176" s="68"/>
      <c r="H176" s="78" t="s">
        <v>180</v>
      </c>
      <c r="I176" s="67"/>
      <c r="J176" s="63"/>
      <c r="K176" s="68"/>
      <c r="L176" s="78"/>
      <c r="M176" s="104"/>
      <c r="N176" s="498"/>
      <c r="O176" s="486" t="s">
        <v>20</v>
      </c>
      <c r="P176" s="78"/>
      <c r="Q176" s="104"/>
      <c r="R176" s="63"/>
      <c r="S176" s="104" t="s">
        <v>20</v>
      </c>
      <c r="T176" s="78"/>
      <c r="U176" s="67"/>
      <c r="V176" s="63"/>
      <c r="W176" s="68" t="s">
        <v>20</v>
      </c>
      <c r="X176" s="78"/>
      <c r="Y176" s="104"/>
      <c r="Z176" s="63"/>
      <c r="AA176" s="68" t="s">
        <v>20</v>
      </c>
      <c r="AB176" s="78"/>
      <c r="AC176" s="321" t="s">
        <v>29</v>
      </c>
      <c r="AD176" s="63"/>
      <c r="AE176" s="64"/>
      <c r="AF176" s="66"/>
      <c r="AG176" s="321" t="s">
        <v>29</v>
      </c>
      <c r="AH176" s="63"/>
      <c r="AI176" s="99"/>
      <c r="AJ176" s="101"/>
      <c r="AK176" s="67"/>
      <c r="AL176" s="71"/>
      <c r="AM176" s="68"/>
      <c r="AN176" s="78"/>
      <c r="AO176" s="321" t="s">
        <v>29</v>
      </c>
      <c r="AP176" s="63"/>
      <c r="AQ176" s="68"/>
      <c r="AR176" s="407"/>
      <c r="AS176" s="67"/>
      <c r="AT176" s="100"/>
      <c r="AU176" s="68" t="s">
        <v>20</v>
      </c>
      <c r="AV176" s="78"/>
      <c r="AW176" s="104"/>
      <c r="AX176" s="100"/>
      <c r="AY176" s="68" t="s">
        <v>20</v>
      </c>
      <c r="AZ176" s="78"/>
      <c r="BA176" s="70" t="s">
        <v>17</v>
      </c>
      <c r="BB176" s="70"/>
      <c r="BC176" s="79"/>
      <c r="BD176" s="70"/>
    </row>
    <row r="177" ht="21.75" customHeight="1">
      <c r="A177" s="80">
        <v>530.0</v>
      </c>
      <c r="B177" s="81" t="str">
        <f>VLOOKUP($A177,LocalisationRemorque,2,0)</f>
        <v>Arlon</v>
      </c>
      <c r="C177" s="82" t="str">
        <f>VLOOKUP($A177,LocalisationRemorque,3,0)</f>
        <v>Wolberg</v>
      </c>
      <c r="D177" s="83" t="str">
        <f>CONCATENATE(VLOOKUP($A177,LocalisationRemorque,6,0)," ► ",VLOOKUP($A177,LocalisationRemorque,5,0))</f>
        <v>Stienfort ► Arlon</v>
      </c>
      <c r="E177" s="84" t="s">
        <v>294</v>
      </c>
      <c r="F177" s="85"/>
      <c r="G177" s="109"/>
      <c r="H177" s="90"/>
      <c r="I177" s="84" t="s">
        <v>294</v>
      </c>
      <c r="J177" s="89"/>
      <c r="K177" s="109"/>
      <c r="L177" s="90"/>
      <c r="M177" s="490" t="s">
        <v>294</v>
      </c>
      <c r="N177" s="470"/>
      <c r="O177" s="495"/>
      <c r="P177" s="87"/>
      <c r="Q177" s="490" t="s">
        <v>294</v>
      </c>
      <c r="R177" s="89"/>
      <c r="S177" s="86"/>
      <c r="T177" s="90"/>
      <c r="U177" s="490" t="s">
        <v>294</v>
      </c>
      <c r="V177" s="85"/>
      <c r="W177" s="86"/>
      <c r="X177" s="87"/>
      <c r="Y177" s="490" t="s">
        <v>294</v>
      </c>
      <c r="Z177" s="85"/>
      <c r="AA177" s="84"/>
      <c r="AB177" s="90"/>
      <c r="AC177" s="165" t="s">
        <v>29</v>
      </c>
      <c r="AD177" s="85"/>
      <c r="AE177" s="86" t="s">
        <v>294</v>
      </c>
      <c r="AF177" s="90"/>
      <c r="AG177" s="165" t="s">
        <v>29</v>
      </c>
      <c r="AH177" s="85"/>
      <c r="AI177" s="86" t="s">
        <v>294</v>
      </c>
      <c r="AJ177" s="93"/>
      <c r="AK177" s="490" t="s">
        <v>294</v>
      </c>
      <c r="AL177" s="89"/>
      <c r="AM177" s="86"/>
      <c r="AN177" s="93"/>
      <c r="AO177" s="165" t="s">
        <v>29</v>
      </c>
      <c r="AP177" s="85"/>
      <c r="AQ177" s="84" t="s">
        <v>294</v>
      </c>
      <c r="AR177" s="349"/>
      <c r="AS177" s="84" t="s">
        <v>294</v>
      </c>
      <c r="AT177" s="92"/>
      <c r="AU177" s="96"/>
      <c r="AV177" s="93"/>
      <c r="AW177" s="490" t="s">
        <v>294</v>
      </c>
      <c r="AX177" s="94"/>
      <c r="AY177" s="91"/>
      <c r="AZ177" s="93"/>
      <c r="BA177" s="77" t="s">
        <v>17</v>
      </c>
      <c r="BB177" s="77"/>
      <c r="BC177" s="97"/>
      <c r="BD177" s="77"/>
    </row>
    <row r="178" ht="21.75" customHeight="1">
      <c r="A178" s="53"/>
      <c r="B178" s="56"/>
      <c r="C178" s="57"/>
      <c r="D178" s="59"/>
      <c r="E178" s="67"/>
      <c r="F178" s="63"/>
      <c r="G178" s="68"/>
      <c r="H178" s="66"/>
      <c r="I178" s="67"/>
      <c r="J178" s="71"/>
      <c r="K178" s="64"/>
      <c r="L178" s="66"/>
      <c r="M178" s="67"/>
      <c r="N178" s="71"/>
      <c r="O178" s="68"/>
      <c r="P178" s="66"/>
      <c r="Q178" s="67"/>
      <c r="R178" s="71"/>
      <c r="S178" s="64"/>
      <c r="T178" s="66"/>
      <c r="U178" s="67"/>
      <c r="V178" s="71"/>
      <c r="W178" s="64"/>
      <c r="X178" s="66"/>
      <c r="Y178" s="67"/>
      <c r="Z178" s="71"/>
      <c r="AA178" s="64"/>
      <c r="AB178" s="66"/>
      <c r="AC178" s="67"/>
      <c r="AD178" s="63"/>
      <c r="AE178" s="64"/>
      <c r="AF178" s="66"/>
      <c r="AG178" s="104"/>
      <c r="AH178" s="63"/>
      <c r="AI178" s="99"/>
      <c r="AJ178" s="101"/>
      <c r="AK178" s="156"/>
      <c r="AL178" s="102"/>
      <c r="AM178" s="99"/>
      <c r="AN178" s="101"/>
      <c r="AO178" s="156"/>
      <c r="AP178" s="100"/>
      <c r="AQ178" s="68"/>
      <c r="AR178" s="101"/>
      <c r="AS178" s="156"/>
      <c r="AT178" s="102"/>
      <c r="AU178" s="99"/>
      <c r="AV178" s="101"/>
      <c r="AW178" s="156"/>
      <c r="AX178" s="102"/>
      <c r="AY178" s="99"/>
      <c r="AZ178" s="101"/>
      <c r="BA178" s="88"/>
      <c r="BB178" s="88"/>
      <c r="BC178" s="106"/>
      <c r="BD178" s="88"/>
    </row>
    <row r="179" ht="21.75" hidden="1" customHeight="1">
      <c r="A179" s="499"/>
      <c r="B179" s="500"/>
      <c r="C179" s="501"/>
      <c r="D179" s="502"/>
      <c r="E179" s="148"/>
      <c r="F179" s="149"/>
      <c r="G179" s="150"/>
      <c r="H179" s="151"/>
      <c r="I179" s="148"/>
      <c r="J179" s="149"/>
      <c r="K179" s="150"/>
      <c r="L179" s="151"/>
      <c r="M179" s="148"/>
      <c r="N179" s="149"/>
      <c r="O179" s="150"/>
      <c r="P179" s="151"/>
      <c r="Q179" s="148"/>
      <c r="R179" s="149"/>
      <c r="S179" s="150"/>
      <c r="T179" s="151"/>
      <c r="U179" s="148"/>
      <c r="V179" s="149"/>
      <c r="W179" s="150"/>
      <c r="X179" s="151"/>
      <c r="Y179" s="148"/>
      <c r="Z179" s="149"/>
      <c r="AA179" s="150"/>
      <c r="AB179" s="151"/>
      <c r="AC179" s="148"/>
      <c r="AD179" s="149"/>
      <c r="AE179" s="150"/>
      <c r="AF179" s="151"/>
      <c r="AG179" s="148"/>
      <c r="AH179" s="149"/>
      <c r="AI179" s="150"/>
      <c r="AJ179" s="151"/>
      <c r="AK179" s="148"/>
      <c r="AL179" s="149"/>
      <c r="AM179" s="150"/>
      <c r="AN179" s="151"/>
      <c r="AO179" s="148"/>
      <c r="AP179" s="149"/>
      <c r="AQ179" s="150"/>
      <c r="AR179" s="151"/>
      <c r="AS179" s="148"/>
      <c r="AT179" s="149"/>
      <c r="AU179" s="150"/>
      <c r="AV179" s="151"/>
      <c r="AW179" s="148"/>
      <c r="AX179" s="149"/>
      <c r="AY179" s="150"/>
      <c r="AZ179" s="151"/>
      <c r="BA179" s="120"/>
      <c r="BB179" s="120"/>
      <c r="BC179" s="153"/>
      <c r="BD179" s="120"/>
    </row>
    <row r="180" ht="21.75" hidden="1" customHeight="1">
      <c r="A180" s="499"/>
      <c r="B180" s="500"/>
      <c r="C180" s="501"/>
      <c r="D180" s="502"/>
      <c r="E180" s="148"/>
      <c r="F180" s="149"/>
      <c r="G180" s="150"/>
      <c r="H180" s="151"/>
      <c r="I180" s="148"/>
      <c r="J180" s="149"/>
      <c r="K180" s="150"/>
      <c r="L180" s="151"/>
      <c r="M180" s="148"/>
      <c r="N180" s="149"/>
      <c r="O180" s="150"/>
      <c r="P180" s="151"/>
      <c r="Q180" s="148"/>
      <c r="R180" s="149"/>
      <c r="S180" s="150"/>
      <c r="T180" s="151"/>
      <c r="U180" s="148"/>
      <c r="V180" s="149"/>
      <c r="W180" s="150"/>
      <c r="X180" s="151"/>
      <c r="Y180" s="148"/>
      <c r="Z180" s="149"/>
      <c r="AA180" s="150"/>
      <c r="AB180" s="151"/>
      <c r="AC180" s="148"/>
      <c r="AD180" s="149"/>
      <c r="AE180" s="150"/>
      <c r="AF180" s="151"/>
      <c r="AG180" s="148"/>
      <c r="AH180" s="149"/>
      <c r="AI180" s="150"/>
      <c r="AJ180" s="151"/>
      <c r="AK180" s="148"/>
      <c r="AL180" s="149"/>
      <c r="AM180" s="150"/>
      <c r="AN180" s="151"/>
      <c r="AO180" s="148"/>
      <c r="AP180" s="149"/>
      <c r="AQ180" s="150"/>
      <c r="AR180" s="151"/>
      <c r="AS180" s="148"/>
      <c r="AT180" s="149"/>
      <c r="AU180" s="150"/>
      <c r="AV180" s="151"/>
      <c r="AW180" s="148"/>
      <c r="AX180" s="149"/>
      <c r="AY180" s="150"/>
      <c r="AZ180" s="151"/>
      <c r="BA180" s="120"/>
      <c r="BB180" s="120"/>
      <c r="BC180" s="153"/>
      <c r="BD180" s="120"/>
    </row>
    <row r="181" ht="21.75" hidden="1" customHeight="1">
      <c r="A181" s="499"/>
      <c r="B181" s="500"/>
      <c r="C181" s="501"/>
      <c r="D181" s="502"/>
      <c r="E181" s="148"/>
      <c r="F181" s="149"/>
      <c r="G181" s="150"/>
      <c r="H181" s="151"/>
      <c r="I181" s="148"/>
      <c r="J181" s="149"/>
      <c r="K181" s="150"/>
      <c r="L181" s="151"/>
      <c r="M181" s="148"/>
      <c r="N181" s="149"/>
      <c r="O181" s="150"/>
      <c r="P181" s="151"/>
      <c r="Q181" s="148"/>
      <c r="R181" s="149"/>
      <c r="S181" s="150"/>
      <c r="T181" s="151"/>
      <c r="U181" s="148"/>
      <c r="V181" s="149"/>
      <c r="W181" s="150"/>
      <c r="X181" s="151"/>
      <c r="Y181" s="148"/>
      <c r="Z181" s="149"/>
      <c r="AA181" s="150"/>
      <c r="AB181" s="151"/>
      <c r="AC181" s="148"/>
      <c r="AD181" s="149"/>
      <c r="AE181" s="150"/>
      <c r="AF181" s="151"/>
      <c r="AG181" s="148"/>
      <c r="AH181" s="149"/>
      <c r="AI181" s="150"/>
      <c r="AJ181" s="151"/>
      <c r="AK181" s="148"/>
      <c r="AL181" s="149"/>
      <c r="AM181" s="150"/>
      <c r="AN181" s="151"/>
      <c r="AO181" s="148"/>
      <c r="AP181" s="149"/>
      <c r="AQ181" s="150"/>
      <c r="AR181" s="151"/>
      <c r="AS181" s="148"/>
      <c r="AT181" s="149"/>
      <c r="AU181" s="150"/>
      <c r="AV181" s="151"/>
      <c r="AW181" s="148"/>
      <c r="AX181" s="149"/>
      <c r="AY181" s="150"/>
      <c r="AZ181" s="151"/>
      <c r="BA181" s="120"/>
      <c r="BB181" s="120"/>
      <c r="BC181" s="153"/>
      <c r="BD181" s="120"/>
    </row>
    <row r="182" ht="21.75" hidden="1" customHeight="1">
      <c r="A182" s="499"/>
      <c r="B182" s="500"/>
      <c r="C182" s="501"/>
      <c r="D182" s="502"/>
      <c r="E182" s="148"/>
      <c r="F182" s="149"/>
      <c r="G182" s="150"/>
      <c r="H182" s="151"/>
      <c r="I182" s="148"/>
      <c r="J182" s="149"/>
      <c r="K182" s="150"/>
      <c r="L182" s="151"/>
      <c r="M182" s="148"/>
      <c r="N182" s="149"/>
      <c r="O182" s="150"/>
      <c r="P182" s="151"/>
      <c r="Q182" s="148"/>
      <c r="R182" s="149"/>
      <c r="S182" s="150"/>
      <c r="T182" s="151"/>
      <c r="U182" s="148"/>
      <c r="V182" s="149"/>
      <c r="W182" s="150"/>
      <c r="X182" s="151"/>
      <c r="Y182" s="148"/>
      <c r="Z182" s="149"/>
      <c r="AA182" s="150"/>
      <c r="AB182" s="151"/>
      <c r="AC182" s="148"/>
      <c r="AD182" s="149"/>
      <c r="AE182" s="150"/>
      <c r="AF182" s="151"/>
      <c r="AG182" s="148"/>
      <c r="AH182" s="149"/>
      <c r="AI182" s="150"/>
      <c r="AJ182" s="151"/>
      <c r="AK182" s="148"/>
      <c r="AL182" s="149"/>
      <c r="AM182" s="150"/>
      <c r="AN182" s="151"/>
      <c r="AO182" s="148"/>
      <c r="AP182" s="149"/>
      <c r="AQ182" s="150"/>
      <c r="AR182" s="151"/>
      <c r="AS182" s="148"/>
      <c r="AT182" s="149"/>
      <c r="AU182" s="150"/>
      <c r="AV182" s="151"/>
      <c r="AW182" s="148"/>
      <c r="AX182" s="149"/>
      <c r="AY182" s="150"/>
      <c r="AZ182" s="151"/>
      <c r="BA182" s="120"/>
      <c r="BB182" s="120"/>
      <c r="BC182" s="153"/>
      <c r="BD182" s="120"/>
    </row>
    <row r="183" ht="21.75" hidden="1" customHeight="1">
      <c r="A183" s="499"/>
      <c r="B183" s="500"/>
      <c r="C183" s="501"/>
      <c r="D183" s="502"/>
      <c r="E183" s="148"/>
      <c r="F183" s="149"/>
      <c r="G183" s="150"/>
      <c r="H183" s="151"/>
      <c r="I183" s="148"/>
      <c r="J183" s="149"/>
      <c r="K183" s="150"/>
      <c r="L183" s="151"/>
      <c r="M183" s="148"/>
      <c r="N183" s="149"/>
      <c r="O183" s="150"/>
      <c r="P183" s="151"/>
      <c r="Q183" s="148"/>
      <c r="R183" s="149"/>
      <c r="S183" s="150"/>
      <c r="T183" s="151"/>
      <c r="U183" s="148"/>
      <c r="V183" s="149"/>
      <c r="W183" s="150"/>
      <c r="X183" s="151"/>
      <c r="Y183" s="148"/>
      <c r="Z183" s="149"/>
      <c r="AA183" s="150"/>
      <c r="AB183" s="151"/>
      <c r="AC183" s="148"/>
      <c r="AD183" s="149"/>
      <c r="AE183" s="150"/>
      <c r="AF183" s="151"/>
      <c r="AG183" s="148"/>
      <c r="AH183" s="149"/>
      <c r="AI183" s="150"/>
      <c r="AJ183" s="151"/>
      <c r="AK183" s="148"/>
      <c r="AL183" s="149"/>
      <c r="AM183" s="150"/>
      <c r="AN183" s="151"/>
      <c r="AO183" s="148"/>
      <c r="AP183" s="149"/>
      <c r="AQ183" s="150"/>
      <c r="AR183" s="151"/>
      <c r="AS183" s="148"/>
      <c r="AT183" s="149"/>
      <c r="AU183" s="150"/>
      <c r="AV183" s="151"/>
      <c r="AW183" s="148"/>
      <c r="AX183" s="149"/>
      <c r="AY183" s="150"/>
      <c r="AZ183" s="151"/>
      <c r="BA183" s="120"/>
      <c r="BB183" s="120"/>
      <c r="BC183" s="153"/>
      <c r="BD183" s="120"/>
    </row>
    <row r="184" ht="21.75" hidden="1" customHeight="1">
      <c r="A184" s="499"/>
      <c r="B184" s="500"/>
      <c r="C184" s="501"/>
      <c r="D184" s="502"/>
      <c r="E184" s="148"/>
      <c r="F184" s="149"/>
      <c r="G184" s="150"/>
      <c r="H184" s="151"/>
      <c r="I184" s="148"/>
      <c r="J184" s="149"/>
      <c r="K184" s="150"/>
      <c r="L184" s="151"/>
      <c r="M184" s="148"/>
      <c r="N184" s="149"/>
      <c r="O184" s="150"/>
      <c r="P184" s="151"/>
      <c r="Q184" s="148"/>
      <c r="R184" s="149"/>
      <c r="S184" s="150"/>
      <c r="T184" s="151"/>
      <c r="U184" s="148"/>
      <c r="V184" s="149"/>
      <c r="W184" s="150"/>
      <c r="X184" s="151"/>
      <c r="Y184" s="148"/>
      <c r="Z184" s="149"/>
      <c r="AA184" s="150"/>
      <c r="AB184" s="151"/>
      <c r="AC184" s="148"/>
      <c r="AD184" s="149"/>
      <c r="AE184" s="150"/>
      <c r="AF184" s="151"/>
      <c r="AG184" s="148"/>
      <c r="AH184" s="149"/>
      <c r="AI184" s="150"/>
      <c r="AJ184" s="151"/>
      <c r="AK184" s="148"/>
      <c r="AL184" s="149"/>
      <c r="AM184" s="150"/>
      <c r="AN184" s="151"/>
      <c r="AO184" s="148"/>
      <c r="AP184" s="149"/>
      <c r="AQ184" s="150"/>
      <c r="AR184" s="151"/>
      <c r="AS184" s="148"/>
      <c r="AT184" s="149"/>
      <c r="AU184" s="150"/>
      <c r="AV184" s="151"/>
      <c r="AW184" s="148"/>
      <c r="AX184" s="149"/>
      <c r="AY184" s="150"/>
      <c r="AZ184" s="151"/>
      <c r="BA184" s="120"/>
      <c r="BB184" s="120"/>
      <c r="BC184" s="153"/>
      <c r="BD184" s="120"/>
    </row>
    <row r="185" ht="21.75" hidden="1" customHeight="1">
      <c r="A185" s="499"/>
      <c r="B185" s="500"/>
      <c r="C185" s="501"/>
      <c r="D185" s="502"/>
      <c r="E185" s="148"/>
      <c r="F185" s="149"/>
      <c r="G185" s="150"/>
      <c r="H185" s="151"/>
      <c r="I185" s="148"/>
      <c r="J185" s="149"/>
      <c r="K185" s="150"/>
      <c r="L185" s="151"/>
      <c r="M185" s="148"/>
      <c r="N185" s="149"/>
      <c r="O185" s="150"/>
      <c r="P185" s="151"/>
      <c r="Q185" s="148"/>
      <c r="R185" s="149"/>
      <c r="S185" s="150"/>
      <c r="T185" s="151"/>
      <c r="U185" s="148"/>
      <c r="V185" s="149"/>
      <c r="W185" s="150"/>
      <c r="X185" s="151"/>
      <c r="Y185" s="148"/>
      <c r="Z185" s="149"/>
      <c r="AA185" s="150"/>
      <c r="AB185" s="151"/>
      <c r="AC185" s="148"/>
      <c r="AD185" s="149"/>
      <c r="AE185" s="150"/>
      <c r="AF185" s="151"/>
      <c r="AG185" s="148"/>
      <c r="AH185" s="149"/>
      <c r="AI185" s="150"/>
      <c r="AJ185" s="151"/>
      <c r="AK185" s="148"/>
      <c r="AL185" s="149"/>
      <c r="AM185" s="150"/>
      <c r="AN185" s="151"/>
      <c r="AO185" s="148"/>
      <c r="AP185" s="149"/>
      <c r="AQ185" s="150"/>
      <c r="AR185" s="151"/>
      <c r="AS185" s="148"/>
      <c r="AT185" s="149"/>
      <c r="AU185" s="150"/>
      <c r="AV185" s="151"/>
      <c r="AW185" s="148"/>
      <c r="AX185" s="149"/>
      <c r="AY185" s="150"/>
      <c r="AZ185" s="151"/>
      <c r="BA185" s="120"/>
      <c r="BB185" s="120"/>
      <c r="BC185" s="153"/>
      <c r="BD185" s="120"/>
    </row>
    <row r="186" ht="21.75" hidden="1" customHeight="1">
      <c r="A186" s="499"/>
      <c r="B186" s="500"/>
      <c r="C186" s="501"/>
      <c r="D186" s="502"/>
      <c r="E186" s="148"/>
      <c r="F186" s="149"/>
      <c r="G186" s="150"/>
      <c r="H186" s="151"/>
      <c r="I186" s="148"/>
      <c r="J186" s="149"/>
      <c r="K186" s="150"/>
      <c r="L186" s="151"/>
      <c r="M186" s="148"/>
      <c r="N186" s="149"/>
      <c r="O186" s="150"/>
      <c r="P186" s="151"/>
      <c r="Q186" s="148"/>
      <c r="R186" s="149"/>
      <c r="S186" s="150"/>
      <c r="T186" s="151"/>
      <c r="U186" s="148"/>
      <c r="V186" s="149"/>
      <c r="W186" s="150"/>
      <c r="X186" s="151"/>
      <c r="Y186" s="148"/>
      <c r="Z186" s="149"/>
      <c r="AA186" s="150"/>
      <c r="AB186" s="151"/>
      <c r="AC186" s="148"/>
      <c r="AD186" s="149"/>
      <c r="AE186" s="150"/>
      <c r="AF186" s="151"/>
      <c r="AG186" s="148"/>
      <c r="AH186" s="149"/>
      <c r="AI186" s="150"/>
      <c r="AJ186" s="151"/>
      <c r="AK186" s="148"/>
      <c r="AL186" s="149"/>
      <c r="AM186" s="150"/>
      <c r="AN186" s="151"/>
      <c r="AO186" s="148"/>
      <c r="AP186" s="149"/>
      <c r="AQ186" s="150"/>
      <c r="AR186" s="151"/>
      <c r="AS186" s="148"/>
      <c r="AT186" s="149"/>
      <c r="AU186" s="150"/>
      <c r="AV186" s="151"/>
      <c r="AW186" s="148"/>
      <c r="AX186" s="149"/>
      <c r="AY186" s="150"/>
      <c r="AZ186" s="151"/>
      <c r="BA186" s="120"/>
      <c r="BB186" s="120"/>
      <c r="BC186" s="153"/>
      <c r="BD186" s="120"/>
    </row>
    <row r="187" ht="21.75" hidden="1" customHeight="1">
      <c r="A187" s="499"/>
      <c r="B187" s="500"/>
      <c r="C187" s="501"/>
      <c r="D187" s="502"/>
      <c r="E187" s="148"/>
      <c r="F187" s="149"/>
      <c r="G187" s="150"/>
      <c r="H187" s="151"/>
      <c r="I187" s="148"/>
      <c r="J187" s="149"/>
      <c r="K187" s="150"/>
      <c r="L187" s="151"/>
      <c r="M187" s="148"/>
      <c r="N187" s="149"/>
      <c r="O187" s="150"/>
      <c r="P187" s="151"/>
      <c r="Q187" s="148"/>
      <c r="R187" s="149"/>
      <c r="S187" s="150"/>
      <c r="T187" s="151"/>
      <c r="U187" s="148"/>
      <c r="V187" s="149"/>
      <c r="W187" s="150"/>
      <c r="X187" s="151"/>
      <c r="Y187" s="148"/>
      <c r="Z187" s="149"/>
      <c r="AA187" s="150"/>
      <c r="AB187" s="151"/>
      <c r="AC187" s="148"/>
      <c r="AD187" s="149"/>
      <c r="AE187" s="150"/>
      <c r="AF187" s="151"/>
      <c r="AG187" s="148"/>
      <c r="AH187" s="149"/>
      <c r="AI187" s="150"/>
      <c r="AJ187" s="151"/>
      <c r="AK187" s="148"/>
      <c r="AL187" s="149"/>
      <c r="AM187" s="150"/>
      <c r="AN187" s="151"/>
      <c r="AO187" s="148"/>
      <c r="AP187" s="149"/>
      <c r="AQ187" s="150"/>
      <c r="AR187" s="151"/>
      <c r="AS187" s="148"/>
      <c r="AT187" s="149"/>
      <c r="AU187" s="150"/>
      <c r="AV187" s="151"/>
      <c r="AW187" s="148"/>
      <c r="AX187" s="149"/>
      <c r="AY187" s="150"/>
      <c r="AZ187" s="151"/>
      <c r="BA187" s="120"/>
      <c r="BB187" s="120"/>
      <c r="BC187" s="153"/>
      <c r="BD187" s="120"/>
    </row>
    <row r="188" ht="21.75" hidden="1" customHeight="1">
      <c r="A188" s="499"/>
      <c r="B188" s="500"/>
      <c r="C188" s="501"/>
      <c r="D188" s="502"/>
      <c r="E188" s="148"/>
      <c r="F188" s="149"/>
      <c r="G188" s="150"/>
      <c r="H188" s="151"/>
      <c r="I188" s="148"/>
      <c r="J188" s="149"/>
      <c r="K188" s="150"/>
      <c r="L188" s="151"/>
      <c r="M188" s="148"/>
      <c r="N188" s="149"/>
      <c r="O188" s="150"/>
      <c r="P188" s="151"/>
      <c r="Q188" s="148"/>
      <c r="R188" s="149"/>
      <c r="S188" s="150"/>
      <c r="T188" s="151"/>
      <c r="U188" s="148"/>
      <c r="V188" s="149"/>
      <c r="W188" s="150"/>
      <c r="X188" s="151"/>
      <c r="Y188" s="148"/>
      <c r="Z188" s="149"/>
      <c r="AA188" s="150"/>
      <c r="AB188" s="151"/>
      <c r="AC188" s="148"/>
      <c r="AD188" s="149"/>
      <c r="AE188" s="150"/>
      <c r="AF188" s="151"/>
      <c r="AG188" s="148"/>
      <c r="AH188" s="149"/>
      <c r="AI188" s="150"/>
      <c r="AJ188" s="151"/>
      <c r="AK188" s="148"/>
      <c r="AL188" s="149"/>
      <c r="AM188" s="150"/>
      <c r="AN188" s="151"/>
      <c r="AO188" s="148"/>
      <c r="AP188" s="149"/>
      <c r="AQ188" s="150"/>
      <c r="AR188" s="151"/>
      <c r="AS188" s="148"/>
      <c r="AT188" s="149"/>
      <c r="AU188" s="150"/>
      <c r="AV188" s="151"/>
      <c r="AW188" s="148"/>
      <c r="AX188" s="149"/>
      <c r="AY188" s="150"/>
      <c r="AZ188" s="151"/>
      <c r="BA188" s="120"/>
      <c r="BB188" s="120"/>
      <c r="BC188" s="153"/>
      <c r="BD188" s="120"/>
    </row>
    <row r="189" ht="21.75" hidden="1" customHeight="1">
      <c r="A189" s="499"/>
      <c r="B189" s="500"/>
      <c r="C189" s="501"/>
      <c r="D189" s="502"/>
      <c r="E189" s="148"/>
      <c r="F189" s="149"/>
      <c r="G189" s="150"/>
      <c r="H189" s="151"/>
      <c r="I189" s="148"/>
      <c r="J189" s="149"/>
      <c r="K189" s="150"/>
      <c r="L189" s="151"/>
      <c r="M189" s="148"/>
      <c r="N189" s="149"/>
      <c r="O189" s="150"/>
      <c r="P189" s="151"/>
      <c r="Q189" s="148"/>
      <c r="R189" s="149"/>
      <c r="S189" s="150"/>
      <c r="T189" s="151"/>
      <c r="U189" s="148"/>
      <c r="V189" s="149"/>
      <c r="W189" s="150"/>
      <c r="X189" s="151"/>
      <c r="Y189" s="148"/>
      <c r="Z189" s="149"/>
      <c r="AA189" s="150"/>
      <c r="AB189" s="151"/>
      <c r="AC189" s="148"/>
      <c r="AD189" s="149"/>
      <c r="AE189" s="150"/>
      <c r="AF189" s="151"/>
      <c r="AG189" s="148"/>
      <c r="AH189" s="149"/>
      <c r="AI189" s="150"/>
      <c r="AJ189" s="151"/>
      <c r="AK189" s="148"/>
      <c r="AL189" s="149"/>
      <c r="AM189" s="150"/>
      <c r="AN189" s="151"/>
      <c r="AO189" s="148"/>
      <c r="AP189" s="149"/>
      <c r="AQ189" s="150"/>
      <c r="AR189" s="151"/>
      <c r="AS189" s="148"/>
      <c r="AT189" s="149"/>
      <c r="AU189" s="150"/>
      <c r="AV189" s="151"/>
      <c r="AW189" s="148"/>
      <c r="AX189" s="149"/>
      <c r="AY189" s="150"/>
      <c r="AZ189" s="151"/>
      <c r="BA189" s="120"/>
      <c r="BB189" s="120"/>
      <c r="BC189" s="153"/>
      <c r="BD189" s="120"/>
    </row>
    <row r="190" ht="21.75" hidden="1" customHeight="1">
      <c r="A190" s="499"/>
      <c r="B190" s="500"/>
      <c r="C190" s="501"/>
      <c r="D190" s="502"/>
      <c r="E190" s="148"/>
      <c r="F190" s="149"/>
      <c r="G190" s="150"/>
      <c r="H190" s="151"/>
      <c r="I190" s="148"/>
      <c r="J190" s="149"/>
      <c r="K190" s="150"/>
      <c r="L190" s="151"/>
      <c r="M190" s="148"/>
      <c r="N190" s="149"/>
      <c r="O190" s="150"/>
      <c r="P190" s="151"/>
      <c r="Q190" s="148"/>
      <c r="R190" s="149"/>
      <c r="S190" s="150"/>
      <c r="T190" s="151"/>
      <c r="U190" s="148"/>
      <c r="V190" s="149"/>
      <c r="W190" s="150"/>
      <c r="X190" s="151"/>
      <c r="Y190" s="148"/>
      <c r="Z190" s="149"/>
      <c r="AA190" s="150"/>
      <c r="AB190" s="151"/>
      <c r="AC190" s="148"/>
      <c r="AD190" s="149"/>
      <c r="AE190" s="150"/>
      <c r="AF190" s="151"/>
      <c r="AG190" s="148"/>
      <c r="AH190" s="149"/>
      <c r="AI190" s="150"/>
      <c r="AJ190" s="151"/>
      <c r="AK190" s="148"/>
      <c r="AL190" s="149"/>
      <c r="AM190" s="150"/>
      <c r="AN190" s="151"/>
      <c r="AO190" s="148"/>
      <c r="AP190" s="149"/>
      <c r="AQ190" s="150"/>
      <c r="AR190" s="151"/>
      <c r="AS190" s="148"/>
      <c r="AT190" s="149"/>
      <c r="AU190" s="150"/>
      <c r="AV190" s="151"/>
      <c r="AW190" s="148"/>
      <c r="AX190" s="149"/>
      <c r="AY190" s="150"/>
      <c r="AZ190" s="151"/>
      <c r="BA190" s="120"/>
      <c r="BB190" s="120"/>
      <c r="BC190" s="153"/>
      <c r="BD190" s="120"/>
    </row>
  </sheetData>
  <autoFilter ref="$BC$1:$BC$190"/>
  <customSheetViews>
    <customSheetView guid="{5D75EB2E-534B-4D09-B568-B218D761EEB9}" filter="1" showAutoFilter="1">
      <autoFilter ref="$A$1:$AZ$190">
        <filterColumn colId="0">
          <filters>
            <filter val="350"/>
            <filter val="230"/>
            <filter val="351"/>
            <filter val="231"/>
            <filter val="352"/>
            <filter val="353"/>
            <filter val="354"/>
            <filter val="355"/>
            <filter val="114"/>
            <filter val="356"/>
            <filter val="357"/>
            <filter val="365"/>
            <filter val="367"/>
            <filter val="415"/>
            <filter val="304"/>
            <filter val="306"/>
            <filter val="307"/>
            <filter val="308"/>
            <filter val="309"/>
            <filter val="310"/>
            <filter val="311"/>
            <filter val="312"/>
            <filter val="313"/>
            <filter val="314"/>
            <filter val="316"/>
            <filter val="319"/>
            <filter val="340"/>
            <filter val="341"/>
            <filter val="342"/>
            <filter val="223"/>
            <filter val="225"/>
            <filter val="346"/>
            <filter val="347"/>
            <filter val="348"/>
            <filter val="349"/>
            <filter val="108"/>
          </filters>
        </filterColumn>
      </autoFilter>
    </customSheetView>
    <customSheetView guid="{B0124E5B-3AF3-4098-B362-06ED4CEFBBBA}" filter="1" showAutoFilter="1">
      <autoFilter ref="$BA$1:$BA$190">
        <filterColumn colId="0">
          <filters>
            <filter val="Plopsa"/>
          </filters>
        </filterColumn>
      </autoFilter>
    </customSheetView>
    <customSheetView guid="{402F9EAA-9DEC-46B3-891F-1E0243156CA7}" filter="1" showAutoFilter="1">
      <autoFilter ref="$A$1:$AZ$188">
        <filterColumn colId="0">
          <filters>
            <filter val="230"/>
            <filter val="231"/>
            <filter val="114"/>
            <filter val="367"/>
            <filter val="415"/>
            <filter val="301"/>
            <filter val="303"/>
            <filter val="304"/>
            <filter val="305"/>
            <filter val="202"/>
            <filter val="203"/>
            <filter val="204"/>
            <filter val="205"/>
            <filter val="206"/>
            <filter val="207"/>
            <filter val="208"/>
            <filter val="209"/>
            <filter val="210"/>
            <filter val="211"/>
            <filter val="223"/>
            <filter val="108"/>
          </filters>
        </filterColumn>
      </autoFilter>
    </customSheetView>
    <customSheetView guid="{945F0F0C-2415-4804-B30F-7BA05A574DA4}" filter="1" showAutoFilter="1">
      <autoFilter ref="$A$1:$AZ$190">
        <filterColumn colId="0">
          <filters>
            <filter val="230"/>
            <filter val="110"/>
            <filter val="231"/>
            <filter val="111"/>
            <filter val="353"/>
            <filter val="112"/>
            <filter val="113"/>
            <filter val="114"/>
            <filter val="367"/>
            <filter val="525"/>
            <filter val="415"/>
            <filter val="316"/>
            <filter val="320"/>
            <filter val="201"/>
            <filter val="202"/>
            <filter val="203"/>
            <filter val="324"/>
            <filter val="204"/>
            <filter val="325"/>
            <filter val="205"/>
            <filter val="206"/>
            <filter val="207"/>
            <filter val="208"/>
            <filter val="209"/>
            <filter val="330"/>
            <filter val="210"/>
            <filter val="211"/>
            <filter val="212"/>
            <filter val="335"/>
            <filter val="336"/>
            <filter val="337"/>
            <filter val="223"/>
            <filter val="104"/>
            <filter val="225"/>
            <filter val="105"/>
            <filter val="106"/>
            <filter val="227"/>
            <filter val="107"/>
            <filter val="108"/>
            <filter val="109"/>
            <filter val="506"/>
          </filters>
        </filterColumn>
      </autoFilter>
    </customSheetView>
    <customSheetView guid="{6FEB8860-D84D-4BA2-97AF-28DB26136EFD}" filter="1" showAutoFilter="1">
      <autoFilter ref="$BA$1:$BA$190">
        <filterColumn colId="0">
          <filters>
            <filter val="Plopsa"/>
          </filters>
        </filterColumn>
      </autoFilter>
    </customSheetView>
    <customSheetView guid="{7CBE6619-63D5-4581-815A-CBA940BE4891}" filter="1" showAutoFilter="1">
      <autoFilter ref="$A$52:$AZ$54"/>
    </customSheetView>
    <customSheetView guid="{F12B3805-9B7D-4C79-B0E3-888D22CF56BA}" filter="1" showAutoFilter="1">
      <autoFilter ref="$A$1:$AZ$190"/>
    </customSheetView>
    <customSheetView guid="{4D07DEA1-7349-4DEA-A2A7-0DC742B9B501}" filter="1" showAutoFilter="1">
      <autoFilter ref="$BA$1:$BA$190">
        <filterColumn colId="0">
          <filters>
            <filter val="Plopsa"/>
          </filters>
        </filterColumn>
      </autoFilter>
    </customSheetView>
  </customSheetViews>
  <conditionalFormatting sqref="A1:BD190">
    <cfRule type="containsText" dxfId="67" priority="1" operator="containsText" text="continentis">
      <formula>NOT(ISERROR(SEARCH(("continentis"),(A1))))</formula>
    </cfRule>
  </conditionalFormatting>
  <conditionalFormatting sqref="E2:BD190">
    <cfRule type="containsText" dxfId="4" priority="2" operator="containsText" text="Quadrus">
      <formula>NOT(ISERROR(SEARCH(("Quadrus"),(E2))))</formula>
    </cfRule>
  </conditionalFormatting>
  <conditionalFormatting sqref="E2:BD190">
    <cfRule type="cellIs" dxfId="68" priority="3" operator="equal">
      <formula>"DEMA"</formula>
    </cfRule>
  </conditionalFormatting>
  <conditionalFormatting sqref="E2:BD190">
    <cfRule type="cellIs" dxfId="92" priority="4" operator="equal">
      <formula>"Déco Jardin"</formula>
    </cfRule>
  </conditionalFormatting>
  <conditionalFormatting sqref="E2:BD190">
    <cfRule type="containsText" dxfId="64" priority="5" operator="containsText" text="Carimar">
      <formula>NOT(ISERROR(SEARCH(("Carimar"),(E2))))</formula>
    </cfRule>
  </conditionalFormatting>
  <conditionalFormatting sqref="E2:BD190">
    <cfRule type="containsText" dxfId="5" priority="6" operator="containsText" text="Fintro Huy">
      <formula>NOT(ISERROR(SEARCH(("Fintro Huy"),(E2))))</formula>
    </cfRule>
  </conditionalFormatting>
  <conditionalFormatting sqref="E2:BD190">
    <cfRule type="containsText" dxfId="70" priority="7" operator="containsText" text="Cap Sud">
      <formula>NOT(ISERROR(SEARCH(("Cap Sud"),(E2))))</formula>
    </cfRule>
  </conditionalFormatting>
  <conditionalFormatting sqref="E2:BD190">
    <cfRule type="cellIs" dxfId="71" priority="8" operator="equal">
      <formula>"Promo sport"</formula>
    </cfRule>
  </conditionalFormatting>
  <conditionalFormatting sqref="E2:BD190">
    <cfRule type="cellIs" dxfId="72" priority="9" operator="equal">
      <formula>"majesty wood"</formula>
    </cfRule>
  </conditionalFormatting>
  <conditionalFormatting sqref="E2:BD190">
    <cfRule type="containsText" dxfId="6" priority="10" operator="containsText" text="Locadepot">
      <formula>NOT(ISERROR(SEARCH(("Locadepot"),(E2))))</formula>
    </cfRule>
  </conditionalFormatting>
  <conditionalFormatting sqref="E2:BD190">
    <cfRule type="cellIs" dxfId="73" priority="11" operator="equal">
      <formula>"Séos"</formula>
    </cfRule>
  </conditionalFormatting>
  <conditionalFormatting sqref="E2:BD190">
    <cfRule type="cellIs" dxfId="74" priority="12" operator="equal">
      <formula>"Chaussures Ballaux"</formula>
    </cfRule>
  </conditionalFormatting>
  <conditionalFormatting sqref="E2:BD190">
    <cfRule type="cellIs" dxfId="75" priority="13" operator="equal">
      <formula>"Green Robot"</formula>
    </cfRule>
  </conditionalFormatting>
  <conditionalFormatting sqref="E2:BD190">
    <cfRule type="containsText" dxfId="76" priority="14" operator="containsText" text="McDonalds">
      <formula>NOT(ISERROR(SEARCH(("McDonalds"),(E2))))</formula>
    </cfRule>
  </conditionalFormatting>
  <conditionalFormatting sqref="E2:BD190">
    <cfRule type="cellIs" dxfId="77" priority="15" operator="equal">
      <formula>"DPS"</formula>
    </cfRule>
  </conditionalFormatting>
  <conditionalFormatting sqref="E2:BD190">
    <cfRule type="containsText" dxfId="78" priority="16" operator="containsText" text="Poils &amp; Plumes">
      <formula>NOT(ISERROR(SEARCH(("Poils &amp; Plumes"),(E2))))</formula>
    </cfRule>
  </conditionalFormatting>
  <conditionalFormatting sqref="E2:BD190">
    <cfRule type="containsText" dxfId="79" priority="17" operator="containsText" text="Chimsco">
      <formula>NOT(ISERROR(SEARCH(("Chimsco"),(E2))))</formula>
    </cfRule>
  </conditionalFormatting>
  <conditionalFormatting sqref="E2:BD190">
    <cfRule type="containsText" dxfId="80" priority="18" operator="containsText" text="Media See">
      <formula>NOT(ISERROR(SEARCH(("Media See"),(E2))))</formula>
    </cfRule>
  </conditionalFormatting>
  <conditionalFormatting sqref="E2:BD190">
    <cfRule type="cellIs" dxfId="81" priority="19" operator="equal">
      <formula>"BD Media"</formula>
    </cfRule>
  </conditionalFormatting>
  <conditionalFormatting sqref="E2:BD190">
    <cfRule type="cellIs" dxfId="82" priority="20" operator="equal">
      <formula>"Usico"</formula>
    </cfRule>
  </conditionalFormatting>
  <conditionalFormatting sqref="E2:BD190">
    <cfRule type="cellIs" dxfId="83" priority="21" operator="equal">
      <formula>"Promimo"</formula>
    </cfRule>
  </conditionalFormatting>
  <conditionalFormatting sqref="E2:BD190">
    <cfRule type="cellIs" dxfId="84" priority="22" operator="equal">
      <formula>"Lara Ceram"</formula>
    </cfRule>
  </conditionalFormatting>
  <conditionalFormatting sqref="E2:BD190">
    <cfRule type="cellIs" dxfId="85" priority="23" operator="equal">
      <formula>"FIRR"</formula>
    </cfRule>
  </conditionalFormatting>
  <conditionalFormatting sqref="E2:BD190">
    <cfRule type="cellIs" dxfId="86" priority="24" operator="equal">
      <formula>"Majois"</formula>
    </cfRule>
  </conditionalFormatting>
  <conditionalFormatting sqref="E2:BD190">
    <cfRule type="cellIs" dxfId="87" priority="25" operator="equal">
      <formula>"Literie Massart"</formula>
    </cfRule>
  </conditionalFormatting>
  <conditionalFormatting sqref="E2:BD190">
    <cfRule type="cellIs" dxfId="88" priority="26" operator="equal">
      <formula>"KRO Carrelages"</formula>
    </cfRule>
  </conditionalFormatting>
  <conditionalFormatting sqref="E2:BD190">
    <cfRule type="cellIs" dxfId="89" priority="27" operator="equal">
      <formula>"ATB"</formula>
    </cfRule>
  </conditionalFormatting>
  <conditionalFormatting sqref="E2:BD190">
    <cfRule type="cellIs" dxfId="90" priority="28" operator="equal">
      <formula>"Immologgia"</formula>
    </cfRule>
  </conditionalFormatting>
  <conditionalFormatting sqref="E2:BD190">
    <cfRule type="cellIs" dxfId="91" priority="29" operator="equal">
      <formula>"Créer coller"</formula>
    </cfRule>
  </conditionalFormatting>
  <conditionalFormatting sqref="E2:BD190">
    <cfRule type="containsText" dxfId="7" priority="30" operator="containsText" text="leblanc">
      <formula>NOT(ISERROR(SEARCH(("leblanc"),(E2))))</formula>
    </cfRule>
  </conditionalFormatting>
  <conditionalFormatting sqref="E2:BD190">
    <cfRule type="cellIs" dxfId="8" priority="31" operator="equal">
      <formula>"Le bois au jardin"</formula>
    </cfRule>
  </conditionalFormatting>
  <conditionalFormatting sqref="E2:BD190">
    <cfRule type="containsText" dxfId="9" priority="32" operator="containsText" text="Grottes de Han">
      <formula>NOT(ISERROR(SEARCH(("Grottes de Han"),(E2))))</formula>
    </cfRule>
  </conditionalFormatting>
  <conditionalFormatting sqref="E2:BD190">
    <cfRule type="containsText" dxfId="10" priority="33" operator="containsText" text="Immo Cube">
      <formula>NOT(ISERROR(SEARCH(("Immo Cube"),(E2))))</formula>
    </cfRule>
  </conditionalFormatting>
  <conditionalFormatting sqref="E2:BD190">
    <cfRule type="cellIs" dxfId="11" priority="34" operator="equal">
      <formula>"Lumarvel"</formula>
    </cfRule>
  </conditionalFormatting>
  <conditionalFormatting sqref="E2:BD190">
    <cfRule type="cellIs" dxfId="12" priority="35" operator="equal">
      <formula>"Optic &amp; vous"</formula>
    </cfRule>
  </conditionalFormatting>
  <conditionalFormatting sqref="E2:BD190">
    <cfRule type="cellIs" dxfId="13" priority="36" operator="equal">
      <formula>"Clic Solar"</formula>
    </cfRule>
  </conditionalFormatting>
  <conditionalFormatting sqref="E2:BD190">
    <cfRule type="cellIs" dxfId="14" priority="37" operator="equal">
      <formula>"Tournesol"</formula>
    </cfRule>
  </conditionalFormatting>
  <conditionalFormatting sqref="E2:BD190">
    <cfRule type="cellIs" dxfId="15" priority="38" operator="equal">
      <formula>"JARDISART"</formula>
    </cfRule>
  </conditionalFormatting>
  <conditionalFormatting sqref="E2:BD190">
    <cfRule type="cellIs" dxfId="16" priority="39" operator="equal">
      <formula>"New Teck"</formula>
    </cfRule>
  </conditionalFormatting>
  <conditionalFormatting sqref="E2:BD190">
    <cfRule type="cellIs" dxfId="17" priority="40" operator="equal">
      <formula>"PROXIMED"</formula>
    </cfRule>
  </conditionalFormatting>
  <conditionalFormatting sqref="E2:BD190">
    <cfRule type="containsText" dxfId="18" priority="41" operator="containsText" text="COLORA">
      <formula>NOT(ISERROR(SEARCH(("COLORA"),(E2))))</formula>
    </cfRule>
  </conditionalFormatting>
  <conditionalFormatting sqref="E2:BD190">
    <cfRule type="containsText" dxfId="19" priority="42" operator="containsText" text="mobalpa">
      <formula>NOT(ISERROR(SEARCH(("mobalpa"),(E2))))</formula>
    </cfRule>
  </conditionalFormatting>
  <conditionalFormatting sqref="E2:BD190">
    <cfRule type="containsText" dxfId="20" priority="43" operator="containsText" text="Piscinat">
      <formula>NOT(ISERROR(SEARCH(("Piscinat"),(E2))))</formula>
    </cfRule>
  </conditionalFormatting>
  <conditionalFormatting sqref="E2:BD190">
    <cfRule type="cellIs" dxfId="21" priority="44" operator="equal">
      <formula>"Garage Renaux Fiat"</formula>
    </cfRule>
  </conditionalFormatting>
  <conditionalFormatting sqref="E2:BD190">
    <cfRule type="cellIs" dxfId="22" priority="45" operator="equal">
      <formula>"OPTION"</formula>
    </cfRule>
  </conditionalFormatting>
  <conditionalFormatting sqref="E2:BD190">
    <cfRule type="cellIs" dxfId="23" priority="46" operator="equal">
      <formula>"Urbaine"</formula>
    </cfRule>
  </conditionalFormatting>
  <conditionalFormatting sqref="E2:BD190">
    <cfRule type="containsText" dxfId="24" priority="47" operator="containsText" text="Tonton tapis">
      <formula>NOT(ISERROR(SEARCH(("Tonton tapis"),(E2))))</formula>
    </cfRule>
  </conditionalFormatting>
  <conditionalFormatting sqref="E2:BD190">
    <cfRule type="containsText" dxfId="25" priority="48" operator="containsText" text="Ixina">
      <formula>NOT(ISERROR(SEARCH(("Ixina"),(E2))))</formula>
    </cfRule>
  </conditionalFormatting>
  <conditionalFormatting sqref="E2:BD190">
    <cfRule type="cellIs" dxfId="26" priority="49" operator="equal">
      <formula>"Spa Rally"</formula>
    </cfRule>
  </conditionalFormatting>
  <conditionalFormatting sqref="E2:BD190">
    <cfRule type="cellIs" dxfId="27" priority="50" operator="equal">
      <formula>"BP Martelange"</formula>
    </cfRule>
  </conditionalFormatting>
  <conditionalFormatting sqref="E2:BD190">
    <cfRule type="cellIs" dxfId="28" priority="51" operator="equal">
      <formula>"Servipools"</formula>
    </cfRule>
  </conditionalFormatting>
  <conditionalFormatting sqref="E2:BD190">
    <cfRule type="cellIs" dxfId="29" priority="52" operator="equal">
      <formula>"JCP Cleaning"</formula>
    </cfRule>
  </conditionalFormatting>
  <conditionalFormatting sqref="E2:BD190">
    <cfRule type="cellIs" dxfId="30" priority="53" operator="equal">
      <formula>"Literie Prestige"</formula>
    </cfRule>
  </conditionalFormatting>
  <conditionalFormatting sqref="E2:BD190">
    <cfRule type="cellIs" dxfId="31" priority="54" operator="equal">
      <formula>"Solidarités"</formula>
    </cfRule>
  </conditionalFormatting>
  <conditionalFormatting sqref="E2:BD190">
    <cfRule type="cellIs" dxfId="32" priority="55" operator="equal">
      <formula>"Belgian Rally"</formula>
    </cfRule>
  </conditionalFormatting>
  <conditionalFormatting sqref="E2:BD190">
    <cfRule type="cellIs" dxfId="33" priority="56" operator="equal">
      <formula>"PESSLEUX"</formula>
    </cfRule>
  </conditionalFormatting>
  <conditionalFormatting sqref="E2:BD190">
    <cfRule type="cellIs" dxfId="34" priority="57" operator="equal">
      <formula>"Marco Magazzino"</formula>
    </cfRule>
  </conditionalFormatting>
  <conditionalFormatting sqref="E2:BD190">
    <cfRule type="containsText" dxfId="4" priority="58" operator="containsText" text="vausort">
      <formula>NOT(ISERROR(SEARCH(("vausort"),(E2))))</formula>
    </cfRule>
  </conditionalFormatting>
  <conditionalFormatting sqref="E2:BD190">
    <cfRule type="cellIs" dxfId="35" priority="59" operator="equal">
      <formula>"NAM Property"</formula>
    </cfRule>
  </conditionalFormatting>
  <conditionalFormatting sqref="E2:BD190">
    <cfRule type="cellIs" dxfId="36" priority="60" operator="equal">
      <formula>"Mur-Mur"</formula>
    </cfRule>
  </conditionalFormatting>
  <conditionalFormatting sqref="N112 N116 N137">
    <cfRule type="beginsWith" dxfId="39" priority="61" operator="beginsWith" text="PB">
      <formula>LEFT((N112),LEN("PB"))=("PB")</formula>
    </cfRule>
  </conditionalFormatting>
  <conditionalFormatting sqref="E2:BD190">
    <cfRule type="containsText" dxfId="37" priority="62" operator="containsText" text="Servalux">
      <formula>NOT(ISERROR(SEARCH(("Servalux"),(E2))))</formula>
    </cfRule>
  </conditionalFormatting>
  <conditionalFormatting sqref="E2:BD190">
    <cfRule type="containsText" dxfId="38" priority="63" operator="containsText" text="Schmidt">
      <formula>NOT(ISERROR(SEARCH(("Schmidt"),(E2))))</formula>
    </cfRule>
  </conditionalFormatting>
  <conditionalFormatting sqref="E1:BD178">
    <cfRule type="cellIs" dxfId="39" priority="64" operator="equal">
      <formula>"BAT"</formula>
    </cfRule>
  </conditionalFormatting>
  <conditionalFormatting sqref="E1:BD178">
    <cfRule type="cellIs" dxfId="40" priority="65" operator="equal">
      <formula>"New OK"</formula>
    </cfRule>
  </conditionalFormatting>
  <conditionalFormatting sqref="E1:BD190">
    <cfRule type="cellIs" dxfId="41" priority="66" operator="equal">
      <formula>"A faire"</formula>
    </cfRule>
  </conditionalFormatting>
  <conditionalFormatting sqref="A1:BD190">
    <cfRule type="cellIs" dxfId="63" priority="67" operator="equal">
      <formula>"AD Delhaize Chastre"</formula>
    </cfRule>
  </conditionalFormatting>
  <conditionalFormatting sqref="E1:BD180">
    <cfRule type="cellIs" dxfId="39" priority="68" operator="equal">
      <formula>"?"</formula>
    </cfRule>
  </conditionalFormatting>
  <conditionalFormatting sqref="E1:BD180">
    <cfRule type="cellIs" dxfId="42" priority="69" operator="equal">
      <formula>"OVI Services"</formula>
    </cfRule>
  </conditionalFormatting>
  <conditionalFormatting sqref="E1:BD180">
    <cfRule type="cellIs" dxfId="43" priority="70" operator="equal">
      <formula>"Yourfire"</formula>
    </cfRule>
  </conditionalFormatting>
  <conditionalFormatting sqref="E1:BD180">
    <cfRule type="containsText" dxfId="44" priority="71" operator="containsText" text="aveve">
      <formula>NOT(ISERROR(SEARCH(("aveve"),(E1))))</formula>
    </cfRule>
  </conditionalFormatting>
  <conditionalFormatting sqref="E1:BD180">
    <cfRule type="cellIs" dxfId="45" priority="72" operator="equal">
      <formula>"Château de beez"</formula>
    </cfRule>
  </conditionalFormatting>
  <conditionalFormatting sqref="E2:BD190">
    <cfRule type="cellIs" dxfId="46" priority="73" operator="equal">
      <formula>"Jardi Nature"</formula>
    </cfRule>
  </conditionalFormatting>
  <conditionalFormatting sqref="E1:BD180">
    <cfRule type="cellIs" dxfId="47" priority="74" operator="equal">
      <formula>"Full Services"</formula>
    </cfRule>
  </conditionalFormatting>
  <conditionalFormatting sqref="E1:BD180">
    <cfRule type="cellIs" dxfId="48" priority="75" operator="equal">
      <formula>"Brainbox"</formula>
    </cfRule>
  </conditionalFormatting>
  <conditionalFormatting sqref="E1:BD180">
    <cfRule type="containsText" dxfId="49" priority="76" operator="containsText" text="Kids and us">
      <formula>NOT(ISERROR(SEARCH(("Kids and us"),(E1))))</formula>
    </cfRule>
  </conditionalFormatting>
  <conditionalFormatting sqref="E1:BD180">
    <cfRule type="containsText" dxfId="50" priority="77" operator="containsText" text="Cap Sciences">
      <formula>NOT(ISERROR(SEARCH(("Cap Sciences"),(E1))))</formula>
    </cfRule>
  </conditionalFormatting>
  <conditionalFormatting sqref="E1:BD180">
    <cfRule type="containsText" dxfId="51" priority="78" operator="containsText" text="Graines de Vélo">
      <formula>NOT(ISERROR(SEARCH(("Graines de Vélo"),(E1))))</formula>
    </cfRule>
  </conditionalFormatting>
  <conditionalFormatting sqref="E1:BD180">
    <cfRule type="containsText" dxfId="52" priority="79" operator="containsText" text="CLL">
      <formula>NOT(ISERROR(SEARCH(("CLL"),(E1))))</formula>
    </cfRule>
  </conditionalFormatting>
  <conditionalFormatting sqref="E1:BD180">
    <cfRule type="containsText" dxfId="53" priority="80" operator="containsText" text="Knauf">
      <formula>NOT(ISERROR(SEARCH(("Knauf"),(E1))))</formula>
    </cfRule>
  </conditionalFormatting>
  <conditionalFormatting sqref="E1:BD180">
    <cfRule type="containsText" dxfId="54" priority="81" operator="containsText" text="Au Stock">
      <formula>NOT(ISERROR(SEARCH(("Au Stock"),(E1))))</formula>
    </cfRule>
  </conditionalFormatting>
  <conditionalFormatting sqref="E2:BD190">
    <cfRule type="containsText" dxfId="55" priority="82" operator="containsText" text="Q-outlet">
      <formula>NOT(ISERROR(SEARCH(("Q-outlet"),(E2))))</formula>
    </cfRule>
  </conditionalFormatting>
  <conditionalFormatting sqref="E1:BD180">
    <cfRule type="cellIs" dxfId="56" priority="83" operator="equal">
      <formula>"EASYHOME"</formula>
    </cfRule>
  </conditionalFormatting>
  <conditionalFormatting sqref="E1:BD180">
    <cfRule type="containsText" dxfId="57" priority="84" operator="containsText" text="Watt4U">
      <formula>NOT(ISERROR(SEARCH(("Watt4U"),(E1))))</formula>
    </cfRule>
  </conditionalFormatting>
  <conditionalFormatting sqref="E1:BD180">
    <cfRule type="containsText" dxfId="58" priority="85" operator="containsText" text="Reno-Paints">
      <formula>NOT(ISERROR(SEARCH(("Reno-Paints"),(E1))))</formula>
    </cfRule>
  </conditionalFormatting>
  <conditionalFormatting sqref="A1:BD190">
    <cfRule type="containsText" dxfId="59" priority="86" operator="containsText" text="Fermalux">
      <formula>NOT(ISERROR(SEARCH(("Fermalux"),(A1))))</formula>
    </cfRule>
  </conditionalFormatting>
  <conditionalFormatting sqref="Z180">
    <cfRule type="containsText" dxfId="60" priority="87" operator="containsText" text="probleme">
      <formula>NOT(ISERROR(SEARCH(("probleme"),(Z180))))</formula>
    </cfRule>
  </conditionalFormatting>
  <conditionalFormatting sqref="A1:BD180">
    <cfRule type="containsText" dxfId="60" priority="88" operator="containsText" text="problème">
      <formula>NOT(ISERROR(SEARCH(("problème"),(A1))))</formula>
    </cfRule>
  </conditionalFormatting>
  <conditionalFormatting sqref="V11">
    <cfRule type="containsText" dxfId="60" priority="89" operator="containsText" text="Retardé">
      <formula>NOT(ISERROR(SEARCH(("Retardé"),(V11))))</formula>
    </cfRule>
  </conditionalFormatting>
  <conditionalFormatting sqref="Z180">
    <cfRule type="containsText" dxfId="93" priority="90" operator="containsText" text="Retardé">
      <formula>NOT(ISERROR(SEARCH(("Retardé"),(Z180))))</formula>
    </cfRule>
  </conditionalFormatting>
  <conditionalFormatting sqref="A1:BD180">
    <cfRule type="containsText" dxfId="60" priority="91" operator="containsText" text="Retardé">
      <formula>NOT(ISERROR(SEARCH(("Retardé"),(A1))))</formula>
    </cfRule>
  </conditionalFormatting>
  <conditionalFormatting sqref="A1:BD180">
    <cfRule type="containsText" dxfId="61" priority="92" operator="containsText" text="Corentin">
      <formula>NOT(ISERROR(SEARCH(("Corentin"),(A1))))</formula>
    </cfRule>
  </conditionalFormatting>
  <conditionalFormatting sqref="E1:BD190">
    <cfRule type="containsText" dxfId="62" priority="93" operator="containsText" text="Fintro Ciney">
      <formula>NOT(ISERROR(SEARCH(("Fintro Ciney"),(E1))))</formula>
    </cfRule>
  </conditionalFormatting>
  <conditionalFormatting sqref="A1:BD190">
    <cfRule type="containsText" dxfId="94" priority="94" operator="containsText" text="Plopsa Coo">
      <formula>NOT(ISERROR(SEARCH(("Plopsa Coo"),(A1))))</formula>
    </cfRule>
  </conditionalFormatting>
  <conditionalFormatting sqref="A1:BD190">
    <cfRule type="containsText" dxfId="95" priority="95" operator="containsText" text="condroz motor">
      <formula>NOT(ISERROR(SEARCH(("condroz motor"),(A1))))</formula>
    </cfRule>
  </conditionalFormatting>
  <conditionalFormatting sqref="B1:B190">
    <cfRule type="containsText" dxfId="96" priority="96" operator="containsText" text="Remorque non listée">
      <formula>NOT(ISERROR(SEARCH(("Remorque non listée"),(B1))))</formula>
    </cfRule>
  </conditionalFormatting>
  <dataValidations>
    <dataValidation type="list" allowBlank="1" showDropDown="1" showInputMessage="1" prompt="Cliquez ici et saisissez une des valeurs de la plage" sqref="BA9:BD9 S2:S64 U2:U64 S65:U65 Y2:Y83 M2:M86 O2:O86 Q2:Q86 S66:S86 U66:U86 W2:W86 Y85:Y86 AA2:AA86 AC2:AC86 AE2:AE86 AG2:AG86 AI2:AI86 AK2:AK86 AM2:AM86 AO2:AO86 AQ2:AQ86 AS2:AS86 M87:Q87 S87:U87 W87:Y87 AA87:AS87 BA87:BD87 G2:G98 I2:I98 K2:K98 M88:M98 O88:O98 Q88:Q98 S88:S98 U88:U98 W88:W98 Y88:Y98 AE88:AE98 AG88:AG98 AI88:AI98 AK88:AK98 G99:I99 K99:L99 O99:Q99 S99:T99 W99:Y99 AE99:AG99 AI99:AJ99 BA99:BD99 AG100:AG107 AK100:AK108 AI100:AI109 AS88:AS116 AU2:AU116 AW2:AW116 AY2:AY116 AS117:AZ117 S100:S170 E2:E190 G100:G190 I100:I190 K100:K190 M100:M190 O100:O190 Q100:Q190 S172:S190 U100:U190 W100:W190 Y100:Y190 AA88:AA190 AC88:AC190 AE100:AE190 AG109:AG190 AI111:AI190 AK110:AK190 AM88:AM190 AO88:AO190 AQ88:AQ190 AS118:AS190 AU118:AU190 AW118:AW190 AY118:AY190">
      <formula1>'DB clients'!$A$2:$A$933</formula1>
    </dataValidation>
  </dataValidations>
  <hyperlinks>
    <hyperlink r:id="rId1" ref="A3"/>
    <hyperlink r:id="rId2" ref="A5"/>
    <hyperlink r:id="rId3" ref="A6"/>
    <hyperlink r:id="rId4" ref="A7"/>
    <hyperlink r:id="rId5" ref="A8"/>
    <hyperlink r:id="rId6" ref="A10"/>
    <hyperlink r:id="rId7" ref="A11"/>
    <hyperlink r:id="rId8" ref="A12"/>
    <hyperlink r:id="rId9" ref="A13"/>
    <hyperlink r:id="rId10" ref="A14"/>
    <hyperlink r:id="rId11" ref="A26"/>
    <hyperlink r:id="rId12" ref="A27"/>
    <hyperlink r:id="rId13" ref="A28"/>
    <hyperlink r:id="rId14" ref="A29"/>
    <hyperlink r:id="rId15" ref="A30"/>
    <hyperlink r:id="rId16" ref="A31"/>
    <hyperlink r:id="rId17" ref="A32"/>
    <hyperlink r:id="rId18" ref="A33"/>
    <hyperlink r:id="rId19" ref="A34"/>
    <hyperlink r:id="rId20" ref="A35"/>
    <hyperlink r:id="rId21" ref="A36"/>
    <hyperlink r:id="rId22" ref="A37"/>
    <hyperlink r:id="rId23" ref="A38"/>
    <hyperlink r:id="rId24" ref="A39"/>
    <hyperlink r:id="rId25" ref="A40"/>
    <hyperlink r:id="rId26" ref="A41"/>
    <hyperlink r:id="rId27" ref="A42"/>
    <hyperlink r:id="rId28" ref="A43"/>
    <hyperlink r:id="rId29" ref="A44"/>
    <hyperlink r:id="rId30" ref="A46"/>
    <hyperlink r:id="rId31" ref="A47"/>
    <hyperlink r:id="rId32" ref="A48"/>
    <hyperlink r:id="rId33" ref="A49"/>
    <hyperlink r:id="rId34" ref="A50"/>
    <hyperlink r:id="rId35" ref="A52"/>
    <hyperlink r:id="rId36" ref="A53"/>
    <hyperlink r:id="rId37" ref="A65"/>
    <hyperlink r:id="rId38" ref="A67"/>
    <hyperlink r:id="rId39" ref="A68"/>
    <hyperlink r:id="rId40" ref="A69"/>
    <hyperlink r:id="rId41" ref="A70"/>
    <hyperlink r:id="rId42" ref="A71"/>
    <hyperlink r:id="rId43" ref="A73"/>
    <hyperlink r:id="rId44" ref="A75"/>
    <hyperlink r:id="rId45" ref="A76"/>
    <hyperlink r:id="rId46" ref="A77"/>
    <hyperlink r:id="rId47" ref="A78"/>
    <hyperlink r:id="rId48" ref="A79"/>
    <hyperlink r:id="rId49" ref="A80"/>
    <hyperlink r:id="rId50" ref="A81"/>
    <hyperlink r:id="rId51" ref="A82"/>
    <hyperlink r:id="rId52" ref="A83"/>
    <hyperlink r:id="rId53" ref="A84"/>
    <hyperlink r:id="rId54" ref="A85"/>
    <hyperlink r:id="rId55" ref="A86"/>
    <hyperlink r:id="rId56" ref="A88"/>
    <hyperlink r:id="rId57" ref="A89"/>
    <hyperlink r:id="rId58" ref="A90"/>
    <hyperlink r:id="rId59" ref="A91"/>
    <hyperlink r:id="rId60" ref="A92"/>
    <hyperlink r:id="rId61" ref="A93"/>
    <hyperlink r:id="rId62" ref="A94"/>
    <hyperlink r:id="rId63" ref="A95"/>
    <hyperlink r:id="rId64" ref="A96"/>
    <hyperlink r:id="rId65" ref="A97"/>
    <hyperlink r:id="rId66" ref="A98"/>
    <hyperlink r:id="rId67" ref="A99"/>
    <hyperlink r:id="rId68" ref="A100"/>
    <hyperlink r:id="rId69" ref="A101"/>
    <hyperlink r:id="rId70" ref="A102"/>
    <hyperlink r:id="rId71" ref="A103"/>
    <hyperlink r:id="rId72" ref="A104"/>
    <hyperlink r:id="rId73" ref="A105"/>
    <hyperlink r:id="rId74" ref="A106"/>
    <hyperlink r:id="rId75" ref="A107"/>
    <hyperlink r:id="rId76" ref="A108"/>
    <hyperlink r:id="rId77" ref="A109"/>
    <hyperlink r:id="rId78" ref="A110"/>
    <hyperlink r:id="rId79" ref="A111"/>
    <hyperlink r:id="rId80" ref="A112"/>
    <hyperlink r:id="rId81" ref="A113"/>
    <hyperlink r:id="rId82" ref="A114"/>
    <hyperlink r:id="rId83" ref="A115"/>
    <hyperlink r:id="rId84" ref="A116"/>
    <hyperlink r:id="rId85" ref="A118"/>
    <hyperlink r:id="rId86" ref="A119"/>
    <hyperlink r:id="rId87" ref="A120"/>
    <hyperlink r:id="rId88" ref="A121"/>
    <hyperlink r:id="rId89" ref="A122"/>
    <hyperlink r:id="rId90" ref="A123"/>
    <hyperlink r:id="rId91" ref="A124"/>
    <hyperlink r:id="rId92" ref="A126"/>
    <hyperlink r:id="rId93" ref="A127"/>
    <hyperlink r:id="rId94" ref="A128"/>
    <hyperlink r:id="rId95" ref="A129"/>
    <hyperlink r:id="rId96" ref="A135"/>
    <hyperlink r:id="rId97" ref="A136"/>
    <hyperlink r:id="rId98" ref="A137"/>
    <hyperlink r:id="rId99" ref="A138"/>
    <hyperlink r:id="rId100" ref="A139"/>
    <hyperlink r:id="rId101" ref="A140"/>
    <hyperlink r:id="rId102" ref="A141"/>
    <hyperlink r:id="rId103" ref="A142"/>
    <hyperlink r:id="rId104" ref="A143"/>
    <hyperlink r:id="rId105" ref="A154"/>
    <hyperlink r:id="rId106" ref="A155"/>
    <hyperlink r:id="rId107" ref="A158"/>
    <hyperlink r:id="rId108" ref="A159"/>
    <hyperlink r:id="rId109" ref="A160"/>
    <hyperlink r:id="rId110" ref="A161"/>
    <hyperlink r:id="rId111" ref="A162"/>
    <hyperlink r:id="rId112" ref="A166"/>
    <hyperlink r:id="rId113" ref="A167"/>
    <hyperlink r:id="rId114" ref="A168"/>
    <hyperlink r:id="rId115" ref="A169"/>
    <hyperlink r:id="rId116" ref="A170"/>
    <hyperlink r:id="rId117" ref="A171"/>
    <hyperlink r:id="rId118" ref="A172"/>
    <hyperlink r:id="rId119" ref="A174"/>
    <hyperlink r:id="rId120" ref="A175"/>
    <hyperlink r:id="rId121" ref="A176"/>
    <hyperlink r:id="rId122" ref="A177"/>
  </hyperlinks>
  <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19.75"/>
    <col customWidth="1" min="5" max="18" width="15.75"/>
    <col customWidth="1" min="29" max="29" width="9.75"/>
  </cols>
  <sheetData>
    <row r="1" ht="37.5" customHeight="1">
      <c r="A1" s="3"/>
      <c r="B1" s="5">
        <v>2027.0</v>
      </c>
      <c r="C1" s="7" t="s">
        <v>0</v>
      </c>
      <c r="D1" s="9" t="s">
        <v>1</v>
      </c>
      <c r="E1" s="11" t="s">
        <v>2</v>
      </c>
      <c r="F1" s="13" t="s">
        <v>2</v>
      </c>
      <c r="G1" s="16" t="s">
        <v>4</v>
      </c>
      <c r="H1" s="18" t="s">
        <v>4</v>
      </c>
      <c r="I1" s="20" t="s">
        <v>5</v>
      </c>
      <c r="J1" s="22" t="s">
        <v>5</v>
      </c>
      <c r="K1" s="16" t="s">
        <v>7</v>
      </c>
      <c r="L1" s="18" t="s">
        <v>7</v>
      </c>
      <c r="M1" s="20" t="s">
        <v>8</v>
      </c>
      <c r="N1" s="22" t="s">
        <v>8</v>
      </c>
      <c r="O1" s="16" t="s">
        <v>10</v>
      </c>
      <c r="P1" s="18" t="s">
        <v>10</v>
      </c>
      <c r="Q1" s="20" t="s">
        <v>11</v>
      </c>
      <c r="R1" s="22" t="s">
        <v>11</v>
      </c>
      <c r="S1" s="16" t="s">
        <v>12</v>
      </c>
      <c r="T1" s="18" t="s">
        <v>12</v>
      </c>
      <c r="U1" s="20" t="s">
        <v>13</v>
      </c>
      <c r="V1" s="22" t="s">
        <v>13</v>
      </c>
      <c r="W1" s="16" t="s">
        <v>14</v>
      </c>
      <c r="X1" s="18" t="s">
        <v>14</v>
      </c>
      <c r="Y1" s="20" t="s">
        <v>15</v>
      </c>
      <c r="Z1" s="22" t="s">
        <v>15</v>
      </c>
      <c r="AA1" s="16" t="s">
        <v>16</v>
      </c>
      <c r="AB1" s="29" t="s">
        <v>16</v>
      </c>
      <c r="AC1" s="31"/>
    </row>
    <row r="2" ht="21.75" hidden="1" customHeight="1">
      <c r="A2" s="40" t="str">
        <f>Tableau!A2</f>
        <v/>
      </c>
      <c r="B2" s="46" t="str">
        <f>VLOOKUP($A2,LocalisationRemorque,2,0)</f>
        <v> Remorque non listée</v>
      </c>
      <c r="C2" s="47" t="str">
        <f>VLOOKUP($A2,LocalisationRemorque,3,0)</f>
        <v/>
      </c>
      <c r="D2" s="49" t="str">
        <f>CONCATENATE(VLOOKUP($A2,LocalisationRemorque,6,0)," ► ",VLOOKUP($A2,LocalisationRemorque,5,0))</f>
        <v> ► </v>
      </c>
      <c r="E2" s="52" t="str">
        <f>IF(ISBLANK(Tableau!$E$2), "LIBRE", "OCCUPÉ")</f>
        <v>LIBRE</v>
      </c>
      <c r="F2" s="52" t="str">
        <f>IF(ISBLANK(Tableau!$G$2), "LIBRE", "OCCUPÉ")</f>
        <v>LIBRE</v>
      </c>
      <c r="G2" s="54" t="str">
        <f>IF(ISBLANK(Tableau!$I$2), "LIBRE", "OCCUPÉ")</f>
        <v>LIBRE</v>
      </c>
      <c r="H2" s="52" t="str">
        <f>IF(ISBLANK(Tableau!$K$2), "LIBRE", "OCCUPÉ")</f>
        <v>LIBRE</v>
      </c>
      <c r="I2" s="54" t="str">
        <f>IF(ISBLANK(Tableau!$M$2), "LIBRE", "OCCUPÉ")</f>
        <v>LIBRE</v>
      </c>
      <c r="J2" s="54" t="str">
        <f>IF(ISBLANK(Tableau!$O$2), "LIBRE", "OCCUPÉ")</f>
        <v>LIBRE</v>
      </c>
      <c r="K2" s="54" t="str">
        <f>IF(ISBLANK(Tableau!$Q$2), "LIBRE", "OCCUPÉ")</f>
        <v>LIBRE</v>
      </c>
      <c r="L2" s="54" t="str">
        <f>IF(ISBLANK(Tableau!$S$2), "LIBRE", "OCCUPÉ")</f>
        <v>LIBRE</v>
      </c>
      <c r="M2" s="52" t="str">
        <f>IF(ISBLANK(Tableau!$U$2), "LIBRE", "OCCUPÉ")</f>
        <v>LIBRE</v>
      </c>
      <c r="N2" s="54" t="str">
        <f>IF(ISBLANK(Tableau!$W$2), "LIBRE", "OCCUPÉ")</f>
        <v>LIBRE</v>
      </c>
      <c r="O2" s="54" t="str">
        <f>IF(ISBLANK(Tableau!$Y$2), "LIBRE", "OCCUPÉ")</f>
        <v>LIBRE</v>
      </c>
      <c r="P2" s="54" t="str">
        <f>IF(ISBLANK(Tableau!$AA$2), "LIBRE", "OCCUPÉ")</f>
        <v>LIBRE</v>
      </c>
      <c r="Q2" s="54" t="str">
        <f>IF(ISBLANK(Tableau!$AC$2), "LIBRE", "OCCUPÉ")</f>
        <v>LIBRE</v>
      </c>
      <c r="R2" s="54" t="str">
        <f>IF(ISBLANK(Tableau!$AE$2), "LIBRE", "OCCUPÉ")</f>
        <v>LIBRE</v>
      </c>
      <c r="S2" s="54" t="str">
        <f>IF(ISBLANK(Tableau!$AG$2), "LIBRE", "OCCUPÉ")</f>
        <v>LIBRE</v>
      </c>
      <c r="T2" s="54" t="str">
        <f>IF(ISBLANK(Tableau!$AI$2), "LIBRE", "OCCUPÉ")</f>
        <v>LIBRE</v>
      </c>
      <c r="U2" s="54" t="str">
        <f>IF(ISBLANK(Tableau!$AK$2), "LIBRE", "OCCUPÉ")</f>
        <v>LIBRE</v>
      </c>
      <c r="V2" s="54" t="str">
        <f>IF(ISBLANK(Tableau!$AM$2), "LIBRE", "OCCUPÉ")</f>
        <v>LIBRE</v>
      </c>
      <c r="W2" s="54" t="str">
        <f>IF(ISBLANK(Tableau!$AO$2), "LIBRE", "OCCUPÉ")</f>
        <v>LIBRE</v>
      </c>
      <c r="X2" s="54" t="str">
        <f>IF(ISBLANK(Tableau!$AQ$2), "LIBRE", "OCCUPÉ")</f>
        <v>LIBRE</v>
      </c>
      <c r="Y2" s="54" t="str">
        <f>IF(ISBLANK(Tableau!$AS$2), "LIBRE", "OCCUPÉ")</f>
        <v>LIBRE</v>
      </c>
      <c r="Z2" s="54" t="str">
        <f>IF(ISBLANK(Tableau!$AU$2), "LIBRE", "OCCUPÉ")</f>
        <v>LIBRE</v>
      </c>
      <c r="AA2" s="54" t="str">
        <f>IF(ISBLANK(Tableau!$AW$2), "LIBRE", "OCCUPÉ")</f>
        <v>LIBRE</v>
      </c>
      <c r="AB2" s="69" t="str">
        <f>IF(ISBLANK(Tableau!$AY$2), "LIBRE", "OCCUPÉ")</f>
        <v>LIBRE</v>
      </c>
      <c r="AC2" s="70"/>
    </row>
    <row r="3" ht="21.75" customHeight="1">
      <c r="A3" s="72">
        <f>Tableau!A3</f>
        <v>102</v>
      </c>
      <c r="B3" s="73" t="str">
        <f>VLOOKUP($A3,LocalisationRemorque,2,0)</f>
        <v>Nivelles</v>
      </c>
      <c r="C3" s="74" t="str">
        <f>VLOOKUP($A3,LocalisationRemorque,3,0)</f>
        <v>Sud Thines</v>
      </c>
      <c r="D3" s="75" t="str">
        <f>CONCATENATE(VLOOKUP($A3,LocalisationRemorque,6,0)," ► ",VLOOKUP($A3,LocalisationRemorque,5,0))</f>
        <v>Nivelles ► Namur</v>
      </c>
      <c r="E3" s="54" t="str">
        <f>IF(ISBLANK(Tableau!$E$3), "LIBRE", "OCCUPÉ")</f>
        <v>OCCUPÉ</v>
      </c>
      <c r="F3" s="54" t="str">
        <f>IF(ISBLANK(Tableau!$G$3), "LIBRE", "OCCUPÉ")</f>
        <v>OCCUPÉ</v>
      </c>
      <c r="G3" s="54" t="str">
        <f>IF(ISBLANK(Tableau!$I$3), "LIBRE", "OCCUPÉ")</f>
        <v>LIBRE</v>
      </c>
      <c r="H3" s="52" t="str">
        <f>IF(ISBLANK(Tableau!$K$3), "LIBRE", "OCCUPÉ")</f>
        <v>LIBRE</v>
      </c>
      <c r="I3" s="54" t="str">
        <f>IF(ISBLANK(Tableau!$M$3), "LIBRE", "OCCUPÉ")</f>
        <v>LIBRE</v>
      </c>
      <c r="J3" s="54" t="str">
        <f>IF(ISBLANK(Tableau!$O$3), "LIBRE", "OCCUPÉ")</f>
        <v>LIBRE</v>
      </c>
      <c r="K3" s="54" t="str">
        <f>IF(ISBLANK(Tableau!$Q$3), "LIBRE", "OCCUPÉ")</f>
        <v>LIBRE</v>
      </c>
      <c r="L3" s="54" t="str">
        <f>IF(ISBLANK(Tableau!$S$3), "LIBRE", "OCCUPÉ")</f>
        <v>OCCUPÉ</v>
      </c>
      <c r="M3" s="54" t="str">
        <f>IF(ISBLANK(Tableau!$U$3), "LIBRE", "OCCUPÉ")</f>
        <v>LIBRE</v>
      </c>
      <c r="N3" s="54" t="str">
        <f>IF(ISBLANK(Tableau!$W$3), "LIBRE", "OCCUPÉ")</f>
        <v>OCCUPÉ</v>
      </c>
      <c r="O3" s="54" t="str">
        <f>IF(ISBLANK(Tableau!$Y$3), "LIBRE", "OCCUPÉ")</f>
        <v>LIBRE</v>
      </c>
      <c r="P3" s="52" t="str">
        <f>IF(ISBLANK(Tableau!$AA$3), "LIBRE", "OCCUPÉ")</f>
        <v>LIBRE</v>
      </c>
      <c r="Q3" s="52" t="str">
        <f>IF(ISBLANK(Tableau!$AC$3), "LIBRE", "OCCUPÉ")</f>
        <v>OCCUPÉ</v>
      </c>
      <c r="R3" s="54" t="str">
        <f>IF(ISBLANK(Tableau!$AE$3), "LIBRE", "OCCUPÉ")</f>
        <v>OCCUPÉ</v>
      </c>
      <c r="S3" s="54" t="str">
        <f>IF(ISBLANK(Tableau!$AG$3), "LIBRE", "OCCUPÉ")</f>
        <v>LIBRE</v>
      </c>
      <c r="T3" s="52" t="str">
        <f>IF(ISBLANK(Tableau!$AI$3), "LIBRE", "OCCUPÉ")</f>
        <v>LIBRE</v>
      </c>
      <c r="U3" s="54" t="str">
        <f>IF(ISBLANK(Tableau!$AK$3), "LIBRE", "OCCUPÉ")</f>
        <v>OCCUPÉ</v>
      </c>
      <c r="V3" s="54" t="str">
        <f>IF(ISBLANK(Tableau!$AM$3), "LIBRE", "OCCUPÉ")</f>
        <v>LIBRE</v>
      </c>
      <c r="W3" s="54" t="str">
        <f>IF(ISBLANK(Tableau!$AO$3), "LIBRE", "OCCUPÉ")</f>
        <v>OCCUPÉ</v>
      </c>
      <c r="X3" s="52" t="str">
        <f>IF(ISBLANK(Tableau!$AQ$3), "LIBRE", "OCCUPÉ")</f>
        <v>LIBRE</v>
      </c>
      <c r="Y3" s="54" t="str">
        <f>IF(ISBLANK(Tableau!$AS$3), "LIBRE", "OCCUPÉ")</f>
        <v>LIBRE</v>
      </c>
      <c r="Z3" s="52" t="str">
        <f>IF(ISBLANK(Tableau!$AU$3), "LIBRE", "OCCUPÉ")</f>
        <v>LIBRE</v>
      </c>
      <c r="AA3" s="52" t="str">
        <f>IF(ISBLANK(Tableau!$AW$3), "LIBRE", "OCCUPÉ")</f>
        <v>OCCUPÉ</v>
      </c>
      <c r="AB3" s="76" t="str">
        <f>IF(ISBLANK(Tableau!$AY$3), "LIBRE", "OCCUPÉ")</f>
        <v>LIBRE</v>
      </c>
      <c r="AC3" s="77"/>
    </row>
    <row r="4" ht="21.75" hidden="1" customHeight="1">
      <c r="A4" s="40" t="str">
        <f>Tableau!A4</f>
        <v/>
      </c>
      <c r="B4" s="46" t="str">
        <f>VLOOKUP($A4,LocalisationRemorque,2,0)</f>
        <v> Remorque non listée</v>
      </c>
      <c r="C4" s="47" t="str">
        <f>VLOOKUP($A4,LocalisationRemorque,3,0)</f>
        <v/>
      </c>
      <c r="D4" s="49" t="str">
        <f>CONCATENATE(VLOOKUP($A4,LocalisationRemorque,6,0)," ► ",VLOOKUP($A4,LocalisationRemorque,5,0))</f>
        <v> ► </v>
      </c>
      <c r="E4" s="54" t="str">
        <f>IF(ISBLANK(Tableau!$E$4), "LIBRE", "OCCUPÉ")</f>
        <v>LIBRE</v>
      </c>
      <c r="F4" s="52" t="str">
        <f>IF(ISBLANK(Tableau!$G$4), "LIBRE", "OCCUPÉ")</f>
        <v>LIBRE</v>
      </c>
      <c r="G4" s="54" t="str">
        <f>IF(ISBLANK(Tableau!$I$4), "LIBRE", "OCCUPÉ")</f>
        <v>LIBRE</v>
      </c>
      <c r="H4" s="52" t="str">
        <f>IF(ISBLANK(Tableau!$K$4), "LIBRE", "OCCUPÉ")</f>
        <v>LIBRE</v>
      </c>
      <c r="I4" s="54" t="str">
        <f>IF(ISBLANK(Tableau!$M$4), "LIBRE", "OCCUPÉ")</f>
        <v>LIBRE</v>
      </c>
      <c r="J4" s="54" t="str">
        <f>IF(ISBLANK(Tableau!$O$4), "LIBRE", "OCCUPÉ")</f>
        <v>LIBRE</v>
      </c>
      <c r="K4" s="54" t="str">
        <f>IF(ISBLANK(Tableau!$Q$4), "LIBRE", "OCCUPÉ")</f>
        <v>LIBRE</v>
      </c>
      <c r="L4" s="54" t="str">
        <f>IF(ISBLANK(Tableau!$S$4), "LIBRE", "OCCUPÉ")</f>
        <v>LIBRE</v>
      </c>
      <c r="M4" s="54" t="str">
        <f>IF(ISBLANK(Tableau!$U$4), "LIBRE", "OCCUPÉ")</f>
        <v>LIBRE</v>
      </c>
      <c r="N4" s="54" t="str">
        <f>IF(ISBLANK(Tableau!$W$4), "LIBRE", "OCCUPÉ")</f>
        <v>LIBRE</v>
      </c>
      <c r="O4" s="54" t="str">
        <f>IF(ISBLANK(Tableau!$Y$4), "LIBRE", "OCCUPÉ")</f>
        <v>LIBRE</v>
      </c>
      <c r="P4" s="54" t="str">
        <f>IF(ISBLANK(Tableau!$AA$4), "LIBRE", "OCCUPÉ")</f>
        <v>LIBRE</v>
      </c>
      <c r="Q4" s="54" t="str">
        <f>IF(ISBLANK(Tableau!$AC$4), "LIBRE", "OCCUPÉ")</f>
        <v>LIBRE</v>
      </c>
      <c r="R4" s="54" t="str">
        <f>IF(ISBLANK(Tableau!$AE$4), "LIBRE", "OCCUPÉ")</f>
        <v>LIBRE</v>
      </c>
      <c r="S4" s="54" t="str">
        <f>IF(ISBLANK(Tableau!$AG$4), "LIBRE", "OCCUPÉ")</f>
        <v>LIBRE</v>
      </c>
      <c r="T4" s="52" t="str">
        <f>IF(ISBLANK(Tableau!$AI$4), "LIBRE", "OCCUPÉ")</f>
        <v>LIBRE</v>
      </c>
      <c r="U4" s="54" t="str">
        <f>IF(ISBLANK(Tableau!$AK$4), "LIBRE", "OCCUPÉ")</f>
        <v>LIBRE</v>
      </c>
      <c r="V4" s="52" t="str">
        <f>IF(ISBLANK(Tableau!$AM$4), "LIBRE", "OCCUPÉ")</f>
        <v>LIBRE</v>
      </c>
      <c r="W4" s="54" t="str">
        <f>IF(ISBLANK(Tableau!$AO$4), "LIBRE", "OCCUPÉ")</f>
        <v>LIBRE</v>
      </c>
      <c r="X4" s="52" t="str">
        <f>IF(ISBLANK(Tableau!$AQ$4), "LIBRE", "OCCUPÉ")</f>
        <v>LIBRE</v>
      </c>
      <c r="Y4" s="54" t="str">
        <f>IF(ISBLANK(Tableau!$AS$4), "LIBRE", "OCCUPÉ")</f>
        <v>LIBRE</v>
      </c>
      <c r="Z4" s="52" t="str">
        <f>IF(ISBLANK(Tableau!$AU$4), "LIBRE", "OCCUPÉ")</f>
        <v>LIBRE</v>
      </c>
      <c r="AA4" s="54" t="str">
        <f>IF(ISBLANK(Tableau!$AW$4), "LIBRE", "OCCUPÉ")</f>
        <v>LIBRE</v>
      </c>
      <c r="AB4" s="76" t="str">
        <f>IF(ISBLANK(Tableau!$AY$4), "LIBRE", "OCCUPÉ")</f>
        <v>LIBRE</v>
      </c>
      <c r="AC4" s="88"/>
    </row>
    <row r="5" ht="21.75" customHeight="1">
      <c r="A5" s="72">
        <f>Tableau!A5</f>
        <v>104</v>
      </c>
      <c r="B5" s="73" t="str">
        <f>VLOOKUP($A5,LocalisationRemorque,2,0)</f>
        <v>Ottignies</v>
      </c>
      <c r="C5" s="74" t="str">
        <f>VLOOKUP($A5,LocalisationRemorque,3,0)</f>
        <v>Clinique</v>
      </c>
      <c r="D5" s="75" t="str">
        <f>CONCATENATE(VLOOKUP($A5,LocalisationRemorque,6,0)," ► ",VLOOKUP($A5,LocalisationRemorque,5,0))</f>
        <v>Rixensart ► Court-Saint-Etienne</v>
      </c>
      <c r="E5" s="54" t="str">
        <f>IF(ISBLANK(Tableau!$E$5), "LIBRE", "OCCUPÉ")</f>
        <v>OCCUPÉ</v>
      </c>
      <c r="F5" s="52" t="str">
        <f>IF(ISBLANK(Tableau!$G$5), "LIBRE", "OCCUPÉ")</f>
        <v>OCCUPÉ</v>
      </c>
      <c r="G5" s="52" t="str">
        <f>IF(ISBLANK(Tableau!$I$5), "LIBRE", "OCCUPÉ")</f>
        <v>LIBRE</v>
      </c>
      <c r="H5" s="52" t="str">
        <f>IF(ISBLANK(Tableau!$K$5), "LIBRE", "OCCUPÉ")</f>
        <v>LIBRE</v>
      </c>
      <c r="I5" s="54" t="str">
        <f>IF(ISBLANK(Tableau!$M$5), "LIBRE", "OCCUPÉ")</f>
        <v>OCCUPÉ</v>
      </c>
      <c r="J5" s="54" t="str">
        <f>IF(ISBLANK(Tableau!$O$5), "LIBRE", "OCCUPÉ")</f>
        <v>LIBRE</v>
      </c>
      <c r="K5" s="54" t="str">
        <f>IF(ISBLANK(Tableau!$Q$5), "LIBRE", "OCCUPÉ")</f>
        <v>LIBRE</v>
      </c>
      <c r="L5" s="54" t="str">
        <f>IF(ISBLANK(Tableau!$S$5), "LIBRE", "OCCUPÉ")</f>
        <v>LIBRE</v>
      </c>
      <c r="M5" s="54" t="str">
        <f>IF(ISBLANK(Tableau!$U$5), "LIBRE", "OCCUPÉ")</f>
        <v>LIBRE</v>
      </c>
      <c r="N5" s="54" t="str">
        <f>IF(ISBLANK(Tableau!$W$5), "LIBRE", "OCCUPÉ")</f>
        <v>LIBRE</v>
      </c>
      <c r="O5" s="54" t="str">
        <f>IF(ISBLANK(Tableau!$Y$5), "LIBRE", "OCCUPÉ")</f>
        <v>OCCUPÉ</v>
      </c>
      <c r="P5" s="52" t="str">
        <f>IF(ISBLANK(Tableau!$AA$5), "LIBRE", "OCCUPÉ")</f>
        <v>LIBRE</v>
      </c>
      <c r="Q5" s="52" t="str">
        <f>IF(ISBLANK(Tableau!$AC$5), "LIBRE", "OCCUPÉ")</f>
        <v>LIBRE</v>
      </c>
      <c r="R5" s="52" t="str">
        <f>IF(ISBLANK(Tableau!$AE$5), "LIBRE", "OCCUPÉ")</f>
        <v>LIBRE</v>
      </c>
      <c r="S5" s="54" t="str">
        <f>IF(ISBLANK(Tableau!$AG$5), "LIBRE", "OCCUPÉ")</f>
        <v>LIBRE</v>
      </c>
      <c r="T5" s="54" t="str">
        <f>IF(ISBLANK(Tableau!$AI$5), "LIBRE", "OCCUPÉ")</f>
        <v>LIBRE</v>
      </c>
      <c r="U5" s="54" t="str">
        <f>IF(ISBLANK(Tableau!$AK$5), "LIBRE", "OCCUPÉ")</f>
        <v>OCCUPÉ</v>
      </c>
      <c r="V5" s="52" t="str">
        <f>IF(ISBLANK(Tableau!$AM$5), "LIBRE", "OCCUPÉ")</f>
        <v>LIBRE</v>
      </c>
      <c r="W5" s="54" t="str">
        <f>IF(ISBLANK(Tableau!$AO$5), "LIBRE", "OCCUPÉ")</f>
        <v>LIBRE</v>
      </c>
      <c r="X5" s="52" t="str">
        <f>IF(ISBLANK(Tableau!$AQ$5), "LIBRE", "OCCUPÉ")</f>
        <v>LIBRE</v>
      </c>
      <c r="Y5" s="54" t="str">
        <f>IF(ISBLANK(Tableau!$AS$5), "LIBRE", "OCCUPÉ")</f>
        <v>OCCUPÉ</v>
      </c>
      <c r="Z5" s="54" t="str">
        <f>IF(ISBLANK(Tableau!$AU$5), "LIBRE", "OCCUPÉ")</f>
        <v>LIBRE</v>
      </c>
      <c r="AA5" s="54" t="str">
        <f>IF(ISBLANK(Tableau!$AW$5), "LIBRE", "OCCUPÉ")</f>
        <v>LIBRE</v>
      </c>
      <c r="AB5" s="76" t="str">
        <f>IF(ISBLANK(Tableau!$AY$5), "LIBRE", "OCCUPÉ")</f>
        <v>LIBRE</v>
      </c>
      <c r="AC5" s="77"/>
    </row>
    <row r="6" ht="21.75" customHeight="1">
      <c r="A6" s="40">
        <f>Tableau!A6</f>
        <v>105</v>
      </c>
      <c r="B6" s="46" t="str">
        <f>VLOOKUP($A6,LocalisationRemorque,2,0)</f>
        <v>Louvain-la-Neuve</v>
      </c>
      <c r="C6" s="47" t="str">
        <f>VLOOKUP($A6,LocalisationRemorque,3,0)</f>
        <v>Corbais</v>
      </c>
      <c r="D6" s="49" t="str">
        <f>CONCATENATE(VLOOKUP($A6,LocalisationRemorque,6,0)," ► ",VLOOKUP($A6,LocalisationRemorque,5,0))</f>
        <v>LLN ► Gembloux</v>
      </c>
      <c r="E6" s="54" t="str">
        <f>IF(ISBLANK(Tableau!$E$6), "LIBRE", "OCCUPÉ")</f>
        <v>OCCUPÉ</v>
      </c>
      <c r="F6" s="52" t="str">
        <f>IF(ISBLANK(Tableau!$G$6), "LIBRE", "OCCUPÉ")</f>
        <v>LIBRE</v>
      </c>
      <c r="G6" s="54" t="str">
        <f>IF(ISBLANK(Tableau!$I$6), "LIBRE", "OCCUPÉ")</f>
        <v>LIBRE</v>
      </c>
      <c r="H6" s="52" t="str">
        <f>IF(ISBLANK(Tableau!$K$6), "LIBRE", "OCCUPÉ")</f>
        <v>LIBRE</v>
      </c>
      <c r="I6" s="54" t="str">
        <f>IF(ISBLANK(Tableau!$M$6), "LIBRE", "OCCUPÉ")</f>
        <v>LIBRE</v>
      </c>
      <c r="J6" s="54" t="str">
        <f>IF(ISBLANK(Tableau!$O$6), "LIBRE", "OCCUPÉ")</f>
        <v>LIBRE</v>
      </c>
      <c r="K6" s="54" t="str">
        <f>IF(ISBLANK(Tableau!$Q$6), "LIBRE", "OCCUPÉ")</f>
        <v>LIBRE</v>
      </c>
      <c r="L6" s="54" t="str">
        <f>IF(ISBLANK(Tableau!$S$6), "LIBRE", "OCCUPÉ")</f>
        <v>LIBRE</v>
      </c>
      <c r="M6" s="54" t="str">
        <f>IF(ISBLANK(Tableau!$U$6), "LIBRE", "OCCUPÉ")</f>
        <v>LIBRE</v>
      </c>
      <c r="N6" s="54" t="str">
        <f>IF(ISBLANK(Tableau!$W$6), "LIBRE", "OCCUPÉ")</f>
        <v>LIBRE</v>
      </c>
      <c r="O6" s="54" t="str">
        <f>IF(ISBLANK(Tableau!$Y$6), "LIBRE", "OCCUPÉ")</f>
        <v>LIBRE</v>
      </c>
      <c r="P6" s="54" t="str">
        <f>IF(ISBLANK(Tableau!$AA$6), "LIBRE", "OCCUPÉ")</f>
        <v>LIBRE</v>
      </c>
      <c r="Q6" s="54" t="str">
        <f>IF(ISBLANK(Tableau!$AC$6), "LIBRE", "OCCUPÉ")</f>
        <v>OCCUPÉ</v>
      </c>
      <c r="R6" s="54" t="str">
        <f>IF(ISBLANK(Tableau!$AE$6), "LIBRE", "OCCUPÉ")</f>
        <v>LIBRE</v>
      </c>
      <c r="S6" s="54" t="str">
        <f>IF(ISBLANK(Tableau!$AG$6), "LIBRE", "OCCUPÉ")</f>
        <v>LIBRE</v>
      </c>
      <c r="T6" s="54" t="str">
        <f>IF(ISBLANK(Tableau!$AI$6), "LIBRE", "OCCUPÉ")</f>
        <v>LIBRE</v>
      </c>
      <c r="U6" s="54" t="str">
        <f>IF(ISBLANK(Tableau!$AK$6), "LIBRE", "OCCUPÉ")</f>
        <v>LIBRE</v>
      </c>
      <c r="V6" s="54" t="str">
        <f>IF(ISBLANK(Tableau!$AM$6), "LIBRE", "OCCUPÉ")</f>
        <v>LIBRE</v>
      </c>
      <c r="W6" s="54" t="str">
        <f>IF(ISBLANK(Tableau!$AO$6), "LIBRE", "OCCUPÉ")</f>
        <v>LIBRE</v>
      </c>
      <c r="X6" s="54" t="str">
        <f>IF(ISBLANK(Tableau!$AQ$6), "LIBRE", "OCCUPÉ")</f>
        <v>LIBRE</v>
      </c>
      <c r="Y6" s="54" t="str">
        <f>IF(ISBLANK(Tableau!$AS$6), "LIBRE", "OCCUPÉ")</f>
        <v>LIBRE</v>
      </c>
      <c r="Z6" s="52" t="str">
        <f>IF(ISBLANK(Tableau!$AU$6), "LIBRE", "OCCUPÉ")</f>
        <v>LIBRE</v>
      </c>
      <c r="AA6" s="54" t="str">
        <f>IF(ISBLANK(Tableau!$AW$6), "LIBRE", "OCCUPÉ")</f>
        <v>OCCUPÉ</v>
      </c>
      <c r="AB6" s="76" t="str">
        <f>IF(ISBLANK(Tableau!$AY6), "LIBRE", "OCCUPÉ")</f>
        <v>LIBRE</v>
      </c>
      <c r="AC6" s="70"/>
    </row>
    <row r="7" ht="21.75" customHeight="1">
      <c r="A7" s="72">
        <f>Tableau!A7</f>
        <v>106</v>
      </c>
      <c r="B7" s="73" t="str">
        <f>VLOOKUP($A7,LocalisationRemorque,2,0)</f>
        <v>Wavre</v>
      </c>
      <c r="C7" s="74" t="str">
        <f>VLOOKUP($A7,LocalisationRemorque,3,0)</f>
        <v>Grez-Doiceau 1</v>
      </c>
      <c r="D7" s="75" t="str">
        <f>CONCATENATE(VLOOKUP($A7,LocalisationRemorque,6,0)," ► ",VLOOKUP($A7,LocalisationRemorque,5,0))</f>
        <v>Wavre ► Grez</v>
      </c>
      <c r="E7" s="54" t="str">
        <f>IF(ISBLANK(Tableau!$E$7), "LIBRE", "OCCUPÉ")</f>
        <v>OCCUPÉ</v>
      </c>
      <c r="F7" s="52" t="str">
        <f>IF(ISBLANK(Tableau!$G$7), "LIBRE", "OCCUPÉ")</f>
        <v>OCCUPÉ</v>
      </c>
      <c r="G7" s="54" t="str">
        <f>IF(ISBLANK(Tableau!$I$7), "LIBRE", "OCCUPÉ")</f>
        <v>LIBRE</v>
      </c>
      <c r="H7" s="52" t="str">
        <f>IF(ISBLANK(Tableau!$K$7), "LIBRE", "OCCUPÉ")</f>
        <v>LIBRE</v>
      </c>
      <c r="I7" s="54" t="str">
        <f>IF(ISBLANK(Tableau!$M$7), "LIBRE", "OCCUPÉ")</f>
        <v>OCCUPÉ</v>
      </c>
      <c r="J7" s="54" t="str">
        <f>IF(ISBLANK(Tableau!$O$7), "LIBRE", "OCCUPÉ")</f>
        <v>LIBRE</v>
      </c>
      <c r="K7" s="54" t="str">
        <f>IF(ISBLANK(Tableau!$Q$7), "LIBRE", "OCCUPÉ")</f>
        <v>LIBRE</v>
      </c>
      <c r="L7" s="54" t="str">
        <f>IF(ISBLANK(Tableau!$S$7), "LIBRE", "OCCUPÉ")</f>
        <v>LIBRE</v>
      </c>
      <c r="M7" s="54" t="str">
        <f>IF(ISBLANK(Tableau!$U$7), "LIBRE", "OCCUPÉ")</f>
        <v>LIBRE</v>
      </c>
      <c r="N7" s="54" t="str">
        <f>IF(ISBLANK(Tableau!$W$7), "LIBRE", "OCCUPÉ")</f>
        <v>LIBRE</v>
      </c>
      <c r="O7" s="54" t="str">
        <f>IF(ISBLANK(Tableau!$Y$7), "LIBRE", "OCCUPÉ")</f>
        <v>OCCUPÉ</v>
      </c>
      <c r="P7" s="54" t="str">
        <f>IF(ISBLANK(Tableau!$AA$7), "LIBRE", "OCCUPÉ")</f>
        <v>LIBRE</v>
      </c>
      <c r="Q7" s="54" t="str">
        <f>IF(ISBLANK(Tableau!$AC$7), "LIBRE", "OCCUPÉ")</f>
        <v>LIBRE</v>
      </c>
      <c r="R7" s="52" t="str">
        <f>IF(ISBLANK(Tableau!$AE$7), "LIBRE", "OCCUPÉ")</f>
        <v>LIBRE</v>
      </c>
      <c r="S7" s="54" t="str">
        <f>IF(ISBLANK(Tableau!$AG$7), "LIBRE", "OCCUPÉ")</f>
        <v>LIBRE</v>
      </c>
      <c r="T7" s="54" t="str">
        <f>IF(ISBLANK(Tableau!$AI$7), "LIBRE", "OCCUPÉ")</f>
        <v>LIBRE</v>
      </c>
      <c r="U7" s="54" t="str">
        <f>IF(ISBLANK(Tableau!$AK$7), "LIBRE", "OCCUPÉ")</f>
        <v>OCCUPÉ</v>
      </c>
      <c r="V7" s="52" t="str">
        <f>IF(ISBLANK(Tableau!$AM$7), "LIBRE", "OCCUPÉ")</f>
        <v>LIBRE</v>
      </c>
      <c r="W7" s="54" t="str">
        <f>IF(ISBLANK(Tableau!$AO$7), "LIBRE", "OCCUPÉ")</f>
        <v>LIBRE</v>
      </c>
      <c r="X7" s="54" t="str">
        <f>IF(ISBLANK(Tableau!$AQ$7), "LIBRE", "OCCUPÉ")</f>
        <v>LIBRE</v>
      </c>
      <c r="Y7" s="52" t="str">
        <f>IF(ISBLANK(Tableau!$AS$7), "LIBRE", "OCCUPÉ")</f>
        <v>OCCUPÉ</v>
      </c>
      <c r="Z7" s="52" t="str">
        <f>IF(ISBLANK(Tableau!$AU$7), "LIBRE", "OCCUPÉ")</f>
        <v>LIBRE</v>
      </c>
      <c r="AA7" s="52" t="str">
        <f>IF(ISBLANK(Tableau!$AW$7), "LIBRE", "OCCUPÉ")</f>
        <v>LIBRE</v>
      </c>
      <c r="AB7" s="76" t="str">
        <f>IF(ISBLANK(Tableau!$AY7), "LIBRE", "OCCUPÉ")</f>
        <v>LIBRE</v>
      </c>
      <c r="AC7" s="77"/>
    </row>
    <row r="8" ht="21.75" customHeight="1">
      <c r="A8" s="40">
        <f>Tableau!A8</f>
        <v>107</v>
      </c>
      <c r="B8" s="46" t="str">
        <f>VLOOKUP($A8,LocalisationRemorque,2,0)</f>
        <v>Wavre</v>
      </c>
      <c r="C8" s="47" t="str">
        <f>VLOOKUP($A8,LocalisationRemorque,3,0)</f>
        <v>Grez-Doiceau 2</v>
      </c>
      <c r="D8" s="49" t="str">
        <f>CONCATENATE(VLOOKUP($A8,LocalisationRemorque,6,0)," ► ",VLOOKUP($A8,LocalisationRemorque,5,0))</f>
        <v>LLN ► Wavre</v>
      </c>
      <c r="E8" s="52" t="str">
        <f>IF(ISBLANK(Tableau!$E$8), "LIBRE", "OCCUPÉ")</f>
        <v>OCCUPÉ</v>
      </c>
      <c r="F8" s="52" t="str">
        <f>IF(ISBLANK(Tableau!$G$8), "LIBRE", "OCCUPÉ")</f>
        <v>LIBRE</v>
      </c>
      <c r="G8" s="54" t="str">
        <f>IF(ISBLANK(Tableau!$I$8), "LIBRE", "OCCUPÉ")</f>
        <v>LIBRE</v>
      </c>
      <c r="H8" s="52" t="str">
        <f>IF(ISBLANK(Tableau!$K$8), "LIBRE", "OCCUPÉ")</f>
        <v>LIBRE</v>
      </c>
      <c r="I8" s="54" t="str">
        <f>IF(ISBLANK(Tableau!$M$8), "LIBRE", "OCCUPÉ")</f>
        <v>OCCUPÉ</v>
      </c>
      <c r="J8" s="54" t="str">
        <f>IF(ISBLANK(Tableau!$O$8), "LIBRE", "OCCUPÉ")</f>
        <v>LIBRE</v>
      </c>
      <c r="K8" s="54" t="str">
        <f>IF(ISBLANK(Tableau!$Q$8), "LIBRE", "OCCUPÉ")</f>
        <v>LIBRE</v>
      </c>
      <c r="L8" s="54" t="str">
        <f>IF(ISBLANK(Tableau!$S$8), "LIBRE", "OCCUPÉ")</f>
        <v>LIBRE</v>
      </c>
      <c r="M8" s="54" t="str">
        <f>IF(ISBLANK(Tableau!$U$8), "LIBRE", "OCCUPÉ")</f>
        <v>LIBRE</v>
      </c>
      <c r="N8" s="52" t="str">
        <f>IF(ISBLANK(Tableau!$W$8), "LIBRE", "OCCUPÉ")</f>
        <v>LIBRE</v>
      </c>
      <c r="O8" s="54" t="str">
        <f>IF(ISBLANK(Tableau!$Y$8), "LIBRE", "OCCUPÉ")</f>
        <v>OCCUPÉ</v>
      </c>
      <c r="P8" s="52" t="str">
        <f>IF(ISBLANK(Tableau!$AA$8), "LIBRE", "OCCUPÉ")</f>
        <v>LIBRE</v>
      </c>
      <c r="Q8" s="54" t="str">
        <f>IF(ISBLANK(Tableau!$AC$8), "LIBRE", "OCCUPÉ")</f>
        <v>LIBRE</v>
      </c>
      <c r="R8" s="54" t="str">
        <f>IF(ISBLANK(Tableau!$AE$8), "LIBRE", "OCCUPÉ")</f>
        <v>LIBRE</v>
      </c>
      <c r="S8" s="54" t="str">
        <f>IF(ISBLANK(Tableau!$AG$8), "LIBRE", "OCCUPÉ")</f>
        <v>LIBRE</v>
      </c>
      <c r="T8" s="54" t="str">
        <f>IF(ISBLANK(Tableau!$AI$8), "LIBRE", "OCCUPÉ")</f>
        <v>LIBRE</v>
      </c>
      <c r="U8" s="54" t="str">
        <f>IF(ISBLANK(Tableau!$AK$8), "LIBRE", "OCCUPÉ")</f>
        <v>OCCUPÉ</v>
      </c>
      <c r="V8" s="52" t="str">
        <f>IF(ISBLANK(Tableau!$AM$8), "LIBRE", "OCCUPÉ")</f>
        <v>LIBRE</v>
      </c>
      <c r="W8" s="54" t="str">
        <f>IF(ISBLANK(Tableau!$AO$8), "LIBRE", "OCCUPÉ")</f>
        <v>LIBRE</v>
      </c>
      <c r="X8" s="52" t="str">
        <f>IF(ISBLANK(Tableau!$AQ$8), "LIBRE", "OCCUPÉ")</f>
        <v>LIBRE</v>
      </c>
      <c r="Y8" s="52" t="str">
        <f>IF(ISBLANK(Tableau!$AS$8), "LIBRE", "OCCUPÉ")</f>
        <v>OCCUPÉ</v>
      </c>
      <c r="Z8" s="52" t="str">
        <f>IF(ISBLANK(Tableau!$AU$8), "LIBRE", "OCCUPÉ")</f>
        <v>LIBRE</v>
      </c>
      <c r="AA8" s="52" t="str">
        <f>IF(ISBLANK(Tableau!$AW$8), "LIBRE", "OCCUPÉ")</f>
        <v>LIBRE</v>
      </c>
      <c r="AB8" s="76" t="str">
        <f>IF(ISBLANK(Tableau!$AY8), "LIBRE", "OCCUPÉ")</f>
        <v>LIBRE</v>
      </c>
      <c r="AC8" s="70"/>
    </row>
    <row r="9" ht="21.75" hidden="1" customHeight="1">
      <c r="A9" s="72">
        <f>Tableau!A9</f>
        <v>108</v>
      </c>
      <c r="B9" s="73" t="str">
        <f>VLOOKUP($A9,LocalisationRemorque,2,0)</f>
        <v>Wavre</v>
      </c>
      <c r="C9" s="74" t="str">
        <f>VLOOKUP($A9,LocalisationRemorque,3,0)</f>
        <v>Grez-Doiceau 3</v>
      </c>
      <c r="D9" s="75" t="str">
        <f>CONCATENATE(VLOOKUP($A9,LocalisationRemorque,6,0)," ► ",VLOOKUP($A9,LocalisationRemorque,5,0))</f>
        <v>Wavre ► Grez</v>
      </c>
      <c r="E9" s="54" t="str">
        <f>IF(ISBLANK(Tableau!$E$9), "LIBRE", "OCCUPÉ")</f>
        <v>OCCUPÉ</v>
      </c>
      <c r="F9" s="54" t="str">
        <f>IF(ISBLANK(Tableau!$G$9), "LIBRE", "OCCUPÉ")</f>
        <v>LIBRE</v>
      </c>
      <c r="G9" s="54" t="str">
        <f>IF(ISBLANK(Tableau!$I$9), "LIBRE", "OCCUPÉ")</f>
        <v>LIBRE</v>
      </c>
      <c r="H9" s="54" t="str">
        <f>IF(ISBLANK(Tableau!$K$9), "LIBRE", "OCCUPÉ")</f>
        <v>LIBRE</v>
      </c>
      <c r="I9" s="54" t="str">
        <f>IF(ISBLANK(Tableau!$M$9), "LIBRE", "OCCUPÉ")</f>
        <v>OCCUPÉ</v>
      </c>
      <c r="J9" s="54" t="str">
        <f>IF(ISBLANK(Tableau!$O$9), "LIBRE", "OCCUPÉ")</f>
        <v>LIBRE</v>
      </c>
      <c r="K9" s="54" t="str">
        <f>IF(ISBLANK(Tableau!$Q$9), "LIBRE", "OCCUPÉ")</f>
        <v>LIBRE</v>
      </c>
      <c r="L9" s="54" t="str">
        <f>IF(ISBLANK(Tableau!$S$9), "LIBRE", "OCCUPÉ")</f>
        <v>LIBRE</v>
      </c>
      <c r="M9" s="54" t="str">
        <f>IF(ISBLANK(Tableau!$U$9), "LIBRE", "OCCUPÉ")</f>
        <v>LIBRE</v>
      </c>
      <c r="N9" s="54" t="str">
        <f>IF(ISBLANK(Tableau!$W$9), "LIBRE", "OCCUPÉ")</f>
        <v>LIBRE</v>
      </c>
      <c r="O9" s="54" t="str">
        <f>IF(ISBLANK(Tableau!$Y$9), "LIBRE", "OCCUPÉ")</f>
        <v>OCCUPÉ</v>
      </c>
      <c r="P9" s="54" t="str">
        <f>IF(ISBLANK(Tableau!$AA$9), "LIBRE", "OCCUPÉ")</f>
        <v>LIBRE</v>
      </c>
      <c r="Q9" s="54" t="str">
        <f>IF(ISBLANK(Tableau!$AC$9), "LIBRE", "OCCUPÉ")</f>
        <v>OCCUPÉ</v>
      </c>
      <c r="R9" s="52" t="str">
        <f>IF(ISBLANK(Tableau!$AE$9), "LIBRE", "OCCUPÉ")</f>
        <v>LIBRE</v>
      </c>
      <c r="S9" s="52" t="str">
        <f>IF(ISBLANK(Tableau!$AG$9), "LIBRE", "OCCUPÉ")</f>
        <v>LIBRE</v>
      </c>
      <c r="T9" s="52" t="str">
        <f>IF(ISBLANK(Tableau!$AI$9), "LIBRE", "OCCUPÉ")</f>
        <v>LIBRE</v>
      </c>
      <c r="U9" s="54" t="str">
        <f>IF(ISBLANK(Tableau!$AK$9), "LIBRE", "OCCUPÉ")</f>
        <v>OCCUPÉ</v>
      </c>
      <c r="V9" s="52" t="str">
        <f>IF(ISBLANK(Tableau!$AM$9), "LIBRE", "OCCUPÉ")</f>
        <v>LIBRE</v>
      </c>
      <c r="W9" s="52" t="str">
        <f>IF(ISBLANK(Tableau!$AO$9), "LIBRE", "OCCUPÉ")</f>
        <v>LIBRE</v>
      </c>
      <c r="X9" s="52" t="str">
        <f>IF(ISBLANK(Tableau!$AQ$9), "LIBRE", "OCCUPÉ")</f>
        <v>LIBRE</v>
      </c>
      <c r="Y9" s="54" t="str">
        <f>IF(ISBLANK(Tableau!$AS$9), "LIBRE", "OCCUPÉ")</f>
        <v>OCCUPÉ</v>
      </c>
      <c r="Z9" s="52" t="str">
        <f>IF(ISBLANK(Tableau!$AU$9), "LIBRE", "OCCUPÉ")</f>
        <v>LIBRE</v>
      </c>
      <c r="AA9" s="52" t="str">
        <f>IF(ISBLANK(Tableau!$AW$9), "LIBRE", "OCCUPÉ")</f>
        <v>LIBRE</v>
      </c>
      <c r="AB9" s="76" t="str">
        <f>IF(ISBLANK(Tableau!$AY9), "LIBRE", "OCCUPÉ")</f>
        <v>LIBRE</v>
      </c>
      <c r="AC9" s="77"/>
    </row>
    <row r="10" ht="21.75" customHeight="1">
      <c r="A10" s="40">
        <f>Tableau!A10</f>
        <v>109</v>
      </c>
      <c r="B10" s="46" t="str">
        <f>VLOOKUP($A10,LocalisationRemorque,2,0)</f>
        <v>Jodoigne</v>
      </c>
      <c r="C10" s="47" t="str">
        <f>VLOOKUP($A10,LocalisationRemorque,3,0)</f>
        <v>Mélin</v>
      </c>
      <c r="D10" s="49" t="str">
        <f>CONCATENATE(VLOOKUP($A10,LocalisationRemorque,6,0)," ► ",VLOOKUP($A10,LocalisationRemorque,5,0))</f>
        <v>Jodoigne ► Beauvechain</v>
      </c>
      <c r="E10" s="52" t="str">
        <f>IF(ISBLANK(Tableau!$E$10), "LIBRE", "OCCUPÉ")</f>
        <v>LIBRE</v>
      </c>
      <c r="F10" s="52" t="str">
        <f>IF(ISBLANK(Tableau!$G$10), "LIBRE", "OCCUPÉ")</f>
        <v>LIBRE</v>
      </c>
      <c r="G10" s="54" t="str">
        <f>IF(ISBLANK(Tableau!$I$10), "LIBRE", "OCCUPÉ")</f>
        <v>LIBRE</v>
      </c>
      <c r="H10" s="52" t="str">
        <f>IF(ISBLANK(Tableau!$K$10), "LIBRE", "OCCUPÉ")</f>
        <v>LIBRE</v>
      </c>
      <c r="I10" s="54" t="str">
        <f>IF(ISBLANK(Tableau!$M$10), "LIBRE", "OCCUPÉ")</f>
        <v>LIBRE</v>
      </c>
      <c r="J10" s="54" t="str">
        <f>IF(ISBLANK(Tableau!$O$10), "LIBRE", "OCCUPÉ")</f>
        <v>LIBRE</v>
      </c>
      <c r="K10" s="54" t="str">
        <f>IF(ISBLANK(Tableau!$Q$10), "LIBRE", "OCCUPÉ")</f>
        <v>LIBRE</v>
      </c>
      <c r="L10" s="52" t="str">
        <f>IF(ISBLANK(Tableau!$S$10), "LIBRE", "OCCUPÉ")</f>
        <v>LIBRE</v>
      </c>
      <c r="M10" s="54" t="str">
        <f>IF(ISBLANK(Tableau!$U$10), "LIBRE", "OCCUPÉ")</f>
        <v>LIBRE</v>
      </c>
      <c r="N10" s="52" t="str">
        <f>IF(ISBLANK(Tableau!$W$10), "LIBRE", "OCCUPÉ")</f>
        <v>LIBRE</v>
      </c>
      <c r="O10" s="52" t="str">
        <f>IF(ISBLANK(Tableau!$Y$10), "LIBRE", "OCCUPÉ")</f>
        <v>LIBRE</v>
      </c>
      <c r="P10" s="52" t="str">
        <f>IF(ISBLANK(Tableau!$AA$10), "LIBRE", "OCCUPÉ")</f>
        <v>LIBRE</v>
      </c>
      <c r="Q10" s="52" t="str">
        <f>IF(ISBLANK(Tableau!$AC$11), "LIBRE", "OCCUPÉ")</f>
        <v>LIBRE</v>
      </c>
      <c r="R10" s="52" t="str">
        <f>IF(ISBLANK(Tableau!$AE$10), "LIBRE", "OCCUPÉ")</f>
        <v>LIBRE</v>
      </c>
      <c r="S10" s="52" t="str">
        <f>IF(ISBLANK(Tableau!$AG$10), "LIBRE", "OCCUPÉ")</f>
        <v>LIBRE</v>
      </c>
      <c r="T10" s="52" t="str">
        <f>IF(ISBLANK(Tableau!$AI$10), "LIBRE", "OCCUPÉ")</f>
        <v>LIBRE</v>
      </c>
      <c r="U10" s="54" t="str">
        <f>IF(ISBLANK(Tableau!$AK$10), "LIBRE", "OCCUPÉ")</f>
        <v>LIBRE</v>
      </c>
      <c r="V10" s="52" t="str">
        <f>IF(ISBLANK(Tableau!$AM$10), "LIBRE", "OCCUPÉ")</f>
        <v>LIBRE</v>
      </c>
      <c r="W10" s="52" t="str">
        <f>IF(ISBLANK(Tableau!$AO$10), "LIBRE", "OCCUPÉ")</f>
        <v>LIBRE</v>
      </c>
      <c r="X10" s="52" t="str">
        <f>IF(ISBLANK(Tableau!$AQ$10), "LIBRE", "OCCUPÉ")</f>
        <v>LIBRE</v>
      </c>
      <c r="Y10" s="52" t="str">
        <f>IF(ISBLANK(Tableau!$AS$10), "LIBRE", "OCCUPÉ")</f>
        <v>LIBRE</v>
      </c>
      <c r="Z10" s="52" t="str">
        <f>IF(ISBLANK(Tableau!$AU$10), "LIBRE", "OCCUPÉ")</f>
        <v>LIBRE</v>
      </c>
      <c r="AA10" s="52" t="str">
        <f>IF(ISBLANK(Tableau!$AW$10), "LIBRE", "OCCUPÉ")</f>
        <v>LIBRE</v>
      </c>
      <c r="AB10" s="76" t="str">
        <f>IF(ISBLANK(Tableau!$AY10), "LIBRE", "OCCUPÉ")</f>
        <v>LIBRE</v>
      </c>
      <c r="AC10" s="70"/>
    </row>
    <row r="11" ht="21.75" customHeight="1">
      <c r="A11" s="72">
        <f>Tableau!A11</f>
        <v>110</v>
      </c>
      <c r="B11" s="73" t="str">
        <f>VLOOKUP($A11,LocalisationRemorque,2,0)</f>
        <v>Jodoigne</v>
      </c>
      <c r="C11" s="74" t="str">
        <f>VLOOKUP($A11,LocalisationRemorque,3,0)</f>
        <v>Entree Jodoigne</v>
      </c>
      <c r="D11" s="75" t="str">
        <f>CONCATENATE(VLOOKUP($A11,LocalisationRemorque,6,0)," ► ",VLOOKUP($A11,LocalisationRemorque,5,0))</f>
        <v>Jodoigne ► Tirlemont</v>
      </c>
      <c r="E11" s="52" t="str">
        <f>IF(ISBLANK(Tableau!$E$11), "LIBRE", "OCCUPÉ")</f>
        <v>LIBRE</v>
      </c>
      <c r="F11" s="52" t="str">
        <f>IF(ISBLANK(Tableau!$G$11), "LIBRE", "OCCUPÉ")</f>
        <v>LIBRE</v>
      </c>
      <c r="G11" s="52" t="str">
        <f>IF(ISBLANK(Tableau!$I$11), "LIBRE", "OCCUPÉ")</f>
        <v>LIBRE</v>
      </c>
      <c r="H11" s="52" t="str">
        <f>IF(ISBLANK(Tableau!$K$11), "LIBRE", "OCCUPÉ")</f>
        <v>LIBRE</v>
      </c>
      <c r="I11" s="54" t="str">
        <f>IF(ISBLANK(Tableau!$M$11), "LIBRE", "OCCUPÉ")</f>
        <v>LIBRE</v>
      </c>
      <c r="J11" s="54" t="str">
        <f>IF(ISBLANK(Tableau!$O$11), "LIBRE", "OCCUPÉ")</f>
        <v>LIBRE</v>
      </c>
      <c r="K11" s="52" t="str">
        <f>IF(ISBLANK(Tableau!$Q$11), "LIBRE", "OCCUPÉ")</f>
        <v>LIBRE</v>
      </c>
      <c r="L11" s="54" t="str">
        <f>IF(ISBLANK(Tableau!$S$11), "LIBRE", "OCCUPÉ")</f>
        <v>LIBRE</v>
      </c>
      <c r="M11" s="54" t="str">
        <f>IF(ISBLANK(Tableau!$U$11), "LIBRE", "OCCUPÉ")</f>
        <v>LIBRE</v>
      </c>
      <c r="N11" s="54" t="str">
        <f>IF(ISBLANK(Tableau!$W$11), "LIBRE", "OCCUPÉ")</f>
        <v>LIBRE</v>
      </c>
      <c r="O11" s="54" t="str">
        <f>IF(ISBLANK(Tableau!$Y$11), "LIBRE", "OCCUPÉ")</f>
        <v>LIBRE</v>
      </c>
      <c r="P11" s="54" t="str">
        <f>IF(ISBLANK(Tableau!$AA$11), "LIBRE", "OCCUPÉ")</f>
        <v>LIBRE</v>
      </c>
      <c r="Q11" s="52" t="str">
        <f>IF(ISBLANK(#REF!), "LIBRE", "OCCUPÉ")</f>
        <v>OCCUPÉ</v>
      </c>
      <c r="R11" s="52" t="str">
        <f>IF(ISBLANK(Tableau!$AE$11), "LIBRE", "OCCUPÉ")</f>
        <v>LIBRE</v>
      </c>
      <c r="S11" s="52" t="str">
        <f>IF(ISBLANK(Tableau!$AG$11), "LIBRE", "OCCUPÉ")</f>
        <v>LIBRE</v>
      </c>
      <c r="T11" s="52" t="str">
        <f>IF(ISBLANK(Tableau!$AI$11), "LIBRE", "OCCUPÉ")</f>
        <v>LIBRE</v>
      </c>
      <c r="U11" s="54" t="str">
        <f>IF(ISBLANK(Tableau!$AK$11), "LIBRE", "OCCUPÉ")</f>
        <v>LIBRE</v>
      </c>
      <c r="V11" s="52" t="str">
        <f>IF(ISBLANK(Tableau!$AM$11), "LIBRE", "OCCUPÉ")</f>
        <v>LIBRE</v>
      </c>
      <c r="W11" s="52" t="str">
        <f>IF(ISBLANK(Tableau!$AO$11), "LIBRE", "OCCUPÉ")</f>
        <v>LIBRE</v>
      </c>
      <c r="X11" s="52" t="str">
        <f>IF(ISBLANK(Tableau!$AQ$11), "LIBRE", "OCCUPÉ")</f>
        <v>LIBRE</v>
      </c>
      <c r="Y11" s="54" t="str">
        <f>IF(ISBLANK(Tableau!$AS$11), "LIBRE", "OCCUPÉ")</f>
        <v>LIBRE</v>
      </c>
      <c r="Z11" s="52" t="str">
        <f>IF(ISBLANK(Tableau!$AU$11), "LIBRE", "OCCUPÉ")</f>
        <v>LIBRE</v>
      </c>
      <c r="AA11" s="52" t="str">
        <f>IF(ISBLANK(Tableau!$AW$11), "LIBRE", "OCCUPÉ")</f>
        <v>LIBRE</v>
      </c>
      <c r="AB11" s="76" t="str">
        <f>IF(ISBLANK(Tableau!$AY11), "LIBRE", "OCCUPÉ")</f>
        <v>LIBRE</v>
      </c>
      <c r="AC11" s="77"/>
    </row>
    <row r="12" ht="21.75" customHeight="1">
      <c r="A12" s="40">
        <f>Tableau!A12</f>
        <v>111</v>
      </c>
      <c r="B12" s="46" t="str">
        <f>VLOOKUP($A12,LocalisationRemorque,2,0)</f>
        <v>Beauvechain</v>
      </c>
      <c r="C12" s="47" t="str">
        <f>VLOOKUP($A12,LocalisationRemorque,3,0)</f>
        <v>Nodebais</v>
      </c>
      <c r="D12" s="49" t="str">
        <f>CONCATENATE(VLOOKUP($A12,LocalisationRemorque,6,0)," ► ",VLOOKUP($A12,LocalisationRemorque,5,0))</f>
        <v>Éghezée ► Hamme</v>
      </c>
      <c r="E12" s="52" t="str">
        <f>IF(ISBLANK(Tableau!$E$12), "LIBRE", "OCCUPÉ")</f>
        <v>OCCUPÉ</v>
      </c>
      <c r="F12" s="52" t="str">
        <f>IF(ISBLANK(Tableau!$G$12), "LIBRE", "OCCUPÉ")</f>
        <v>LIBRE</v>
      </c>
      <c r="G12" s="52" t="str">
        <f>IF(ISBLANK(Tableau!$I$12), "LIBRE", "OCCUPÉ")</f>
        <v>LIBRE</v>
      </c>
      <c r="H12" s="52" t="str">
        <f>IF(ISBLANK(Tableau!$K$12), "LIBRE", "OCCUPÉ")</f>
        <v>LIBRE</v>
      </c>
      <c r="I12" s="54" t="str">
        <f>IF(ISBLANK(Tableau!$M$12), "LIBRE", "OCCUPÉ")</f>
        <v>OCCUPÉ</v>
      </c>
      <c r="J12" s="54" t="str">
        <f>IF(ISBLANK(Tableau!$O$12), "LIBRE", "OCCUPÉ")</f>
        <v>LIBRE</v>
      </c>
      <c r="K12" s="54" t="str">
        <f>IF(ISBLANK(Tableau!$Q$12), "LIBRE", "OCCUPÉ")</f>
        <v>LIBRE</v>
      </c>
      <c r="L12" s="52" t="str">
        <f>IF(ISBLANK(Tableau!$S$12), "LIBRE", "OCCUPÉ")</f>
        <v>LIBRE</v>
      </c>
      <c r="M12" s="54" t="str">
        <f>IF(ISBLANK(Tableau!$U$12), "LIBRE", "OCCUPÉ")</f>
        <v>LIBRE</v>
      </c>
      <c r="N12" s="54" t="str">
        <f>IF(ISBLANK(Tableau!$W$12), "LIBRE", "OCCUPÉ")</f>
        <v>LIBRE</v>
      </c>
      <c r="O12" s="54" t="str">
        <f>IF(ISBLANK(Tableau!$Y$12), "LIBRE", "OCCUPÉ")</f>
        <v>OCCUPÉ</v>
      </c>
      <c r="P12" s="52" t="str">
        <f>IF(ISBLANK(Tableau!$AA$12), "LIBRE", "OCCUPÉ")</f>
        <v>LIBRE</v>
      </c>
      <c r="Q12" s="52" t="str">
        <f>IF(ISBLANK(Tableau!$AC$12), "LIBRE", "OCCUPÉ")</f>
        <v>OCCUPÉ</v>
      </c>
      <c r="R12" s="52" t="str">
        <f>IF(ISBLANK(Tableau!$AE$12), "LIBRE", "OCCUPÉ")</f>
        <v>LIBRE</v>
      </c>
      <c r="S12" s="52" t="str">
        <f>IF(ISBLANK(Tableau!$AG$12), "LIBRE", "OCCUPÉ")</f>
        <v>LIBRE</v>
      </c>
      <c r="T12" s="52" t="str">
        <f>IF(ISBLANK(Tableau!$AI$12), "LIBRE", "OCCUPÉ")</f>
        <v>LIBRE</v>
      </c>
      <c r="U12" s="52" t="str">
        <f>IF(ISBLANK(Tableau!$AK$12), "LIBRE", "OCCUPÉ")</f>
        <v>OCCUPÉ</v>
      </c>
      <c r="V12" s="52" t="str">
        <f>IF(ISBLANK(Tableau!$AM$12), "LIBRE", "OCCUPÉ")</f>
        <v>LIBRE</v>
      </c>
      <c r="W12" s="54" t="str">
        <f>IF(ISBLANK(Tableau!$AO$12), "LIBRE", "OCCUPÉ")</f>
        <v>LIBRE</v>
      </c>
      <c r="X12" s="52" t="str">
        <f>IF(ISBLANK(Tableau!$AQ$12), "LIBRE", "OCCUPÉ")</f>
        <v>LIBRE</v>
      </c>
      <c r="Y12" s="52" t="str">
        <f>IF(ISBLANK(Tableau!$AS$12), "LIBRE", "OCCUPÉ")</f>
        <v>OCCUPÉ</v>
      </c>
      <c r="Z12" s="52" t="str">
        <f>IF(ISBLANK(Tableau!$AU$12), "LIBRE", "OCCUPÉ")</f>
        <v>LIBRE</v>
      </c>
      <c r="AA12" s="52" t="str">
        <f>IF(ISBLANK(Tableau!$AW$12), "LIBRE", "OCCUPÉ")</f>
        <v>LIBRE</v>
      </c>
      <c r="AB12" s="76" t="str">
        <f>IF(ISBLANK(Tableau!$AY12), "LIBRE", "OCCUPÉ")</f>
        <v>LIBRE</v>
      </c>
      <c r="AC12" s="70"/>
    </row>
    <row r="13" ht="21.75" customHeight="1">
      <c r="A13" s="114">
        <f>Tableau!A13</f>
        <v>112</v>
      </c>
      <c r="B13" s="115" t="str">
        <f>VLOOKUP($A13,LocalisationRemorque,2,0)</f>
        <v>Incourt</v>
      </c>
      <c r="C13" s="116" t="str">
        <f>VLOOKUP($A13,LocalisationRemorque,3,0)</f>
        <v>Incourt</v>
      </c>
      <c r="D13" s="117" t="str">
        <f>CONCATENATE(VLOOKUP($A13,LocalisationRemorque,6,0)," ► ",VLOOKUP($A13,LocalisationRemorque,5,0))</f>
        <v>Louvain ► Éghezée</v>
      </c>
      <c r="E13" s="52" t="str">
        <f>IF(ISBLANK(Tableau!$E$13), "LIBRE", "OCCUPÉ")</f>
        <v>LIBRE</v>
      </c>
      <c r="F13" s="52" t="str">
        <f>IF(ISBLANK(Tableau!$G$13), "LIBRE", "OCCUPÉ")</f>
        <v>LIBRE</v>
      </c>
      <c r="G13" s="52" t="str">
        <f>IF(ISBLANK(Tableau!$I$13), "LIBRE", "OCCUPÉ")</f>
        <v>LIBRE</v>
      </c>
      <c r="H13" s="52" t="str">
        <f>IF(ISBLANK(Tableau!$K$13), "LIBRE", "OCCUPÉ")</f>
        <v>LIBRE</v>
      </c>
      <c r="I13" s="52" t="str">
        <f>IF(ISBLANK(Tableau!$M$13), "LIBRE", "OCCUPÉ")</f>
        <v>LIBRE</v>
      </c>
      <c r="J13" s="52" t="str">
        <f>IF(ISBLANK(Tableau!$O$13), "LIBRE", "OCCUPÉ")</f>
        <v>LIBRE</v>
      </c>
      <c r="K13" s="52" t="str">
        <f>IF(ISBLANK(Tableau!$Q$13), "LIBRE", "OCCUPÉ")</f>
        <v>LIBRE</v>
      </c>
      <c r="L13" s="52" t="str">
        <f>IF(ISBLANK(Tableau!$S$13), "LIBRE", "OCCUPÉ")</f>
        <v>LIBRE</v>
      </c>
      <c r="M13" s="52" t="str">
        <f>IF(ISBLANK(Tableau!$U$13), "LIBRE", "OCCUPÉ")</f>
        <v>LIBRE</v>
      </c>
      <c r="N13" s="52" t="str">
        <f>IF(ISBLANK(Tableau!$W$13), "LIBRE", "OCCUPÉ")</f>
        <v>LIBRE</v>
      </c>
      <c r="O13" s="52" t="str">
        <f>IF(ISBLANK(Tableau!$Y$13), "LIBRE", "OCCUPÉ")</f>
        <v>LIBRE</v>
      </c>
      <c r="P13" s="52" t="str">
        <f>IF(ISBLANK(Tableau!$AA$13), "LIBRE", "OCCUPÉ")</f>
        <v>LIBRE</v>
      </c>
      <c r="Q13" s="52" t="str">
        <f>IF(ISBLANK(Tableau!$AC$13), "LIBRE", "OCCUPÉ")</f>
        <v>LIBRE</v>
      </c>
      <c r="R13" s="52" t="str">
        <f>IF(ISBLANK(Tableau!$AE$13), "LIBRE", "OCCUPÉ")</f>
        <v>LIBRE</v>
      </c>
      <c r="S13" s="52" t="str">
        <f>IF(ISBLANK(Tableau!$AG$13), "LIBRE", "OCCUPÉ")</f>
        <v>LIBRE</v>
      </c>
      <c r="T13" s="52" t="str">
        <f>IF(ISBLANK(Tableau!$AI$13), "LIBRE", "OCCUPÉ")</f>
        <v>LIBRE</v>
      </c>
      <c r="U13" s="52" t="str">
        <f>IF(ISBLANK(Tableau!$AK$13), "LIBRE", "OCCUPÉ")</f>
        <v>LIBRE</v>
      </c>
      <c r="V13" s="52" t="str">
        <f>IF(ISBLANK(Tableau!$AM$13), "LIBRE", "OCCUPÉ")</f>
        <v>LIBRE</v>
      </c>
      <c r="W13" s="52" t="str">
        <f>IF(ISBLANK(Tableau!$AO$13), "LIBRE", "OCCUPÉ")</f>
        <v>LIBRE</v>
      </c>
      <c r="X13" s="52" t="str">
        <f>IF(ISBLANK(Tableau!$AQ$13), "LIBRE", "OCCUPÉ")</f>
        <v>LIBRE</v>
      </c>
      <c r="Y13" s="52" t="str">
        <f>IF(ISBLANK(Tableau!$AS$13), "LIBRE", "OCCUPÉ")</f>
        <v>LIBRE</v>
      </c>
      <c r="Z13" s="52" t="str">
        <f>IF(ISBLANK(Tableau!$AU$13), "LIBRE", "OCCUPÉ")</f>
        <v>LIBRE</v>
      </c>
      <c r="AA13" s="52" t="str">
        <f>IF(ISBLANK(Tableau!$AW$13), "LIBRE", "OCCUPÉ")</f>
        <v>LIBRE</v>
      </c>
      <c r="AB13" s="76" t="str">
        <f>IF(ISBLANK(Tableau!$AY13), "LIBRE", "OCCUPÉ")</f>
        <v>LIBRE</v>
      </c>
      <c r="AC13" s="118"/>
    </row>
    <row r="14" ht="21.75" customHeight="1">
      <c r="A14" s="114">
        <f>Tableau!A14</f>
        <v>113</v>
      </c>
      <c r="B14" s="115" t="str">
        <f>VLOOKUP($A14,LocalisationRemorque,2,0)</f>
        <v>Perwez</v>
      </c>
      <c r="C14" s="116" t="str">
        <f>VLOOKUP($A14,LocalisationRemorque,3,0)</f>
        <v>Perwez</v>
      </c>
      <c r="D14" s="117" t="str">
        <f>CONCATENATE(VLOOKUP($A14,LocalisationRemorque,6,0)," ► ",VLOOKUP($A14,LocalisationRemorque,5,0))</f>
        <v>Jodoigne ► E411</v>
      </c>
      <c r="E14" s="52" t="str">
        <f>IF(ISBLANK(Tableau!$E$14), "LIBRE", "OCCUPÉ")</f>
        <v>LIBRE</v>
      </c>
      <c r="F14" s="52" t="str">
        <f>IF(ISBLANK(Tableau!$G$14), "LIBRE", "OCCUPÉ")</f>
        <v>LIBRE</v>
      </c>
      <c r="G14" s="52" t="str">
        <f>IF(ISBLANK(Tableau!$I$14), "LIBRE", "OCCUPÉ")</f>
        <v>LIBRE</v>
      </c>
      <c r="H14" s="52" t="str">
        <f>IF(ISBLANK(Tableau!$K$14), "LIBRE", "OCCUPÉ")</f>
        <v>LIBRE</v>
      </c>
      <c r="I14" s="52" t="str">
        <f>IF(ISBLANK(Tableau!$M$14), "LIBRE", "OCCUPÉ")</f>
        <v>LIBRE</v>
      </c>
      <c r="J14" s="52" t="str">
        <f>IF(ISBLANK(Tableau!$O$14), "LIBRE", "OCCUPÉ")</f>
        <v>LIBRE</v>
      </c>
      <c r="K14" s="52" t="str">
        <f>IF(ISBLANK(Tableau!$Q$14), "LIBRE", "OCCUPÉ")</f>
        <v>LIBRE</v>
      </c>
      <c r="L14" s="52" t="str">
        <f>IF(ISBLANK(Tableau!$S$14), "LIBRE", "OCCUPÉ")</f>
        <v>LIBRE</v>
      </c>
      <c r="M14" s="52" t="str">
        <f>IF(ISBLANK(Tableau!$U$14), "LIBRE", "OCCUPÉ")</f>
        <v>LIBRE</v>
      </c>
      <c r="N14" s="52" t="str">
        <f>IF(ISBLANK(Tableau!$W$14), "LIBRE", "OCCUPÉ")</f>
        <v>LIBRE</v>
      </c>
      <c r="O14" s="52" t="str">
        <f>IF(ISBLANK(Tableau!$Y$14), "LIBRE", "OCCUPÉ")</f>
        <v>LIBRE</v>
      </c>
      <c r="P14" s="52" t="str">
        <f>IF(ISBLANK(Tableau!$AA$14), "LIBRE", "OCCUPÉ")</f>
        <v>LIBRE</v>
      </c>
      <c r="Q14" s="52" t="str">
        <f>IF(ISBLANK(Tableau!$AC$14), "LIBRE", "OCCUPÉ")</f>
        <v>LIBRE</v>
      </c>
      <c r="R14" s="52" t="str">
        <f>IF(ISBLANK(Tableau!$AE$14), "LIBRE", "OCCUPÉ")</f>
        <v>LIBRE</v>
      </c>
      <c r="S14" s="52" t="str">
        <f>IF(ISBLANK(Tableau!$AG$14), "LIBRE", "OCCUPÉ")</f>
        <v>LIBRE</v>
      </c>
      <c r="T14" s="52" t="str">
        <f>IF(ISBLANK(Tableau!$AI$14), "LIBRE", "OCCUPÉ")</f>
        <v>LIBRE</v>
      </c>
      <c r="U14" s="52" t="str">
        <f>IF(ISBLANK(Tableau!$AK$14), "LIBRE", "OCCUPÉ")</f>
        <v>LIBRE</v>
      </c>
      <c r="V14" s="52" t="str">
        <f>IF(ISBLANK(Tableau!$AM$14), "LIBRE", "OCCUPÉ")</f>
        <v>LIBRE</v>
      </c>
      <c r="W14" s="52" t="str">
        <f>IF(ISBLANK(Tableau!$AO$14), "LIBRE", "OCCUPÉ")</f>
        <v>LIBRE</v>
      </c>
      <c r="X14" s="52" t="str">
        <f>IF(ISBLANK(Tableau!$AQ$14), "LIBRE", "OCCUPÉ")</f>
        <v>LIBRE</v>
      </c>
      <c r="Y14" s="52" t="str">
        <f>IF(ISBLANK(Tableau!$AS$14), "LIBRE", "OCCUPÉ")</f>
        <v>LIBRE</v>
      </c>
      <c r="Z14" s="52" t="str">
        <f>IF(ISBLANK(Tableau!$AU$14), "LIBRE", "OCCUPÉ")</f>
        <v>LIBRE</v>
      </c>
      <c r="AA14" s="52" t="str">
        <f>IF(ISBLANK(Tableau!$AW$14), "LIBRE", "OCCUPÉ")</f>
        <v>LIBRE</v>
      </c>
      <c r="AB14" s="76" t="str">
        <f>IF(ISBLANK(Tableau!$AY14), "LIBRE", "OCCUPÉ")</f>
        <v>LIBRE</v>
      </c>
      <c r="AC14" s="118"/>
    </row>
    <row r="15" ht="21.75" customHeight="1">
      <c r="A15" s="114">
        <f>Tableau!A15</f>
        <v>114</v>
      </c>
      <c r="B15" s="115" t="str">
        <f>VLOOKUP($A15,LocalisationRemorque,2,0)</f>
        <v>Perwez</v>
      </c>
      <c r="C15" s="116" t="str">
        <f>VLOOKUP($A15,LocalisationRemorque,3,0)</f>
        <v>Sortie E411</v>
      </c>
      <c r="D15" s="117" t="str">
        <f>CONCATENATE(VLOOKUP($A15,LocalisationRemorque,6,0)," ► ",VLOOKUP($A15,LocalisationRemorque,5,0))</f>
        <v>E411 ► Jodoigne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20"/>
    </row>
    <row r="16" ht="21.75" hidden="1" customHeight="1">
      <c r="A16" s="114" t="str">
        <f>Tableau!A16</f>
        <v/>
      </c>
      <c r="B16" s="121"/>
      <c r="C16" s="121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76" t="str">
        <f>IF(ISBLANK(Tableau!$AY16), "LIBRE", "OCCUPÉ")</f>
        <v>LIBRE</v>
      </c>
      <c r="AC16" s="120"/>
    </row>
    <row r="17" ht="21.75" hidden="1" customHeight="1">
      <c r="A17" s="114" t="str">
        <f>Tableau!A17</f>
        <v/>
      </c>
      <c r="B17" s="121"/>
      <c r="C17" s="121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76" t="str">
        <f>IF(ISBLANK(Tableau!$AY17), "LIBRE", "OCCUPÉ")</f>
        <v>LIBRE</v>
      </c>
      <c r="AC17" s="120"/>
    </row>
    <row r="18" ht="21.75" hidden="1" customHeight="1">
      <c r="A18" s="114" t="str">
        <f>Tableau!A18</f>
        <v/>
      </c>
      <c r="B18" s="121"/>
      <c r="C18" s="121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76" t="str">
        <f>IF(ISBLANK(Tableau!$AY18), "LIBRE", "OCCUPÉ")</f>
        <v>LIBRE</v>
      </c>
      <c r="AC18" s="120"/>
    </row>
    <row r="19" ht="21.75" hidden="1" customHeight="1">
      <c r="A19" s="114" t="str">
        <f>Tableau!A19</f>
        <v/>
      </c>
      <c r="B19" s="121"/>
      <c r="C19" s="121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76" t="str">
        <f>IF(ISBLANK(Tableau!$AY19), "LIBRE", "OCCUPÉ")</f>
        <v>LIBRE</v>
      </c>
      <c r="AC19" s="120"/>
    </row>
    <row r="20" ht="21.75" hidden="1" customHeight="1">
      <c r="A20" s="114" t="str">
        <f>Tableau!A20</f>
        <v/>
      </c>
      <c r="B20" s="121"/>
      <c r="C20" s="121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76" t="str">
        <f>IF(ISBLANK(Tableau!$AY20), "LIBRE", "OCCUPÉ")</f>
        <v>LIBRE</v>
      </c>
      <c r="AC20" s="120"/>
    </row>
    <row r="21" ht="21.75" hidden="1" customHeight="1">
      <c r="A21" s="114" t="str">
        <f>Tableau!A21</f>
        <v/>
      </c>
      <c r="B21" s="121"/>
      <c r="C21" s="121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76" t="str">
        <f>IF(ISBLANK(Tableau!$AY21), "LIBRE", "OCCUPÉ")</f>
        <v>LIBRE</v>
      </c>
      <c r="AC21" s="120"/>
    </row>
    <row r="22" ht="21.75" hidden="1" customHeight="1">
      <c r="A22" s="114" t="str">
        <f>Tableau!A22</f>
        <v/>
      </c>
      <c r="B22" s="121"/>
      <c r="C22" s="121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76" t="str">
        <f>IF(ISBLANK(Tableau!$AY22), "LIBRE", "OCCUPÉ")</f>
        <v>LIBRE</v>
      </c>
      <c r="AC22" s="120"/>
    </row>
    <row r="23" ht="21.75" hidden="1" customHeight="1">
      <c r="A23" s="114" t="str">
        <f>Tableau!A23</f>
        <v/>
      </c>
      <c r="B23" s="121"/>
      <c r="C23" s="121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76" t="str">
        <f>IF(ISBLANK(Tableau!$AY23), "LIBRE", "OCCUPÉ")</f>
        <v>LIBRE</v>
      </c>
      <c r="AC23" s="120"/>
    </row>
    <row r="24" ht="21.75" hidden="1" customHeight="1">
      <c r="A24" s="114" t="str">
        <f>Tableau!A24</f>
        <v/>
      </c>
      <c r="B24" s="121"/>
      <c r="C24" s="121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76" t="str">
        <f>IF(ISBLANK(Tableau!$AY24), "LIBRE", "OCCUPÉ")</f>
        <v>LIBRE</v>
      </c>
      <c r="AC24" s="120"/>
    </row>
    <row r="25" hidden="1">
      <c r="A25" s="114" t="str">
        <f>Tableau!A25</f>
        <v/>
      </c>
      <c r="B25" s="121"/>
      <c r="C25" s="121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76" t="str">
        <f>IF(ISBLANK(Tableau!$AY25), "LIBRE", "OCCUPÉ")</f>
        <v>LIBRE</v>
      </c>
      <c r="AC25" s="120"/>
    </row>
    <row r="26" ht="21.75" customHeight="1">
      <c r="A26" s="40">
        <f>Tableau!A26</f>
        <v>201</v>
      </c>
      <c r="B26" s="46" t="str">
        <f>VLOOKUP($A26,LocalisationRemorque,2,0)</f>
        <v>Hannut</v>
      </c>
      <c r="C26" s="47" t="str">
        <f>VLOOKUP($A26,LocalisationRemorque,3,0)</f>
        <v>Hannut-Saint Trond</v>
      </c>
      <c r="D26" s="49" t="str">
        <f>CONCATENATE(VLOOKUP($A26,LocalisationRemorque,6,0)," ► ",VLOOKUP($A26,LocalisationRemorque,5,0))</f>
        <v>Hannut ► Saint-Trond</v>
      </c>
      <c r="E26" s="52" t="str">
        <f>IF(ISBLANK(Tableau!$E$26), "LIBRE", "OCCUPÉ")</f>
        <v>LIBRE</v>
      </c>
      <c r="F26" s="52" t="str">
        <f>IF(ISBLANK(Tableau!$G$26), "LIBRE", "OCCUPÉ")</f>
        <v>LIBRE</v>
      </c>
      <c r="G26" s="54" t="str">
        <f>IF(ISBLANK(Tableau!$I$26), "LIBRE", "OCCUPÉ")</f>
        <v>LIBRE</v>
      </c>
      <c r="H26" s="52" t="str">
        <f>IF(ISBLANK(Tableau!$K$26), "LIBRE", "OCCUPÉ")</f>
        <v>LIBRE</v>
      </c>
      <c r="I26" s="54" t="str">
        <f>IF(ISBLANK(Tableau!$M$26), "LIBRE", "OCCUPÉ")</f>
        <v>LIBRE</v>
      </c>
      <c r="J26" s="54" t="str">
        <f>IF(ISBLANK(Tableau!$O$26), "LIBRE", "OCCUPÉ")</f>
        <v>LIBRE</v>
      </c>
      <c r="K26" s="54" t="str">
        <f>IF(ISBLANK(Tableau!$Q$26), "LIBRE", "OCCUPÉ")</f>
        <v>LIBRE</v>
      </c>
      <c r="L26" s="52" t="str">
        <f>IF(ISBLANK(Tableau!$S$26), "LIBRE", "OCCUPÉ")</f>
        <v>LIBRE</v>
      </c>
      <c r="M26" s="54" t="str">
        <f>IF(ISBLANK(Tableau!$U$26), "LIBRE", "OCCUPÉ")</f>
        <v>LIBRE</v>
      </c>
      <c r="N26" s="52" t="str">
        <f>IF(ISBLANK(Tableau!$W$26), "LIBRE", "OCCUPÉ")</f>
        <v>LIBRE</v>
      </c>
      <c r="O26" s="52" t="str">
        <f>IF(ISBLANK(Tableau!$Y$26), "LIBRE", "OCCUPÉ")</f>
        <v>LIBRE</v>
      </c>
      <c r="P26" s="52" t="str">
        <f>IF(ISBLANK(Tableau!$AA$26), "LIBRE", "OCCUPÉ")</f>
        <v>LIBRE</v>
      </c>
      <c r="Q26" s="54" t="str">
        <f>IF(ISBLANK(Tableau!$AC$26), "LIBRE", "OCCUPÉ")</f>
        <v>LIBRE</v>
      </c>
      <c r="R26" s="52" t="str">
        <f>IF(ISBLANK(Tableau!$AE$26), "LIBRE", "OCCUPÉ")</f>
        <v>LIBRE</v>
      </c>
      <c r="S26" s="52" t="str">
        <f>IF(ISBLANK(Tableau!$AG$26), "LIBRE", "OCCUPÉ")</f>
        <v>LIBRE</v>
      </c>
      <c r="T26" s="52" t="str">
        <f>IF(ISBLANK(Tableau!$AI$26), "LIBRE", "OCCUPÉ")</f>
        <v>LIBRE</v>
      </c>
      <c r="U26" s="54" t="str">
        <f>IF(ISBLANK(Tableau!$AK$26), "LIBRE", "OCCUPÉ")</f>
        <v>LIBRE</v>
      </c>
      <c r="V26" s="52" t="str">
        <f>IF(ISBLANK(Tableau!$AM$26), "LIBRE", "OCCUPÉ")</f>
        <v>LIBRE</v>
      </c>
      <c r="W26" s="52" t="str">
        <f>IF(ISBLANK(Tableau!$AO$26), "LIBRE", "OCCUPÉ")</f>
        <v>LIBRE</v>
      </c>
      <c r="X26" s="52" t="str">
        <f>IF(ISBLANK(Tableau!$AQ$26), "LIBRE", "OCCUPÉ")</f>
        <v>LIBRE</v>
      </c>
      <c r="Y26" s="54" t="str">
        <f>IF(ISBLANK(Tableau!$AS$26), "LIBRE", "OCCUPÉ")</f>
        <v>LIBRE</v>
      </c>
      <c r="Z26" s="52" t="str">
        <f>IF(ISBLANK(Tableau!$AU$26), "LIBRE", "OCCUPÉ")</f>
        <v>LIBRE</v>
      </c>
      <c r="AA26" s="52" t="str">
        <f>IF(ISBLANK(Tableau!$AW$26), "LIBRE", "OCCUPÉ")</f>
        <v>LIBRE</v>
      </c>
      <c r="AB26" s="76" t="str">
        <f>IF(ISBLANK(Tableau!$AY26), "LIBRE", "OCCUPÉ")</f>
        <v>LIBRE</v>
      </c>
      <c r="AC26" s="70"/>
    </row>
    <row r="27" ht="21.75" customHeight="1">
      <c r="A27" s="72">
        <f>Tableau!A27</f>
        <v>202</v>
      </c>
      <c r="B27" s="73" t="str">
        <f>VLOOKUP($A27,LocalisationRemorque,2,0)</f>
        <v>Hannut</v>
      </c>
      <c r="C27" s="74" t="str">
        <f>VLOOKUP($A27,LocalisationRemorque,3,0)</f>
        <v>Braives</v>
      </c>
      <c r="D27" s="75" t="str">
        <f>CONCATENATE(VLOOKUP($A27,LocalisationRemorque,6,0)," ► ",VLOOKUP($A27,LocalisationRemorque,5,0))</f>
        <v>Hannut ► E42</v>
      </c>
      <c r="E27" s="52" t="str">
        <f>IF(ISBLANK(Tableau!$E$27), "LIBRE", "OCCUPÉ")</f>
        <v>LIBRE</v>
      </c>
      <c r="F27" s="52" t="str">
        <f>IF(ISBLANK(Tableau!$G$27), "LIBRE", "OCCUPÉ")</f>
        <v>LIBRE</v>
      </c>
      <c r="G27" s="52" t="str">
        <f>IF(ISBLANK(Tableau!$I$27), "LIBRE", "OCCUPÉ")</f>
        <v>LIBRE</v>
      </c>
      <c r="H27" s="52" t="str">
        <f>IF(ISBLANK(Tableau!$K$27), "LIBRE", "OCCUPÉ")</f>
        <v>LIBRE</v>
      </c>
      <c r="I27" s="54" t="str">
        <f>IF(ISBLANK(Tableau!$M$27), "LIBRE", "OCCUPÉ")</f>
        <v>LIBRE</v>
      </c>
      <c r="J27" s="54" t="str">
        <f>IF(ISBLANK(Tableau!$O$27), "LIBRE", "OCCUPÉ")</f>
        <v>LIBRE</v>
      </c>
      <c r="K27" s="54" t="str">
        <f>IF(ISBLANK(Tableau!$Q$27), "LIBRE", "OCCUPÉ")</f>
        <v>LIBRE</v>
      </c>
      <c r="L27" s="54" t="str">
        <f>IF(ISBLANK(Tableau!$S$27), "LIBRE", "OCCUPÉ")</f>
        <v>LIBRE</v>
      </c>
      <c r="M27" s="54" t="str">
        <f>IF(ISBLANK(Tableau!$U$27), "LIBRE", "OCCUPÉ")</f>
        <v>LIBRE</v>
      </c>
      <c r="N27" s="54" t="str">
        <f>IF(ISBLANK(Tableau!$W$27), "LIBRE", "OCCUPÉ")</f>
        <v>LIBRE</v>
      </c>
      <c r="O27" s="54" t="str">
        <f>IF(ISBLANK(Tableau!$Y$27), "LIBRE", "OCCUPÉ")</f>
        <v>LIBRE</v>
      </c>
      <c r="P27" s="52" t="str">
        <f>IF(ISBLANK(Tableau!$AA$27), "LIBRE", "OCCUPÉ")</f>
        <v>LIBRE</v>
      </c>
      <c r="Q27" s="54" t="str">
        <f>IF(ISBLANK(Tableau!$AC$27), "LIBRE", "OCCUPÉ")</f>
        <v>LIBRE</v>
      </c>
      <c r="R27" s="52" t="str">
        <f>IF(ISBLANK(Tableau!$AE$27), "LIBRE", "OCCUPÉ")</f>
        <v>LIBRE</v>
      </c>
      <c r="S27" s="52" t="str">
        <f>IF(ISBLANK(Tableau!$AG$27), "LIBRE", "OCCUPÉ")</f>
        <v>LIBRE</v>
      </c>
      <c r="T27" s="52" t="str">
        <f>IF(ISBLANK(Tableau!$AI$27), "LIBRE", "OCCUPÉ")</f>
        <v>LIBRE</v>
      </c>
      <c r="U27" s="54" t="str">
        <f>IF(ISBLANK(Tableau!$AK$27), "LIBRE", "OCCUPÉ")</f>
        <v>LIBRE</v>
      </c>
      <c r="V27" s="52" t="str">
        <f>IF(ISBLANK(Tableau!$AM$27), "LIBRE", "OCCUPÉ")</f>
        <v>LIBRE</v>
      </c>
      <c r="W27" s="54" t="str">
        <f>IF(ISBLANK(Tableau!$AO$27), "LIBRE", "OCCUPÉ")</f>
        <v>LIBRE</v>
      </c>
      <c r="X27" s="52" t="str">
        <f>IF(ISBLANK(Tableau!$AQ$27), "LIBRE", "OCCUPÉ")</f>
        <v>LIBRE</v>
      </c>
      <c r="Y27" s="54" t="str">
        <f>IF(ISBLANK(Tableau!$AS$27), "LIBRE", "OCCUPÉ")</f>
        <v>LIBRE</v>
      </c>
      <c r="Z27" s="52" t="str">
        <f>IF(ISBLANK(Tableau!$AU$27), "LIBRE", "OCCUPÉ")</f>
        <v>LIBRE</v>
      </c>
      <c r="AA27" s="52" t="str">
        <f>IF(ISBLANK(Tableau!$AW$27), "LIBRE", "OCCUPÉ")</f>
        <v>LIBRE</v>
      </c>
      <c r="AB27" s="76" t="str">
        <f>IF(ISBLANK(Tableau!$AY27), "LIBRE", "OCCUPÉ")</f>
        <v>LIBRE</v>
      </c>
      <c r="AC27" s="77"/>
    </row>
    <row r="28" ht="21.75" customHeight="1">
      <c r="A28" s="40">
        <f>Tableau!A28</f>
        <v>203</v>
      </c>
      <c r="B28" s="46" t="str">
        <f>VLOOKUP($A28,LocalisationRemorque,2,0)</f>
        <v>Huy</v>
      </c>
      <c r="C28" s="47" t="str">
        <f>VLOOKUP($A28,LocalisationRemorque,3,0)</f>
        <v>Wanze</v>
      </c>
      <c r="D28" s="49" t="str">
        <f>CONCATENATE(VLOOKUP($A28,LocalisationRemorque,6,0)," ► ",VLOOKUP($A28,LocalisationRemorque,5,0))</f>
        <v>Éghezée ► E42</v>
      </c>
      <c r="E28" s="54" t="str">
        <f>IF(ISBLANK(Tableau!$E$28), "LIBRE", "OCCUPÉ")</f>
        <v>OCCUPÉ</v>
      </c>
      <c r="F28" s="52" t="str">
        <f>IF(ISBLANK(Tableau!$G$28), "LIBRE", "OCCUPÉ")</f>
        <v>LIBRE</v>
      </c>
      <c r="G28" s="52" t="str">
        <f>IF(ISBLANK(Tableau!$I$28), "LIBRE", "OCCUPÉ")</f>
        <v>OCCUPÉ</v>
      </c>
      <c r="H28" s="52" t="str">
        <f>IF(ISBLANK(Tableau!$K$28), "LIBRE", "OCCUPÉ")</f>
        <v>LIBRE</v>
      </c>
      <c r="I28" s="52" t="str">
        <f>IF(ISBLANK(Tableau!$M$28), "LIBRE", "OCCUPÉ")</f>
        <v>OCCUPÉ</v>
      </c>
      <c r="J28" s="52" t="str">
        <f>IF(ISBLANK(Tableau!$O$28), "LIBRE", "OCCUPÉ")</f>
        <v>LIBRE</v>
      </c>
      <c r="K28" s="52" t="str">
        <f>IF(ISBLANK(Tableau!$Q$28), "LIBRE", "OCCUPÉ")</f>
        <v>OCCUPÉ</v>
      </c>
      <c r="L28" s="52" t="str">
        <f>IF(ISBLANK(Tableau!$S$28), "LIBRE", "OCCUPÉ")</f>
        <v>LIBRE</v>
      </c>
      <c r="M28" s="52" t="str">
        <f>IF(ISBLANK(Tableau!$U$28), "LIBRE", "OCCUPÉ")</f>
        <v>OCCUPÉ</v>
      </c>
      <c r="N28" s="54" t="str">
        <f>IF(ISBLANK(Tableau!$W$28), "LIBRE", "OCCUPÉ")</f>
        <v>LIBRE</v>
      </c>
      <c r="O28" s="54" t="str">
        <f>IF(ISBLANK(Tableau!$Y$28), "LIBRE", "OCCUPÉ")</f>
        <v>LIBRE</v>
      </c>
      <c r="P28" s="52" t="str">
        <f>IF(ISBLANK(Tableau!$AA$28), "LIBRE", "OCCUPÉ")</f>
        <v>LIBRE</v>
      </c>
      <c r="Q28" s="52" t="str">
        <f>IF(ISBLANK(Tableau!$AC$28), "LIBRE", "OCCUPÉ")</f>
        <v>LIBRE</v>
      </c>
      <c r="R28" s="52" t="str">
        <f>IF(ISBLANK(Tableau!$AE$28), "LIBRE", "OCCUPÉ")</f>
        <v>LIBRE</v>
      </c>
      <c r="S28" s="52" t="str">
        <f>IF(ISBLANK(Tableau!$AG$28), "LIBRE", "OCCUPÉ")</f>
        <v>LIBRE</v>
      </c>
      <c r="T28" s="52" t="str">
        <f>IF(ISBLANK(Tableau!$AI$28), "LIBRE", "OCCUPÉ")</f>
        <v>LIBRE</v>
      </c>
      <c r="U28" s="54" t="str">
        <f>IF(ISBLANK(Tableau!$AK$28), "LIBRE", "OCCUPÉ")</f>
        <v>LIBRE</v>
      </c>
      <c r="V28" s="52" t="str">
        <f>IF(ISBLANK(Tableau!$AM$28), "LIBRE", "OCCUPÉ")</f>
        <v>LIBRE</v>
      </c>
      <c r="W28" s="52" t="str">
        <f>IF(ISBLANK(Tableau!$AO$28), "LIBRE", "OCCUPÉ")</f>
        <v>LIBRE</v>
      </c>
      <c r="X28" s="52" t="str">
        <f>IF(ISBLANK(Tableau!$AQ$28), "LIBRE", "OCCUPÉ")</f>
        <v>LIBRE</v>
      </c>
      <c r="Y28" s="54" t="str">
        <f>IF(ISBLANK(Tableau!$AS$28), "LIBRE", "OCCUPÉ")</f>
        <v>LIBRE</v>
      </c>
      <c r="Z28" s="52" t="str">
        <f>IF(ISBLANK(Tableau!$AU$28), "LIBRE", "OCCUPÉ")</f>
        <v>LIBRE</v>
      </c>
      <c r="AA28" s="52" t="str">
        <f>IF(ISBLANK(Tableau!$AW$28), "LIBRE", "OCCUPÉ")</f>
        <v>LIBRE</v>
      </c>
      <c r="AB28" s="76" t="str">
        <f>IF(ISBLANK(Tableau!$AY28), "LIBRE", "OCCUPÉ")</f>
        <v>LIBRE</v>
      </c>
      <c r="AC28" s="70" t="s">
        <v>17</v>
      </c>
    </row>
    <row r="29" ht="21.75" customHeight="1">
      <c r="A29" s="72">
        <f>Tableau!A29</f>
        <v>204</v>
      </c>
      <c r="B29" s="73" t="str">
        <f>VLOOKUP($A29,LocalisationRemorque,2,0)</f>
        <v>Huy</v>
      </c>
      <c r="C29" s="74" t="str">
        <f>VLOOKUP($A29,LocalisationRemorque,3,0)</f>
        <v>Vinalmont</v>
      </c>
      <c r="D29" s="75" t="str">
        <f>CONCATENATE(VLOOKUP($A29,LocalisationRemorque,6,0)," ► ",VLOOKUP($A29,LocalisationRemorque,5,0))</f>
        <v>Huy ► E42</v>
      </c>
      <c r="E29" s="52" t="str">
        <f>IF(ISBLANK(Tableau!$E$29), "LIBRE", "OCCUPÉ")</f>
        <v>OCCUPÉ</v>
      </c>
      <c r="F29" s="52" t="str">
        <f>IF(ISBLANK(Tableau!$G$29), "LIBRE", "OCCUPÉ")</f>
        <v>LIBRE</v>
      </c>
      <c r="G29" s="52" t="str">
        <f>IF(ISBLANK(Tableau!$I$29), "LIBRE", "OCCUPÉ")</f>
        <v>OCCUPÉ</v>
      </c>
      <c r="H29" s="52" t="str">
        <f>IF(ISBLANK(Tableau!$K$29), "LIBRE", "OCCUPÉ")</f>
        <v>LIBRE</v>
      </c>
      <c r="I29" s="54" t="str">
        <f>IF(ISBLANK(Tableau!$M$29), "LIBRE", "OCCUPÉ")</f>
        <v>OCCUPÉ</v>
      </c>
      <c r="J29" s="54" t="str">
        <f>IF(ISBLANK(Tableau!$O$29), "LIBRE", "OCCUPÉ")</f>
        <v>LIBRE</v>
      </c>
      <c r="K29" s="52" t="str">
        <f>IF(ISBLANK(Tableau!$Q$29), "LIBRE", "OCCUPÉ")</f>
        <v>OCCUPÉ</v>
      </c>
      <c r="L29" s="52" t="str">
        <f>IF(ISBLANK(Tableau!$S$29), "LIBRE", "OCCUPÉ")</f>
        <v>LIBRE</v>
      </c>
      <c r="M29" s="54" t="str">
        <f>IF(ISBLANK(Tableau!$U$29), "LIBRE", "OCCUPÉ")</f>
        <v>OCCUPÉ</v>
      </c>
      <c r="N29" s="52" t="str">
        <f>IF(ISBLANK(Tableau!$W$29), "LIBRE", "OCCUPÉ")</f>
        <v>LIBRE</v>
      </c>
      <c r="O29" s="54" t="str">
        <f>IF(ISBLANK(Tableau!$Y$29), "LIBRE", "OCCUPÉ")</f>
        <v>LIBRE</v>
      </c>
      <c r="P29" s="52" t="str">
        <f>IF(ISBLANK(Tableau!$AA$29), "LIBRE", "OCCUPÉ")</f>
        <v>LIBRE</v>
      </c>
      <c r="Q29" s="52" t="str">
        <f>IF(ISBLANK(Tableau!$AC$29), "LIBRE", "OCCUPÉ")</f>
        <v>LIBRE</v>
      </c>
      <c r="R29" s="52" t="str">
        <f>IF(ISBLANK(Tableau!$AE$29), "LIBRE", "OCCUPÉ")</f>
        <v>LIBRE</v>
      </c>
      <c r="S29" s="52" t="str">
        <f>IF(ISBLANK(Tableau!$AG$29), "LIBRE", "OCCUPÉ")</f>
        <v>LIBRE</v>
      </c>
      <c r="T29" s="52" t="str">
        <f>IF(ISBLANK(Tableau!$AI$29), "LIBRE", "OCCUPÉ")</f>
        <v>LIBRE</v>
      </c>
      <c r="U29" s="54" t="str">
        <f>IF(ISBLANK(Tableau!$AK$29), "LIBRE", "OCCUPÉ")</f>
        <v>LIBRE</v>
      </c>
      <c r="V29" s="52" t="str">
        <f>IF(ISBLANK(Tableau!$AM$29), "LIBRE", "OCCUPÉ")</f>
        <v>LIBRE</v>
      </c>
      <c r="W29" s="54" t="str">
        <f>IF(ISBLANK(Tableau!$AO$29), "LIBRE", "OCCUPÉ")</f>
        <v>LIBRE</v>
      </c>
      <c r="X29" s="52" t="str">
        <f>IF(ISBLANK(Tableau!$AQ$29), "LIBRE", "OCCUPÉ")</f>
        <v>LIBRE</v>
      </c>
      <c r="Y29" s="52" t="str">
        <f>IF(ISBLANK(Tableau!$AS$29), "LIBRE", "OCCUPÉ")</f>
        <v>LIBRE</v>
      </c>
      <c r="Z29" s="52" t="str">
        <f>IF(ISBLANK(Tableau!$AU$29), "LIBRE", "OCCUPÉ")</f>
        <v>LIBRE</v>
      </c>
      <c r="AA29" s="52" t="str">
        <f>IF(ISBLANK(Tableau!$AW$29), "LIBRE", "OCCUPÉ")</f>
        <v>LIBRE</v>
      </c>
      <c r="AB29" s="76" t="str">
        <f>IF(ISBLANK(Tableau!$AY29), "LIBRE", "OCCUPÉ")</f>
        <v>LIBRE</v>
      </c>
      <c r="AC29" s="77" t="s">
        <v>17</v>
      </c>
    </row>
    <row r="30" ht="21.75" customHeight="1">
      <c r="A30" s="40">
        <f>Tableau!A30</f>
        <v>205</v>
      </c>
      <c r="B30" s="46" t="str">
        <f>VLOOKUP($A30,LocalisationRemorque,2,0)</f>
        <v>Huy</v>
      </c>
      <c r="C30" s="47" t="str">
        <f>VLOOKUP($A30,LocalisationRemorque,3,0)</f>
        <v>Villers-Le-Bouillet</v>
      </c>
      <c r="D30" s="49" t="str">
        <f>CONCATENATE(VLOOKUP($A30,LocalisationRemorque,6,0)," ► ",VLOOKUP($A30,LocalisationRemorque,5,0))</f>
        <v>Huy ► E42</v>
      </c>
      <c r="E30" s="52" t="str">
        <f>IF(ISBLANK(Tableau!$E$30), "LIBRE", "OCCUPÉ")</f>
        <v>OCCUPÉ</v>
      </c>
      <c r="F30" s="52" t="str">
        <f>IF(ISBLANK(Tableau!$G$30), "LIBRE", "OCCUPÉ")</f>
        <v>LIBRE</v>
      </c>
      <c r="G30" s="52" t="str">
        <f>IF(ISBLANK(Tableau!$I$30), "LIBRE", "OCCUPÉ")</f>
        <v>OCCUPÉ</v>
      </c>
      <c r="H30" s="52" t="str">
        <f>IF(ISBLANK(Tableau!$K$30), "LIBRE", "OCCUPÉ")</f>
        <v>LIBRE</v>
      </c>
      <c r="I30" s="54" t="str">
        <f>IF(ISBLANK(Tableau!$M$30), "LIBRE", "OCCUPÉ")</f>
        <v>OCCUPÉ</v>
      </c>
      <c r="J30" s="54" t="str">
        <f>IF(ISBLANK(Tableau!$O$30), "LIBRE", "OCCUPÉ")</f>
        <v>LIBRE</v>
      </c>
      <c r="K30" s="54" t="str">
        <f>IF(ISBLANK(Tableau!$Q$30), "LIBRE", "OCCUPÉ")</f>
        <v>OCCUPÉ</v>
      </c>
      <c r="L30" s="52" t="str">
        <f>IF(ISBLANK(Tableau!$S$30), "LIBRE", "OCCUPÉ")</f>
        <v>LIBRE</v>
      </c>
      <c r="M30" s="54" t="str">
        <f>IF(ISBLANK(Tableau!$U$30), "LIBRE", "OCCUPÉ")</f>
        <v>OCCUPÉ</v>
      </c>
      <c r="N30" s="54" t="str">
        <f>IF(ISBLANK(Tableau!$W$30), "LIBRE", "OCCUPÉ")</f>
        <v>LIBRE</v>
      </c>
      <c r="O30" s="52" t="str">
        <f>IF(ISBLANK(Tableau!$Y$30), "LIBRE", "OCCUPÉ")</f>
        <v>LIBRE</v>
      </c>
      <c r="P30" s="52" t="str">
        <f>IF(ISBLANK(Tableau!$AA$30), "LIBRE", "OCCUPÉ")</f>
        <v>LIBRE</v>
      </c>
      <c r="Q30" s="52" t="str">
        <f>IF(ISBLANK(Tableau!$AC$30), "LIBRE", "OCCUPÉ")</f>
        <v>LIBRE</v>
      </c>
      <c r="R30" s="52" t="str">
        <f>IF(ISBLANK(Tableau!$AE$30), "LIBRE", "OCCUPÉ")</f>
        <v>LIBRE</v>
      </c>
      <c r="S30" s="52" t="str">
        <f>IF(ISBLANK(Tableau!$AG$30), "LIBRE", "OCCUPÉ")</f>
        <v>LIBRE</v>
      </c>
      <c r="T30" s="52" t="str">
        <f>IF(ISBLANK(Tableau!$AI$30), "LIBRE", "OCCUPÉ")</f>
        <v>LIBRE</v>
      </c>
      <c r="U30" s="54" t="str">
        <f>IF(ISBLANK(Tableau!$AK$30), "LIBRE", "OCCUPÉ")</f>
        <v>LIBRE</v>
      </c>
      <c r="V30" s="52" t="str">
        <f>IF(ISBLANK(Tableau!$AM$30), "LIBRE", "OCCUPÉ")</f>
        <v>LIBRE</v>
      </c>
      <c r="W30" s="54" t="str">
        <f>IF(ISBLANK(Tableau!$AO$30), "LIBRE", "OCCUPÉ")</f>
        <v>LIBRE</v>
      </c>
      <c r="X30" s="52" t="str">
        <f>IF(ISBLANK(Tableau!$AQ$30), "LIBRE", "OCCUPÉ")</f>
        <v>LIBRE</v>
      </c>
      <c r="Y30" s="52" t="str">
        <f>IF(ISBLANK(Tableau!$AS$30), "LIBRE", "OCCUPÉ")</f>
        <v>LIBRE</v>
      </c>
      <c r="Z30" s="52" t="str">
        <f>IF(ISBLANK(Tableau!$AU$30), "LIBRE", "OCCUPÉ")</f>
        <v>LIBRE</v>
      </c>
      <c r="AA30" s="52" t="str">
        <f>IF(ISBLANK(Tableau!$AW$30), "LIBRE", "OCCUPÉ")</f>
        <v>LIBRE</v>
      </c>
      <c r="AB30" s="76" t="str">
        <f>IF(ISBLANK(Tableau!$AY30), "LIBRE", "OCCUPÉ")</f>
        <v>LIBRE</v>
      </c>
      <c r="AC30" s="70" t="s">
        <v>17</v>
      </c>
    </row>
    <row r="31" ht="21.75" customHeight="1">
      <c r="A31" s="72">
        <f>Tableau!A31</f>
        <v>206</v>
      </c>
      <c r="B31" s="73" t="str">
        <f>VLOOKUP($A31,LocalisationRemorque,2,0)</f>
        <v>Huy</v>
      </c>
      <c r="C31" s="74" t="str">
        <f>VLOOKUP($A31,LocalisationRemorque,3,0)</f>
        <v>Ombret</v>
      </c>
      <c r="D31" s="75" t="str">
        <f>CONCATENATE(VLOOKUP($A31,LocalisationRemorque,6,0)," ► ",VLOOKUP($A31,LocalisationRemorque,5,0))</f>
        <v>Seraing ► Huy</v>
      </c>
      <c r="E31" s="52" t="str">
        <f>IF(ISBLANK(Tableau!$E$31), "LIBRE", "OCCUPÉ")</f>
        <v>OCCUPÉ</v>
      </c>
      <c r="F31" s="52" t="str">
        <f>IF(ISBLANK(Tableau!$G$31), "LIBRE", "OCCUPÉ")</f>
        <v>LIBRE</v>
      </c>
      <c r="G31" s="52" t="str">
        <f>IF(ISBLANK(Tableau!$I$31), "LIBRE", "OCCUPÉ")</f>
        <v>OCCUPÉ</v>
      </c>
      <c r="H31" s="52" t="str">
        <f>IF(ISBLANK(Tableau!$K$31), "LIBRE", "OCCUPÉ")</f>
        <v>LIBRE</v>
      </c>
      <c r="I31" s="54" t="str">
        <f>IF(ISBLANK(Tableau!$M$31), "LIBRE", "OCCUPÉ")</f>
        <v>OCCUPÉ</v>
      </c>
      <c r="J31" s="52" t="str">
        <f>IF(ISBLANK(Tableau!$O$31), "LIBRE", "OCCUPÉ")</f>
        <v>LIBRE</v>
      </c>
      <c r="K31" s="54" t="str">
        <f>IF(ISBLANK(Tableau!$Q$31), "LIBRE", "OCCUPÉ")</f>
        <v>OCCUPÉ</v>
      </c>
      <c r="L31" s="52" t="str">
        <f>IF(ISBLANK(Tableau!$S$31), "LIBRE", "OCCUPÉ")</f>
        <v>LIBRE</v>
      </c>
      <c r="M31" s="54" t="str">
        <f>IF(ISBLANK(Tableau!$U$31), "LIBRE", "OCCUPÉ")</f>
        <v>OCCUPÉ</v>
      </c>
      <c r="N31" s="52" t="str">
        <f>IF(ISBLANK(Tableau!$W$31), "LIBRE", "OCCUPÉ")</f>
        <v>LIBRE</v>
      </c>
      <c r="O31" s="52" t="str">
        <f>IF(ISBLANK(Tableau!$Y$31), "LIBRE", "OCCUPÉ")</f>
        <v>LIBRE</v>
      </c>
      <c r="P31" s="52" t="str">
        <f>IF(ISBLANK(Tableau!$AA$31), "LIBRE", "OCCUPÉ")</f>
        <v>LIBRE</v>
      </c>
      <c r="Q31" s="52" t="str">
        <f>IF(ISBLANK(Tableau!$AC$31), "LIBRE", "OCCUPÉ")</f>
        <v>LIBRE</v>
      </c>
      <c r="R31" s="52" t="str">
        <f>IF(ISBLANK(Tableau!$AE$31), "LIBRE", "OCCUPÉ")</f>
        <v>LIBRE</v>
      </c>
      <c r="S31" s="52" t="str">
        <f>IF(ISBLANK(Tableau!$AG$31), "LIBRE", "OCCUPÉ")</f>
        <v>LIBRE</v>
      </c>
      <c r="T31" s="52" t="str">
        <f>IF(ISBLANK(Tableau!$AI$31), "LIBRE", "OCCUPÉ")</f>
        <v>LIBRE</v>
      </c>
      <c r="U31" s="54" t="str">
        <f>IF(ISBLANK(Tableau!$AK$31), "LIBRE", "OCCUPÉ")</f>
        <v>LIBRE</v>
      </c>
      <c r="V31" s="52" t="str">
        <f>IF(ISBLANK(Tableau!$AM$31), "LIBRE", "OCCUPÉ")</f>
        <v>LIBRE</v>
      </c>
      <c r="W31" s="54" t="str">
        <f>IF(ISBLANK(Tableau!$AO$31), "LIBRE", "OCCUPÉ")</f>
        <v>LIBRE</v>
      </c>
      <c r="X31" s="52" t="str">
        <f>IF(ISBLANK(Tableau!$AQ$31), "LIBRE", "OCCUPÉ")</f>
        <v>LIBRE</v>
      </c>
      <c r="Y31" s="54" t="str">
        <f>IF(ISBLANK(Tableau!$AS$31), "LIBRE", "OCCUPÉ")</f>
        <v>LIBRE</v>
      </c>
      <c r="Z31" s="54" t="str">
        <f>IF(ISBLANK(Tableau!$AU$31), "LIBRE", "OCCUPÉ")</f>
        <v>LIBRE</v>
      </c>
      <c r="AA31" s="52" t="str">
        <f>IF(ISBLANK(Tableau!$AW$31), "LIBRE", "OCCUPÉ")</f>
        <v>LIBRE</v>
      </c>
      <c r="AB31" s="76" t="str">
        <f>IF(ISBLANK(Tableau!$AY31), "LIBRE", "OCCUPÉ")</f>
        <v>LIBRE</v>
      </c>
      <c r="AC31" s="77" t="s">
        <v>17</v>
      </c>
    </row>
    <row r="32" ht="21.75" customHeight="1">
      <c r="A32" s="40">
        <f>Tableau!A32</f>
        <v>207</v>
      </c>
      <c r="B32" s="46" t="str">
        <f>VLOOKUP($A32,LocalisationRemorque,2,0)</f>
        <v>Huy</v>
      </c>
      <c r="C32" s="47" t="str">
        <f>VLOOKUP($A32,LocalisationRemorque,3,0)</f>
        <v>Solière</v>
      </c>
      <c r="D32" s="49" t="str">
        <f>CONCATENATE(VLOOKUP($A32,LocalisationRemorque,6,0)," ► ",VLOOKUP($A32,LocalisationRemorque,5,0))</f>
        <v>Ohey ► Huy</v>
      </c>
      <c r="E32" s="54" t="str">
        <f>IF(ISBLANK(Tableau!$E$32), "LIBRE", "OCCUPÉ")</f>
        <v>OCCUPÉ</v>
      </c>
      <c r="F32" s="52" t="str">
        <f>IF(ISBLANK(Tableau!$G$32), "LIBRE", "OCCUPÉ")</f>
        <v>LIBRE</v>
      </c>
      <c r="G32" s="52" t="str">
        <f>IF(ISBLANK(Tableau!$I$32), "LIBRE", "OCCUPÉ")</f>
        <v>OCCUPÉ</v>
      </c>
      <c r="H32" s="52" t="str">
        <f>IF(ISBLANK(Tableau!$K$32), "LIBRE", "OCCUPÉ")</f>
        <v>LIBRE</v>
      </c>
      <c r="I32" s="54" t="str">
        <f>IF(ISBLANK(Tableau!$M$32), "LIBRE", "OCCUPÉ")</f>
        <v>OCCUPÉ</v>
      </c>
      <c r="J32" s="52" t="str">
        <f>IF(ISBLANK(Tableau!$O$32), "LIBRE", "OCCUPÉ")</f>
        <v>LIBRE</v>
      </c>
      <c r="K32" s="54" t="str">
        <f>IF(ISBLANK(Tableau!$Q$32), "LIBRE", "OCCUPÉ")</f>
        <v>OCCUPÉ</v>
      </c>
      <c r="L32" s="52" t="str">
        <f>IF(ISBLANK(Tableau!$S$32), "LIBRE", "OCCUPÉ")</f>
        <v>LIBRE</v>
      </c>
      <c r="M32" s="54" t="str">
        <f>IF(ISBLANK(Tableau!$U$32), "LIBRE", "OCCUPÉ")</f>
        <v>OCCUPÉ</v>
      </c>
      <c r="N32" s="52" t="str">
        <f>IF(ISBLANK(Tableau!$W$32), "LIBRE", "OCCUPÉ")</f>
        <v>LIBRE</v>
      </c>
      <c r="O32" s="54" t="str">
        <f>IF(ISBLANK(Tableau!$Y$32), "LIBRE", "OCCUPÉ")</f>
        <v>LIBRE</v>
      </c>
      <c r="P32" s="52" t="str">
        <f>IF(ISBLANK(Tableau!$AA$32), "LIBRE", "OCCUPÉ")</f>
        <v>LIBRE</v>
      </c>
      <c r="Q32" s="52" t="str">
        <f>IF(ISBLANK(Tableau!$AC$32), "LIBRE", "OCCUPÉ")</f>
        <v>LIBRE</v>
      </c>
      <c r="R32" s="52" t="str">
        <f>IF(ISBLANK(Tableau!$AE$32), "LIBRE", "OCCUPÉ")</f>
        <v>LIBRE</v>
      </c>
      <c r="S32" s="54" t="str">
        <f>IF(ISBLANK(Tableau!$AG$32), "LIBRE", "OCCUPÉ")</f>
        <v>LIBRE</v>
      </c>
      <c r="T32" s="52" t="str">
        <f>IF(ISBLANK(Tableau!$AI$32), "LIBRE", "OCCUPÉ")</f>
        <v>LIBRE</v>
      </c>
      <c r="U32" s="54" t="str">
        <f>IF(ISBLANK(Tableau!$AK$32), "LIBRE", "OCCUPÉ")</f>
        <v>LIBRE</v>
      </c>
      <c r="V32" s="52" t="str">
        <f>IF(ISBLANK(Tableau!$AM$32), "LIBRE", "OCCUPÉ")</f>
        <v>LIBRE</v>
      </c>
      <c r="W32" s="54" t="str">
        <f>IF(ISBLANK(Tableau!$AO$32), "LIBRE", "OCCUPÉ")</f>
        <v>LIBRE</v>
      </c>
      <c r="X32" s="52" t="str">
        <f>IF(ISBLANK(Tableau!$AQ$32), "LIBRE", "OCCUPÉ")</f>
        <v>LIBRE</v>
      </c>
      <c r="Y32" s="54" t="str">
        <f>IF(ISBLANK(Tableau!$AS$32), "LIBRE", "OCCUPÉ")</f>
        <v>LIBRE</v>
      </c>
      <c r="Z32" s="52" t="str">
        <f>IF(ISBLANK(Tableau!$AU$32), "LIBRE", "OCCUPÉ")</f>
        <v>LIBRE</v>
      </c>
      <c r="AA32" s="52" t="str">
        <f>IF(ISBLANK(Tableau!$AW$32), "LIBRE", "OCCUPÉ")</f>
        <v>LIBRE</v>
      </c>
      <c r="AB32" s="76" t="str">
        <f>IF(ISBLANK(Tableau!$AY32), "LIBRE", "OCCUPÉ")</f>
        <v>LIBRE</v>
      </c>
      <c r="AC32" s="70" t="s">
        <v>17</v>
      </c>
    </row>
    <row r="33" ht="21.75" customHeight="1">
      <c r="A33" s="72">
        <f>Tableau!A33</f>
        <v>208</v>
      </c>
      <c r="B33" s="73" t="str">
        <f>VLOOKUP($A33,LocalisationRemorque,2,0)</f>
        <v>Huy</v>
      </c>
      <c r="C33" s="74" t="str">
        <f>VLOOKUP($A33,LocalisationRemorque,3,0)</f>
        <v>Tihange</v>
      </c>
      <c r="D33" s="75" t="str">
        <f>CONCATENATE(VLOOKUP($A33,LocalisationRemorque,6,0)," ► ",VLOOKUP($A33,LocalisationRemorque,5,0))</f>
        <v>Hamoir ► Huy</v>
      </c>
      <c r="E33" s="52" t="str">
        <f>IF(ISBLANK(Tableau!$E$33), "LIBRE", "OCCUPÉ")</f>
        <v>OCCUPÉ</v>
      </c>
      <c r="F33" s="52" t="str">
        <f>IF(ISBLANK(Tableau!$G$33), "LIBRE", "OCCUPÉ")</f>
        <v>LIBRE</v>
      </c>
      <c r="G33" s="52" t="str">
        <f>IF(ISBLANK(Tableau!$I$33), "LIBRE", "OCCUPÉ")</f>
        <v>OCCUPÉ</v>
      </c>
      <c r="H33" s="52" t="str">
        <f>IF(ISBLANK(Tableau!$K$33), "LIBRE", "OCCUPÉ")</f>
        <v>LIBRE</v>
      </c>
      <c r="I33" s="54" t="str">
        <f>IF(ISBLANK(Tableau!$M$33), "LIBRE", "OCCUPÉ")</f>
        <v>OCCUPÉ</v>
      </c>
      <c r="J33" s="52" t="str">
        <f>IF(ISBLANK(Tableau!$O$33), "LIBRE", "OCCUPÉ")</f>
        <v>LIBRE</v>
      </c>
      <c r="K33" s="54" t="str">
        <f>IF(ISBLANK(Tableau!$Q$33), "LIBRE", "OCCUPÉ")</f>
        <v>OCCUPÉ</v>
      </c>
      <c r="L33" s="54" t="str">
        <f>IF(ISBLANK(Tableau!$S$33), "LIBRE", "OCCUPÉ")</f>
        <v>LIBRE</v>
      </c>
      <c r="M33" s="54" t="str">
        <f>IF(ISBLANK(Tableau!$U$33), "LIBRE", "OCCUPÉ")</f>
        <v>OCCUPÉ</v>
      </c>
      <c r="N33" s="52" t="str">
        <f>IF(ISBLANK(Tableau!$W$33), "LIBRE", "OCCUPÉ")</f>
        <v>LIBRE</v>
      </c>
      <c r="O33" s="54" t="str">
        <f>IF(ISBLANK(Tableau!$Y$33), "LIBRE", "OCCUPÉ")</f>
        <v>LIBRE</v>
      </c>
      <c r="P33" s="52" t="str">
        <f>IF(ISBLANK(Tableau!$AA$33), "LIBRE", "OCCUPÉ")</f>
        <v>LIBRE</v>
      </c>
      <c r="Q33" s="52" t="str">
        <f>IF(ISBLANK(Tableau!$AC$33), "LIBRE", "OCCUPÉ")</f>
        <v>LIBRE</v>
      </c>
      <c r="R33" s="52" t="str">
        <f>IF(ISBLANK(Tableau!$AE$33), "LIBRE", "OCCUPÉ")</f>
        <v>LIBRE</v>
      </c>
      <c r="S33" s="52" t="str">
        <f>IF(ISBLANK(Tableau!$AG$33), "LIBRE", "OCCUPÉ")</f>
        <v>LIBRE</v>
      </c>
      <c r="T33" s="52" t="str">
        <f>IF(ISBLANK(Tableau!$AI$33), "LIBRE", "OCCUPÉ")</f>
        <v>LIBRE</v>
      </c>
      <c r="U33" s="52" t="str">
        <f>IF(ISBLANK(Tableau!$AK$33), "LIBRE", "OCCUPÉ")</f>
        <v>LIBRE</v>
      </c>
      <c r="V33" s="52" t="str">
        <f>IF(ISBLANK(Tableau!$AM$33), "LIBRE", "OCCUPÉ")</f>
        <v>LIBRE</v>
      </c>
      <c r="W33" s="54" t="str">
        <f>IF(ISBLANK(Tableau!$AO$33), "LIBRE", "OCCUPÉ")</f>
        <v>LIBRE</v>
      </c>
      <c r="X33" s="52" t="str">
        <f>IF(ISBLANK(Tableau!$AQ$33), "LIBRE", "OCCUPÉ")</f>
        <v>LIBRE</v>
      </c>
      <c r="Y33" s="54" t="str">
        <f>IF(ISBLANK(Tableau!$AS$33), "LIBRE", "OCCUPÉ")</f>
        <v>LIBRE</v>
      </c>
      <c r="Z33" s="52" t="str">
        <f>IF(ISBLANK(Tableau!$AU$33), "LIBRE", "OCCUPÉ")</f>
        <v>LIBRE</v>
      </c>
      <c r="AA33" s="52" t="str">
        <f>IF(ISBLANK(Tableau!$AW$33), "LIBRE", "OCCUPÉ")</f>
        <v>LIBRE</v>
      </c>
      <c r="AB33" s="76" t="str">
        <f>IF(ISBLANK(Tableau!$AY33), "LIBRE", "OCCUPÉ")</f>
        <v>LIBRE</v>
      </c>
      <c r="AC33" s="77" t="s">
        <v>17</v>
      </c>
    </row>
    <row r="34" ht="21.75" customHeight="1">
      <c r="A34" s="40">
        <f>Tableau!A34</f>
        <v>209</v>
      </c>
      <c r="B34" s="46" t="str">
        <f>VLOOKUP($A34,LocalisationRemorque,2,0)</f>
        <v>Huy</v>
      </c>
      <c r="C34" s="47" t="str">
        <f>VLOOKUP($A34,LocalisationRemorque,3,0)</f>
        <v>Pont de bonne</v>
      </c>
      <c r="D34" s="49" t="str">
        <f>CONCATENATE(VLOOKUP($A34,LocalisationRemorque,6,0)," ► ",VLOOKUP($A34,LocalisationRemorque,5,0))</f>
        <v>Havelange ► Huy</v>
      </c>
      <c r="E34" s="52" t="str">
        <f>IF(ISBLANK(Tableau!$E$34), "LIBRE", "OCCUPÉ")</f>
        <v>OCCUPÉ</v>
      </c>
      <c r="F34" s="52" t="str">
        <f>IF(ISBLANK(Tableau!$G$34), "LIBRE", "OCCUPÉ")</f>
        <v>LIBRE</v>
      </c>
      <c r="G34" s="52" t="str">
        <f>IF(ISBLANK(Tableau!$I$34), "LIBRE", "OCCUPÉ")</f>
        <v>OCCUPÉ</v>
      </c>
      <c r="H34" s="52" t="str">
        <f>IF(ISBLANK(Tableau!$K$34), "LIBRE", "OCCUPÉ")</f>
        <v>LIBRE</v>
      </c>
      <c r="I34" s="54" t="str">
        <f>IF(ISBLANK(Tableau!$M$34), "LIBRE", "OCCUPÉ")</f>
        <v>OCCUPÉ</v>
      </c>
      <c r="J34" s="52" t="str">
        <f>IF(ISBLANK(Tableau!$O$34), "LIBRE", "OCCUPÉ")</f>
        <v>LIBRE</v>
      </c>
      <c r="K34" s="54" t="str">
        <f>IF(ISBLANK(Tableau!$Q$34), "LIBRE", "OCCUPÉ")</f>
        <v>OCCUPÉ</v>
      </c>
      <c r="L34" s="52" t="str">
        <f>IF(ISBLANK(Tableau!$S$34), "LIBRE", "OCCUPÉ")</f>
        <v>LIBRE</v>
      </c>
      <c r="M34" s="54" t="str">
        <f>IF(ISBLANK(Tableau!$U$34), "LIBRE", "OCCUPÉ")</f>
        <v>OCCUPÉ</v>
      </c>
      <c r="N34" s="52" t="str">
        <f>IF(ISBLANK(Tableau!$W$34), "LIBRE", "OCCUPÉ")</f>
        <v>LIBRE</v>
      </c>
      <c r="O34" s="54" t="str">
        <f>IF(ISBLANK(Tableau!$Y$34), "LIBRE", "OCCUPÉ")</f>
        <v>LIBRE</v>
      </c>
      <c r="P34" s="52" t="str">
        <f>IF(ISBLANK(Tableau!$AA$34), "LIBRE", "OCCUPÉ")</f>
        <v>LIBRE</v>
      </c>
      <c r="Q34" s="52" t="str">
        <f>IF(ISBLANK(Tableau!$AC$34), "LIBRE", "OCCUPÉ")</f>
        <v>LIBRE</v>
      </c>
      <c r="R34" s="52" t="str">
        <f>IF(ISBLANK(Tableau!$AE$34), "LIBRE", "OCCUPÉ")</f>
        <v>LIBRE</v>
      </c>
      <c r="S34" s="52" t="str">
        <f>IF(ISBLANK(Tableau!$AG$34), "LIBRE", "OCCUPÉ")</f>
        <v>LIBRE</v>
      </c>
      <c r="T34" s="52" t="str">
        <f>IF(ISBLANK(Tableau!$AI$34), "LIBRE", "OCCUPÉ")</f>
        <v>LIBRE</v>
      </c>
      <c r="U34" s="54" t="str">
        <f>IF(ISBLANK(Tableau!$AK$34), "LIBRE", "OCCUPÉ")</f>
        <v>LIBRE</v>
      </c>
      <c r="V34" s="52" t="str">
        <f>IF(ISBLANK(Tableau!$AM$34), "LIBRE", "OCCUPÉ")</f>
        <v>LIBRE</v>
      </c>
      <c r="W34" s="52" t="str">
        <f>IF(ISBLANK(Tableau!$AO$34), "LIBRE", "OCCUPÉ")</f>
        <v>LIBRE</v>
      </c>
      <c r="X34" s="52" t="str">
        <f>IF(ISBLANK(Tableau!$AQ$34), "LIBRE", "OCCUPÉ")</f>
        <v>LIBRE</v>
      </c>
      <c r="Y34" s="52" t="str">
        <f>IF(ISBLANK(Tableau!$AS$34), "LIBRE", "OCCUPÉ")</f>
        <v>LIBRE</v>
      </c>
      <c r="Z34" s="52" t="str">
        <f>IF(ISBLANK(Tableau!$AU$34), "LIBRE", "OCCUPÉ")</f>
        <v>LIBRE</v>
      </c>
      <c r="AA34" s="52" t="str">
        <f>IF(ISBLANK(Tableau!$AW$34), "LIBRE", "OCCUPÉ")</f>
        <v>LIBRE</v>
      </c>
      <c r="AB34" s="76" t="str">
        <f>IF(ISBLANK(Tableau!$AY34), "LIBRE", "OCCUPÉ")</f>
        <v>LIBRE</v>
      </c>
      <c r="AC34" s="70" t="s">
        <v>17</v>
      </c>
    </row>
    <row r="35" ht="21.75" customHeight="1">
      <c r="A35" s="72">
        <f>Tableau!A35</f>
        <v>210</v>
      </c>
      <c r="B35" s="73" t="str">
        <f>VLOOKUP($A35,LocalisationRemorque,2,0)</f>
        <v>Huy</v>
      </c>
      <c r="C35" s="74" t="str">
        <f>VLOOKUP($A35,LocalisationRemorque,3,0)</f>
        <v>Nandrin</v>
      </c>
      <c r="D35" s="75" t="str">
        <f>CONCATENATE(VLOOKUP($A35,LocalisationRemorque,6,0)," ► ",VLOOKUP($A35,LocalisationRemorque,5,0))</f>
        <v>Marche-en-Famenne ► Liege</v>
      </c>
      <c r="E35" s="52" t="str">
        <f>IF(ISBLANK(Tableau!$E$35), "LIBRE", "OCCUPÉ")</f>
        <v>OCCUPÉ</v>
      </c>
      <c r="F35" s="52" t="str">
        <f>IF(ISBLANK(Tableau!$G$35), "LIBRE", "OCCUPÉ")</f>
        <v>LIBRE</v>
      </c>
      <c r="G35" s="52" t="str">
        <f>IF(ISBLANK(Tableau!$I$35), "LIBRE", "OCCUPÉ")</f>
        <v>OCCUPÉ</v>
      </c>
      <c r="H35" s="52" t="str">
        <f>IF(ISBLANK(Tableau!$K$35), "LIBRE", "OCCUPÉ")</f>
        <v>LIBRE</v>
      </c>
      <c r="I35" s="54" t="str">
        <f>IF(ISBLANK(Tableau!$M$35), "LIBRE", "OCCUPÉ")</f>
        <v>OCCUPÉ</v>
      </c>
      <c r="J35" s="52" t="str">
        <f>IF(ISBLANK(Tableau!$O$35), "LIBRE", "OCCUPÉ")</f>
        <v>LIBRE</v>
      </c>
      <c r="K35" s="54" t="str">
        <f>IF(ISBLANK(Tableau!$Q$35), "LIBRE", "OCCUPÉ")</f>
        <v>OCCUPÉ</v>
      </c>
      <c r="L35" s="52" t="str">
        <f>IF(ISBLANK(Tableau!$S$35), "LIBRE", "OCCUPÉ")</f>
        <v>LIBRE</v>
      </c>
      <c r="M35" s="54" t="str">
        <f>IF(ISBLANK(Tableau!$U$35), "LIBRE", "OCCUPÉ")</f>
        <v>OCCUPÉ</v>
      </c>
      <c r="N35" s="52" t="str">
        <f>IF(ISBLANK(Tableau!$W$35), "LIBRE", "OCCUPÉ")</f>
        <v>LIBRE</v>
      </c>
      <c r="O35" s="52" t="str">
        <f>IF(ISBLANK(Tableau!$Y$35), "LIBRE", "OCCUPÉ")</f>
        <v>LIBRE</v>
      </c>
      <c r="P35" s="52" t="str">
        <f>IF(ISBLANK(Tableau!$AA$35), "LIBRE", "OCCUPÉ")</f>
        <v>LIBRE</v>
      </c>
      <c r="Q35" s="52" t="str">
        <f>IF(ISBLANK(Tableau!$AC$35), "LIBRE", "OCCUPÉ")</f>
        <v>OCCUPÉ</v>
      </c>
      <c r="R35" s="52" t="str">
        <f>IF(ISBLANK(Tableau!$AE$35), "LIBRE", "OCCUPÉ")</f>
        <v>LIBRE</v>
      </c>
      <c r="S35" s="52" t="str">
        <f>IF(ISBLANK(Tableau!$AG$35), "LIBRE", "OCCUPÉ")</f>
        <v>OCCUPÉ</v>
      </c>
      <c r="T35" s="52" t="str">
        <f>IF(ISBLANK(Tableau!$AI$35), "LIBRE", "OCCUPÉ")</f>
        <v>LIBRE</v>
      </c>
      <c r="U35" s="52" t="str">
        <f>IF(ISBLANK(Tableau!$AK$35), "LIBRE", "OCCUPÉ")</f>
        <v>LIBRE</v>
      </c>
      <c r="V35" s="52" t="str">
        <f>IF(ISBLANK(Tableau!$AM$35), "LIBRE", "OCCUPÉ")</f>
        <v>LIBRE</v>
      </c>
      <c r="W35" s="52" t="str">
        <f>IF(ISBLANK(Tableau!$AO$35), "LIBRE", "OCCUPÉ")</f>
        <v>OCCUPÉ</v>
      </c>
      <c r="X35" s="52" t="str">
        <f>IF(ISBLANK(Tableau!$AQ$35), "LIBRE", "OCCUPÉ")</f>
        <v>LIBRE</v>
      </c>
      <c r="Y35" s="52" t="str">
        <f>IF(ISBLANK(Tableau!$AS$35), "LIBRE", "OCCUPÉ")</f>
        <v>LIBRE</v>
      </c>
      <c r="Z35" s="52" t="str">
        <f>IF(ISBLANK(Tableau!$AU$35), "LIBRE", "OCCUPÉ")</f>
        <v>LIBRE</v>
      </c>
      <c r="AA35" s="52" t="str">
        <f>IF(ISBLANK(Tableau!$AW$35), "LIBRE", "OCCUPÉ")</f>
        <v>LIBRE</v>
      </c>
      <c r="AB35" s="76" t="str">
        <f>IF(ISBLANK(Tableau!$AY35), "LIBRE", "OCCUPÉ")</f>
        <v>LIBRE</v>
      </c>
      <c r="AC35" s="77" t="s">
        <v>17</v>
      </c>
    </row>
    <row r="36" ht="21.75" customHeight="1">
      <c r="A36" s="40">
        <f>Tableau!A36</f>
        <v>211</v>
      </c>
      <c r="B36" s="46" t="str">
        <f>VLOOKUP($A36,LocalisationRemorque,2,0)</f>
        <v>Huy</v>
      </c>
      <c r="C36" s="47" t="str">
        <f>VLOOKUP($A36,LocalisationRemorque,3,0)</f>
        <v>Soheit-Tinlot</v>
      </c>
      <c r="D36" s="49" t="str">
        <f>CONCATENATE(VLOOKUP($A36,LocalisationRemorque,6,0)," ► ",VLOOKUP($A36,LocalisationRemorque,5,0))</f>
        <v>Marche-en-Famenne ► Liege</v>
      </c>
      <c r="E36" s="52" t="str">
        <f>IF(ISBLANK(Tableau!$E$36), "LIBRE", "OCCUPÉ")</f>
        <v>OCCUPÉ</v>
      </c>
      <c r="F36" s="52" t="str">
        <f>IF(ISBLANK(Tableau!$G$36), "LIBRE", "OCCUPÉ")</f>
        <v>LIBRE</v>
      </c>
      <c r="G36" s="54" t="str">
        <f>IF(ISBLANK(Tableau!$I$36), "LIBRE", "OCCUPÉ")</f>
        <v>OCCUPÉ</v>
      </c>
      <c r="H36" s="52" t="str">
        <f>IF(ISBLANK(Tableau!$K$36), "LIBRE", "OCCUPÉ")</f>
        <v>LIBRE</v>
      </c>
      <c r="I36" s="54" t="str">
        <f>IF(ISBLANK(Tableau!$M$36), "LIBRE", "OCCUPÉ")</f>
        <v>OCCUPÉ</v>
      </c>
      <c r="J36" s="52" t="str">
        <f>IF(ISBLANK(Tableau!$O$52), "LIBRE", "OCCUPÉ")</f>
        <v>LIBRE</v>
      </c>
      <c r="K36" s="54" t="str">
        <f>IF(ISBLANK(Tableau!$Q$36), "LIBRE", "OCCUPÉ")</f>
        <v>OCCUPÉ</v>
      </c>
      <c r="L36" s="52" t="str">
        <f>IF(ISBLANK(Tableau!$S$36), "LIBRE", "OCCUPÉ")</f>
        <v>LIBRE</v>
      </c>
      <c r="M36" s="54" t="str">
        <f>IF(ISBLANK(Tableau!$U$36), "LIBRE", "OCCUPÉ")</f>
        <v>OCCUPÉ</v>
      </c>
      <c r="N36" s="52" t="str">
        <f>IF(ISBLANK(Tableau!$W$36), "LIBRE", "OCCUPÉ")</f>
        <v>LIBRE</v>
      </c>
      <c r="O36" s="54" t="str">
        <f>IF(ISBLANK(Tableau!$Y$36), "LIBRE", "OCCUPÉ")</f>
        <v>LIBRE</v>
      </c>
      <c r="P36" s="52" t="str">
        <f>IF(ISBLANK(Tableau!$AA$36), "LIBRE", "OCCUPÉ")</f>
        <v>LIBRE</v>
      </c>
      <c r="Q36" s="52" t="str">
        <f>IF(ISBLANK(Tableau!$AC$36), "LIBRE", "OCCUPÉ")</f>
        <v>LIBRE</v>
      </c>
      <c r="R36" s="52" t="str">
        <f>IF(ISBLANK(Tableau!$AE$36), "LIBRE", "OCCUPÉ")</f>
        <v>LIBRE</v>
      </c>
      <c r="S36" s="52" t="str">
        <f>IF(ISBLANK(Tableau!$AG$36), "LIBRE", "OCCUPÉ")</f>
        <v>LIBRE</v>
      </c>
      <c r="T36" s="52" t="str">
        <f>IF(ISBLANK(Tableau!$AI$36), "LIBRE", "OCCUPÉ")</f>
        <v>LIBRE</v>
      </c>
      <c r="U36" s="54" t="str">
        <f>IF(ISBLANK(Tableau!$AK$36), "LIBRE", "OCCUPÉ")</f>
        <v>LIBRE</v>
      </c>
      <c r="V36" s="52" t="str">
        <f>IF(ISBLANK(Tableau!$AM$36), "LIBRE", "OCCUPÉ")</f>
        <v>LIBRE</v>
      </c>
      <c r="W36" s="52" t="str">
        <f>IF(ISBLANK(Tableau!$AO$36), "LIBRE", "OCCUPÉ")</f>
        <v>LIBRE</v>
      </c>
      <c r="X36" s="52" t="str">
        <f>IF(ISBLANK(Tableau!$AQ$36), "LIBRE", "OCCUPÉ")</f>
        <v>LIBRE</v>
      </c>
      <c r="Y36" s="54" t="str">
        <f>IF(ISBLANK(Tableau!$AS$36), "LIBRE", "OCCUPÉ")</f>
        <v>LIBRE</v>
      </c>
      <c r="Z36" s="52" t="str">
        <f>IF(ISBLANK(Tableau!$AU$36), "LIBRE", "OCCUPÉ")</f>
        <v>LIBRE</v>
      </c>
      <c r="AA36" s="52" t="str">
        <f>IF(ISBLANK(Tableau!$AW$36), "LIBRE", "OCCUPÉ")</f>
        <v>LIBRE</v>
      </c>
      <c r="AB36" s="76" t="str">
        <f>IF(ISBLANK(Tableau!$AY36), "LIBRE", "OCCUPÉ")</f>
        <v>LIBRE</v>
      </c>
      <c r="AC36" s="70" t="s">
        <v>17</v>
      </c>
    </row>
    <row r="37" ht="21.75" customHeight="1">
      <c r="A37" s="72">
        <f>Tableau!A37</f>
        <v>212</v>
      </c>
      <c r="B37" s="73" t="str">
        <f>VLOOKUP($A37,LocalisationRemorque,2,0)</f>
        <v>Flemalle</v>
      </c>
      <c r="C37" s="74" t="str">
        <f>VLOOKUP($A37,LocalisationRemorque,3,0)</f>
        <v>Pont dYvoz-Ramet</v>
      </c>
      <c r="D37" s="75" t="str">
        <f>CONCATENATE(VLOOKUP($A37,LocalisationRemorque,6,0)," ► ",VLOOKUP($A37,LocalisationRemorque,5,0))</f>
        <v>Liège ► Huy</v>
      </c>
      <c r="E37" s="52" t="str">
        <f>IF(ISBLANK(Tableau!$E$37), "LIBRE", "OCCUPÉ")</f>
        <v>LIBRE</v>
      </c>
      <c r="F37" s="52" t="str">
        <f>IF(ISBLANK(Tableau!$G$37), "LIBRE", "OCCUPÉ")</f>
        <v>LIBRE</v>
      </c>
      <c r="G37" s="52" t="str">
        <f>IF(ISBLANK(Tableau!$I$37), "LIBRE", "OCCUPÉ")</f>
        <v>LIBRE</v>
      </c>
      <c r="H37" s="52" t="str">
        <f>IF(ISBLANK(Tableau!$K$37), "LIBRE", "OCCUPÉ")</f>
        <v>LIBRE</v>
      </c>
      <c r="I37" s="52" t="str">
        <f>IF(ISBLANK(Tableau!$M$37), "LIBRE", "OCCUPÉ")</f>
        <v>LIBRE</v>
      </c>
      <c r="J37" s="52" t="str">
        <f>IF(ISBLANK(Tableau!$O$37), "LIBRE", "OCCUPÉ")</f>
        <v>LIBRE</v>
      </c>
      <c r="K37" s="54" t="str">
        <f>IF(ISBLANK(Tableau!$Q$37), "LIBRE", "OCCUPÉ")</f>
        <v>LIBRE</v>
      </c>
      <c r="L37" s="52" t="str">
        <f>IF(ISBLANK(Tableau!$S$37), "LIBRE", "OCCUPÉ")</f>
        <v>LIBRE</v>
      </c>
      <c r="M37" s="54" t="str">
        <f>IF(ISBLANK(Tableau!$U$37), "LIBRE", "OCCUPÉ")</f>
        <v>LIBRE</v>
      </c>
      <c r="N37" s="52" t="str">
        <f>IF(ISBLANK(Tableau!$W$37), "LIBRE", "OCCUPÉ")</f>
        <v>LIBRE</v>
      </c>
      <c r="O37" s="52" t="str">
        <f>IF(ISBLANK(Tableau!$Y$37), "LIBRE", "OCCUPÉ")</f>
        <v>LIBRE</v>
      </c>
      <c r="P37" s="52" t="str">
        <f>IF(ISBLANK(Tableau!$AA$37), "LIBRE", "OCCUPÉ")</f>
        <v>LIBRE</v>
      </c>
      <c r="Q37" s="54" t="str">
        <f>IF(ISBLANK(Tableau!$AC$37), "LIBRE", "OCCUPÉ")</f>
        <v>LIBRE</v>
      </c>
      <c r="R37" s="52" t="str">
        <f>IF(ISBLANK(Tableau!$AE$37), "LIBRE", "OCCUPÉ")</f>
        <v>LIBRE</v>
      </c>
      <c r="S37" s="54" t="str">
        <f>IF(ISBLANK(Tableau!$AG$37), "LIBRE", "OCCUPÉ")</f>
        <v>LIBRE</v>
      </c>
      <c r="T37" s="52" t="str">
        <f>IF(ISBLANK(Tableau!$AI$37), "LIBRE", "OCCUPÉ")</f>
        <v>LIBRE</v>
      </c>
      <c r="U37" s="54" t="str">
        <f>IF(ISBLANK(Tableau!$AK$37), "LIBRE", "OCCUPÉ")</f>
        <v>LIBRE</v>
      </c>
      <c r="V37" s="52" t="str">
        <f>IF(ISBLANK(Tableau!$AM$37), "LIBRE", "OCCUPÉ")</f>
        <v>LIBRE</v>
      </c>
      <c r="W37" s="54" t="str">
        <f>IF(ISBLANK(Tableau!$AO$37), "LIBRE", "OCCUPÉ")</f>
        <v>LIBRE</v>
      </c>
      <c r="X37" s="52" t="str">
        <f>IF(ISBLANK(Tableau!$AQ$37), "LIBRE", "OCCUPÉ")</f>
        <v>LIBRE</v>
      </c>
      <c r="Y37" s="52" t="str">
        <f>IF(ISBLANK(Tableau!$AS$37), "LIBRE", "OCCUPÉ")</f>
        <v>LIBRE</v>
      </c>
      <c r="Z37" s="52" t="str">
        <f>IF(ISBLANK(Tableau!$AU$37), "LIBRE", "OCCUPÉ")</f>
        <v>LIBRE</v>
      </c>
      <c r="AA37" s="52" t="str">
        <f>IF(ISBLANK(Tableau!$AW$37), "LIBRE", "OCCUPÉ")</f>
        <v>LIBRE</v>
      </c>
      <c r="AB37" s="76" t="str">
        <f>IF(ISBLANK(Tableau!$AY37), "LIBRE", "OCCUPÉ")</f>
        <v>LIBRE</v>
      </c>
      <c r="AC37" s="155"/>
    </row>
    <row r="38" ht="21.75" customHeight="1">
      <c r="A38" s="40">
        <f>Tableau!A38</f>
        <v>213</v>
      </c>
      <c r="B38" s="46" t="str">
        <f>VLOOKUP($A38,LocalisationRemorque,2,0)</f>
        <v>Fexhe-le-Haut-Clocher</v>
      </c>
      <c r="C38" s="47" t="str">
        <f>VLOOKUP($A38,LocalisationRemorque,3,0)</f>
        <v>Simonis</v>
      </c>
      <c r="D38" s="49" t="str">
        <f>CONCATENATE(VLOOKUP($A38,LocalisationRemorque,6,0)," ► ",VLOOKUP($A38,LocalisationRemorque,5,0))</f>
        <v>Waremme ► Bierset</v>
      </c>
      <c r="E38" s="52" t="str">
        <f>IF(ISBLANK(Tableau!$E$38), "LIBRE", "OCCUPÉ")</f>
        <v>LIBRE</v>
      </c>
      <c r="F38" s="52" t="str">
        <f>IF(ISBLANK(Tableau!$G$38), "LIBRE", "OCCUPÉ")</f>
        <v>LIBRE</v>
      </c>
      <c r="G38" s="54" t="str">
        <f>IF(ISBLANK(Tableau!$I$38), "LIBRE", "OCCUPÉ")</f>
        <v>LIBRE</v>
      </c>
      <c r="H38" s="52" t="str">
        <f>IF(ISBLANK(Tableau!$K$38), "LIBRE", "OCCUPÉ")</f>
        <v>LIBRE</v>
      </c>
      <c r="I38" s="54" t="str">
        <f>IF(ISBLANK(Tableau!$M$38), "LIBRE", "OCCUPÉ")</f>
        <v>LIBRE</v>
      </c>
      <c r="J38" s="52" t="str">
        <f>IF(ISBLANK(Tableau!$O$38), "LIBRE", "OCCUPÉ")</f>
        <v>LIBRE</v>
      </c>
      <c r="K38" s="52" t="str">
        <f>IF(ISBLANK(Tableau!$Q$38), "LIBRE", "OCCUPÉ")</f>
        <v>LIBRE</v>
      </c>
      <c r="L38" s="52" t="str">
        <f>IF(ISBLANK(Tableau!$S$38), "LIBRE", "OCCUPÉ")</f>
        <v>LIBRE</v>
      </c>
      <c r="M38" s="52" t="str">
        <f>IF(ISBLANK(Tableau!$U$38), "LIBRE", "OCCUPÉ")</f>
        <v>LIBRE</v>
      </c>
      <c r="N38" s="52" t="str">
        <f>IF(ISBLANK(Tableau!$W$38), "LIBRE", "OCCUPÉ")</f>
        <v>LIBRE</v>
      </c>
      <c r="O38" s="52" t="str">
        <f>IF(ISBLANK(Tableau!$Y$38), "LIBRE", "OCCUPÉ")</f>
        <v>LIBRE</v>
      </c>
      <c r="P38" s="52" t="str">
        <f>IF(ISBLANK(Tableau!$AA$38), "LIBRE", "OCCUPÉ")</f>
        <v>LIBRE</v>
      </c>
      <c r="Q38" s="52" t="str">
        <f>IF(ISBLANK(Tableau!$AC$38), "LIBRE", "OCCUPÉ")</f>
        <v>LIBRE</v>
      </c>
      <c r="R38" s="52" t="str">
        <f>IF(ISBLANK(Tableau!$AE$38), "LIBRE", "OCCUPÉ")</f>
        <v>LIBRE</v>
      </c>
      <c r="S38" s="52" t="str">
        <f>IF(ISBLANK(Tableau!$AG$38), "LIBRE", "OCCUPÉ")</f>
        <v>LIBRE</v>
      </c>
      <c r="T38" s="52" t="str">
        <f>IF(ISBLANK(Tableau!$AI$38), "LIBRE", "OCCUPÉ")</f>
        <v>LIBRE</v>
      </c>
      <c r="U38" s="54" t="str">
        <f>IF(ISBLANK(Tableau!$AK$38), "LIBRE", "OCCUPÉ")</f>
        <v>LIBRE</v>
      </c>
      <c r="V38" s="52" t="str">
        <f>IF(ISBLANK(Tableau!$AM$38), "LIBRE", "OCCUPÉ")</f>
        <v>LIBRE</v>
      </c>
      <c r="W38" s="52" t="str">
        <f>IF(ISBLANK(Tableau!$AO$38), "LIBRE", "OCCUPÉ")</f>
        <v>LIBRE</v>
      </c>
      <c r="X38" s="52" t="str">
        <f>IF(ISBLANK(Tableau!$AQ$38), "LIBRE", "OCCUPÉ")</f>
        <v>LIBRE</v>
      </c>
      <c r="Y38" s="52" t="str">
        <f>IF(ISBLANK(Tableau!$AS$38), "LIBRE", "OCCUPÉ")</f>
        <v>LIBRE</v>
      </c>
      <c r="Z38" s="52" t="str">
        <f>IF(ISBLANK(Tableau!$AU$38), "LIBRE", "OCCUPÉ")</f>
        <v>LIBRE</v>
      </c>
      <c r="AA38" s="52" t="str">
        <f>IF(ISBLANK(Tableau!$AW$38), "LIBRE", "OCCUPÉ")</f>
        <v>LIBRE</v>
      </c>
      <c r="AB38" s="76" t="str">
        <f>IF(ISBLANK(Tableau!$AY38), "LIBRE", "OCCUPÉ")</f>
        <v>LIBRE</v>
      </c>
      <c r="AC38" s="70"/>
    </row>
    <row r="39" ht="21.75" customHeight="1">
      <c r="A39" s="72">
        <f>Tableau!A39</f>
        <v>214</v>
      </c>
      <c r="B39" s="73" t="str">
        <f>VLOOKUP($A39,LocalisationRemorque,2,0)</f>
        <v>Fexhe-le-Haut-Clocher</v>
      </c>
      <c r="C39" s="74" t="str">
        <f>VLOOKUP($A39,LocalisationRemorque,3,0)</f>
        <v>Château d'eau Jeneffe</v>
      </c>
      <c r="D39" s="75" t="str">
        <f>CONCATENATE(VLOOKUP($A39,LocalisationRemorque,6,0)," ► ",VLOOKUP($A39,LocalisationRemorque,5,0))</f>
        <v>Tongres ► Amay</v>
      </c>
      <c r="E39" s="52" t="str">
        <f>IF(ISBLANK(Tableau!$E$39), "LIBRE", "OCCUPÉ")</f>
        <v>LIBRE</v>
      </c>
      <c r="F39" s="52" t="str">
        <f>IF(ISBLANK(Tableau!$G$39), "LIBRE", "OCCUPÉ")</f>
        <v>LIBRE</v>
      </c>
      <c r="G39" s="52" t="str">
        <f>IF(ISBLANK(Tableau!$I$39), "LIBRE", "OCCUPÉ")</f>
        <v>LIBRE</v>
      </c>
      <c r="H39" s="52" t="str">
        <f>IF(ISBLANK(Tableau!$K$39), "LIBRE", "OCCUPÉ")</f>
        <v>LIBRE</v>
      </c>
      <c r="I39" s="52" t="str">
        <f>IF(ISBLANK(Tableau!$M$39), "LIBRE", "OCCUPÉ")</f>
        <v>LIBRE</v>
      </c>
      <c r="J39" s="54" t="str">
        <f>IF(ISBLANK(Tableau!$O$39), "LIBRE", "OCCUPÉ")</f>
        <v>LIBRE</v>
      </c>
      <c r="K39" s="54" t="str">
        <f>IF(ISBLANK(Tableau!$Q$39), "LIBRE", "OCCUPÉ")</f>
        <v>LIBRE</v>
      </c>
      <c r="L39" s="52" t="str">
        <f>IF(ISBLANK(Tableau!$S$39), "LIBRE", "OCCUPÉ")</f>
        <v>LIBRE</v>
      </c>
      <c r="M39" s="54" t="str">
        <f>IF(ISBLANK(Tableau!$U$39), "LIBRE", "OCCUPÉ")</f>
        <v>LIBRE</v>
      </c>
      <c r="N39" s="52" t="str">
        <f>IF(ISBLANK(Tableau!$W$39), "LIBRE", "OCCUPÉ")</f>
        <v>LIBRE</v>
      </c>
      <c r="O39" s="54" t="str">
        <f>IF(ISBLANK(Tableau!$Y$39), "LIBRE", "OCCUPÉ")</f>
        <v>LIBRE</v>
      </c>
      <c r="P39" s="52" t="str">
        <f>IF(ISBLANK(Tableau!$AA$39), "LIBRE", "OCCUPÉ")</f>
        <v>LIBRE</v>
      </c>
      <c r="Q39" s="52" t="str">
        <f>IF(ISBLANK(Tableau!$AC$39), "LIBRE", "OCCUPÉ")</f>
        <v>LIBRE</v>
      </c>
      <c r="R39" s="52" t="str">
        <f>IF(ISBLANK(Tableau!$AE$39), "LIBRE", "OCCUPÉ")</f>
        <v>LIBRE</v>
      </c>
      <c r="S39" s="52" t="str">
        <f>IF(ISBLANK(Tableau!$AG$39), "LIBRE", "OCCUPÉ")</f>
        <v>LIBRE</v>
      </c>
      <c r="T39" s="52" t="str">
        <f>IF(ISBLANK(Tableau!$AI$39), "LIBRE", "OCCUPÉ")</f>
        <v>LIBRE</v>
      </c>
      <c r="U39" s="52" t="str">
        <f>IF(ISBLANK(Tableau!$AK$39), "LIBRE", "OCCUPÉ")</f>
        <v>LIBRE</v>
      </c>
      <c r="V39" s="52" t="str">
        <f>IF(ISBLANK(Tableau!$AM$39), "LIBRE", "OCCUPÉ")</f>
        <v>LIBRE</v>
      </c>
      <c r="W39" s="52" t="str">
        <f>IF(ISBLANK(Tableau!$AO$39), "LIBRE", "OCCUPÉ")</f>
        <v>LIBRE</v>
      </c>
      <c r="X39" s="52" t="str">
        <f>IF(ISBLANK(Tableau!$AQ$39), "LIBRE", "OCCUPÉ")</f>
        <v>LIBRE</v>
      </c>
      <c r="Y39" s="52" t="str">
        <f>IF(ISBLANK(Tableau!$AS$39), "LIBRE", "OCCUPÉ")</f>
        <v>LIBRE</v>
      </c>
      <c r="Z39" s="52" t="str">
        <f>IF(ISBLANK(Tableau!$AU$39), "LIBRE", "OCCUPÉ")</f>
        <v>LIBRE</v>
      </c>
      <c r="AA39" s="52" t="str">
        <f>IF(ISBLANK(Tableau!$AW$39), "LIBRE", "OCCUPÉ")</f>
        <v>LIBRE</v>
      </c>
      <c r="AB39" s="76" t="str">
        <f>IF(ISBLANK(Tableau!$AY39), "LIBRE", "OCCUPÉ")</f>
        <v>LIBRE</v>
      </c>
      <c r="AC39" s="155"/>
    </row>
    <row r="40" ht="21.75" customHeight="1">
      <c r="A40" s="40">
        <f>Tableau!A40</f>
        <v>215</v>
      </c>
      <c r="B40" s="46" t="str">
        <f>VLOOKUP($A40,LocalisationRemorque,2,0)</f>
        <v>Fexhe-le-Haut-Clocher</v>
      </c>
      <c r="C40" s="47" t="str">
        <f>VLOOKUP($A40,LocalisationRemorque,3,0)</f>
        <v>Noville</v>
      </c>
      <c r="D40" s="49" t="str">
        <f>CONCATENATE(VLOOKUP($A40,LocalisationRemorque,6,0)," ► ",VLOOKUP($A40,LocalisationRemorque,5,0))</f>
        <v>Amay ► E40</v>
      </c>
      <c r="E40" s="52" t="str">
        <f>IF(ISBLANK(Tableau!$E$40), "LIBRE", "OCCUPÉ")</f>
        <v>LIBRE</v>
      </c>
      <c r="F40" s="52" t="str">
        <f>IF(ISBLANK(Tableau!$G$40), "LIBRE", "OCCUPÉ")</f>
        <v>LIBRE</v>
      </c>
      <c r="G40" s="52" t="str">
        <f>IF(ISBLANK(Tableau!$I$40), "LIBRE", "OCCUPÉ")</f>
        <v>LIBRE</v>
      </c>
      <c r="H40" s="52" t="str">
        <f>IF(ISBLANK(Tableau!$K$40), "LIBRE", "OCCUPÉ")</f>
        <v>LIBRE</v>
      </c>
      <c r="I40" s="52" t="str">
        <f>IF(ISBLANK(Tableau!$M$40), "LIBRE", "OCCUPÉ")</f>
        <v>LIBRE</v>
      </c>
      <c r="J40" s="54" t="str">
        <f>IF(ISBLANK(Tableau!$O$40), "LIBRE", "OCCUPÉ")</f>
        <v>LIBRE</v>
      </c>
      <c r="K40" s="52" t="str">
        <f>IF(ISBLANK(Tableau!$Q$40), "LIBRE", "OCCUPÉ")</f>
        <v>LIBRE</v>
      </c>
      <c r="L40" s="52" t="str">
        <f>IF(ISBLANK(Tableau!$S$40), "LIBRE", "OCCUPÉ")</f>
        <v>LIBRE</v>
      </c>
      <c r="M40" s="54" t="str">
        <f>IF(ISBLANK(Tableau!$U$40), "LIBRE", "OCCUPÉ")</f>
        <v>LIBRE</v>
      </c>
      <c r="N40" s="52" t="str">
        <f>IF(ISBLANK(Tableau!$W$40), "LIBRE", "OCCUPÉ")</f>
        <v>LIBRE</v>
      </c>
      <c r="O40" s="52" t="str">
        <f>IF(ISBLANK(Tableau!$Y$40), "LIBRE", "OCCUPÉ")</f>
        <v>LIBRE</v>
      </c>
      <c r="P40" s="52" t="str">
        <f>IF(ISBLANK(Tableau!$AA$40), "LIBRE", "OCCUPÉ")</f>
        <v>LIBRE</v>
      </c>
      <c r="Q40" s="54" t="str">
        <f>IF(ISBLANK(Tableau!$AC$40), "LIBRE", "OCCUPÉ")</f>
        <v>LIBRE</v>
      </c>
      <c r="R40" s="52" t="str">
        <f>IF(ISBLANK(Tableau!$AE$40), "LIBRE", "OCCUPÉ")</f>
        <v>LIBRE</v>
      </c>
      <c r="S40" s="52" t="str">
        <f>IF(ISBLANK(Tableau!$AG$40), "LIBRE", "OCCUPÉ")</f>
        <v>LIBRE</v>
      </c>
      <c r="T40" s="52" t="str">
        <f>IF(ISBLANK(Tableau!$AI$40), "LIBRE", "OCCUPÉ")</f>
        <v>LIBRE</v>
      </c>
      <c r="U40" s="52" t="str">
        <f>IF(ISBLANK(Tableau!$AK$40), "LIBRE", "OCCUPÉ")</f>
        <v>LIBRE</v>
      </c>
      <c r="V40" s="52" t="str">
        <f>IF(ISBLANK(Tableau!$AM$40), "LIBRE", "OCCUPÉ")</f>
        <v>LIBRE</v>
      </c>
      <c r="W40" s="52" t="str">
        <f>IF(ISBLANK(Tableau!$AO$40), "LIBRE", "OCCUPÉ")</f>
        <v>LIBRE</v>
      </c>
      <c r="X40" s="52" t="str">
        <f>IF(ISBLANK(Tableau!$AQ$40), "LIBRE", "OCCUPÉ")</f>
        <v>LIBRE</v>
      </c>
      <c r="Y40" s="52" t="str">
        <f>IF(ISBLANK(Tableau!$AS$40), "LIBRE", "OCCUPÉ")</f>
        <v>LIBRE</v>
      </c>
      <c r="Z40" s="52" t="str">
        <f>IF(ISBLANK(Tableau!$AU$40), "LIBRE", "OCCUPÉ")</f>
        <v>LIBRE</v>
      </c>
      <c r="AA40" s="52" t="str">
        <f>IF(ISBLANK(Tableau!$AW$40), "LIBRE", "OCCUPÉ")</f>
        <v>LIBRE</v>
      </c>
      <c r="AB40" s="76" t="str">
        <f>IF(ISBLANK(Tableau!$AY40), "LIBRE", "OCCUPÉ")</f>
        <v>LIBRE</v>
      </c>
      <c r="AC40" s="88"/>
    </row>
    <row r="41" ht="21.75" customHeight="1">
      <c r="A41" s="72">
        <f>Tableau!A41</f>
        <v>216</v>
      </c>
      <c r="B41" s="73" t="str">
        <f>VLOOKUP($A41,LocalisationRemorque,2,0)</f>
        <v>Waremme</v>
      </c>
      <c r="C41" s="74" t="str">
        <f>VLOOKUP($A41,LocalisationRemorque,3,0)</f>
        <v>Waremme 1</v>
      </c>
      <c r="D41" s="75" t="str">
        <f>CONCATENATE(VLOOKUP($A41,LocalisationRemorque,6,0)," ► ",VLOOKUP($A41,LocalisationRemorque,5,0))</f>
        <v>Huy ► Waremme</v>
      </c>
      <c r="E41" s="52" t="str">
        <f>IF(ISBLANK(Tableau!$E$41), "LIBRE", "OCCUPÉ")</f>
        <v>LIBRE</v>
      </c>
      <c r="F41" s="52" t="str">
        <f>IF(ISBLANK(Tableau!$G$41), "LIBRE", "OCCUPÉ")</f>
        <v>LIBRE</v>
      </c>
      <c r="G41" s="52" t="str">
        <f>IF(ISBLANK(Tableau!$I$41), "LIBRE", "OCCUPÉ")</f>
        <v>LIBRE</v>
      </c>
      <c r="H41" s="52" t="str">
        <f>IF(ISBLANK(Tableau!$K$41), "LIBRE", "OCCUPÉ")</f>
        <v>LIBRE</v>
      </c>
      <c r="I41" s="54" t="str">
        <f>IF(ISBLANK(Tableau!$M$41), "LIBRE", "OCCUPÉ")</f>
        <v>LIBRE</v>
      </c>
      <c r="J41" s="54" t="str">
        <f>IF(ISBLANK(Tableau!$O$41), "LIBRE", "OCCUPÉ")</f>
        <v>LIBRE</v>
      </c>
      <c r="K41" s="54" t="str">
        <f>IF(ISBLANK(Tableau!$Q$41), "LIBRE", "OCCUPÉ")</f>
        <v>LIBRE</v>
      </c>
      <c r="L41" s="54" t="str">
        <f>IF(ISBLANK(Tableau!$S$41), "LIBRE", "OCCUPÉ")</f>
        <v>LIBRE</v>
      </c>
      <c r="M41" s="54" t="str">
        <f>IF(ISBLANK(Tableau!$U$41), "LIBRE", "OCCUPÉ")</f>
        <v>LIBRE</v>
      </c>
      <c r="N41" s="54" t="str">
        <f>IF(ISBLANK(Tableau!$W$41), "LIBRE", "OCCUPÉ")</f>
        <v>LIBRE</v>
      </c>
      <c r="O41" s="54" t="str">
        <f>IF(ISBLANK(Tableau!$Y$41), "LIBRE", "OCCUPÉ")</f>
        <v>LIBRE</v>
      </c>
      <c r="P41" s="54" t="str">
        <f>IF(ISBLANK(Tableau!$Z$41), "LIBRE", "OCCUPÉ")</f>
        <v>LIBRE</v>
      </c>
      <c r="Q41" s="52" t="str">
        <f>IF(ISBLANK(Tableau!$AC$41), "LIBRE", "OCCUPÉ")</f>
        <v>LIBRE</v>
      </c>
      <c r="R41" s="52" t="str">
        <f>IF(ISBLANK(Tableau!$AE$41), "LIBRE", "OCCUPÉ")</f>
        <v>LIBRE</v>
      </c>
      <c r="S41" s="52" t="str">
        <f>IF(ISBLANK(Tableau!$AG$41), "LIBRE", "OCCUPÉ")</f>
        <v>LIBRE</v>
      </c>
      <c r="T41" s="52" t="str">
        <f>IF(ISBLANK(Tableau!$AI$41), "LIBRE", "OCCUPÉ")</f>
        <v>LIBRE</v>
      </c>
      <c r="U41" s="54" t="str">
        <f>IF(ISBLANK(Tableau!$AK$41), "LIBRE", "OCCUPÉ")</f>
        <v>LIBRE</v>
      </c>
      <c r="V41" s="52" t="str">
        <f>IF(ISBLANK(Tableau!$AM$41), "LIBRE", "OCCUPÉ")</f>
        <v>LIBRE</v>
      </c>
      <c r="W41" s="54" t="str">
        <f>IF(ISBLANK(Tableau!$AO$41), "LIBRE", "OCCUPÉ")</f>
        <v>LIBRE</v>
      </c>
      <c r="X41" s="52" t="str">
        <f>IF(ISBLANK(Tableau!$AQ$41), "LIBRE", "OCCUPÉ")</f>
        <v>LIBRE</v>
      </c>
      <c r="Y41" s="54" t="str">
        <f>IF(ISBLANK(Tableau!$AS$41), "LIBRE", "OCCUPÉ")</f>
        <v>LIBRE</v>
      </c>
      <c r="Z41" s="52" t="str">
        <f>IF(ISBLANK(Tableau!$AU$41), "LIBRE", "OCCUPÉ")</f>
        <v>LIBRE</v>
      </c>
      <c r="AA41" s="52" t="str">
        <f>IF(ISBLANK(Tableau!$AW$41), "LIBRE", "OCCUPÉ")</f>
        <v>LIBRE</v>
      </c>
      <c r="AB41" s="76" t="str">
        <f>IF(ISBLANK(Tableau!$AY41), "LIBRE", "OCCUPÉ")</f>
        <v>LIBRE</v>
      </c>
      <c r="AC41" s="155"/>
    </row>
    <row r="42" ht="21.75" customHeight="1">
      <c r="A42" s="40">
        <f>Tableau!A42</f>
        <v>227</v>
      </c>
      <c r="B42" s="46" t="str">
        <f>VLOOKUP($A42,LocalisationRemorque,2,0)</f>
        <v>Waremme</v>
      </c>
      <c r="C42" s="47" t="str">
        <f>VLOOKUP($A42,LocalisationRemorque,3,0)</f>
        <v>Waremme 2</v>
      </c>
      <c r="D42" s="49" t="str">
        <f>CONCATENATE(VLOOKUP($A42,LocalisationRemorque,6,0)," ► ",VLOOKUP($A42,LocalisationRemorque,5,0))</f>
        <v>Huy ► Waremme</v>
      </c>
      <c r="E42" s="54" t="str">
        <f>IF(ISBLANK(Tableau!$E$42), "LIBRE", "OCCUPÉ")</f>
        <v>LIBRE</v>
      </c>
      <c r="F42" s="52" t="str">
        <f>IF(ISBLANK(Tableau!$G$42), "LIBRE", "OCCUPÉ")</f>
        <v>LIBRE</v>
      </c>
      <c r="G42" s="52" t="str">
        <f>IF(ISBLANK(Tableau!$I$42), "LIBRE", "OCCUPÉ")</f>
        <v>LIBRE</v>
      </c>
      <c r="H42" s="52" t="str">
        <f>IF(ISBLANK(Tableau!$K$42), "LIBRE", "OCCUPÉ")</f>
        <v>LIBRE</v>
      </c>
      <c r="I42" s="54" t="str">
        <f>IF(ISBLANK(Tableau!$M$42), "LIBRE", "OCCUPÉ")</f>
        <v>LIBRE</v>
      </c>
      <c r="J42" s="52" t="str">
        <f>IF(ISBLANK(Tableau!$O$42), "LIBRE", "OCCUPÉ")</f>
        <v>LIBRE</v>
      </c>
      <c r="K42" s="52" t="str">
        <f>IF(ISBLANK(Tableau!$Q$42), "LIBRE", "OCCUPÉ")</f>
        <v>LIBRE</v>
      </c>
      <c r="L42" s="52" t="str">
        <f>IF(ISBLANK(Tableau!$S$42), "LIBRE", "OCCUPÉ")</f>
        <v>LIBRE</v>
      </c>
      <c r="M42" s="54" t="str">
        <f>IF(ISBLANK(Tableau!$U$42), "LIBRE", "OCCUPÉ")</f>
        <v>LIBRE</v>
      </c>
      <c r="N42" s="52" t="str">
        <f>IF(ISBLANK(Tableau!$W$42), "LIBRE", "OCCUPÉ")</f>
        <v>LIBRE</v>
      </c>
      <c r="O42" s="54" t="str">
        <f>IF(ISBLANK(Tableau!$Y$42), "LIBRE", "OCCUPÉ")</f>
        <v>LIBRE</v>
      </c>
      <c r="P42" s="52" t="str">
        <f>IF(ISBLANK(Tableau!$AA$42), "LIBRE", "OCCUPÉ")</f>
        <v>LIBRE</v>
      </c>
      <c r="Q42" s="52" t="str">
        <f>IF(ISBLANK(Tableau!$AC$42), "LIBRE", "OCCUPÉ")</f>
        <v>LIBRE</v>
      </c>
      <c r="R42" s="52" t="str">
        <f>IF(ISBLANK(Tableau!$AE$42), "LIBRE", "OCCUPÉ")</f>
        <v>LIBRE</v>
      </c>
      <c r="S42" s="52" t="str">
        <f>IF(ISBLANK(Tableau!$AG$42), "LIBRE", "OCCUPÉ")</f>
        <v>LIBRE</v>
      </c>
      <c r="T42" s="52" t="str">
        <f>IF(ISBLANK(Tableau!$AI$42), "LIBRE", "OCCUPÉ")</f>
        <v>LIBRE</v>
      </c>
      <c r="U42" s="54" t="str">
        <f>IF(ISBLANK(Tableau!$AK$42), "LIBRE", "OCCUPÉ")</f>
        <v>LIBRE</v>
      </c>
      <c r="V42" s="52" t="str">
        <f>IF(ISBLANK(Tableau!$AM$42), "LIBRE", "OCCUPÉ")</f>
        <v>LIBRE</v>
      </c>
      <c r="W42" s="52" t="str">
        <f>IF(ISBLANK(Tableau!$AO$42), "LIBRE", "OCCUPÉ")</f>
        <v>LIBRE</v>
      </c>
      <c r="X42" s="52" t="str">
        <f>IF(ISBLANK(Tableau!$AQ$42), "LIBRE", "OCCUPÉ")</f>
        <v>LIBRE</v>
      </c>
      <c r="Y42" s="52" t="str">
        <f>IF(ISBLANK(Tableau!$AS$42), "LIBRE", "OCCUPÉ")</f>
        <v>LIBRE</v>
      </c>
      <c r="Z42" s="52" t="str">
        <f>IF(ISBLANK(Tableau!$AU$42), "LIBRE", "OCCUPÉ")</f>
        <v>LIBRE</v>
      </c>
      <c r="AA42" s="52" t="str">
        <f>IF(ISBLANK(Tableau!$AW$42), "LIBRE", "OCCUPÉ")</f>
        <v>LIBRE</v>
      </c>
      <c r="AB42" s="76" t="str">
        <f>IF(ISBLANK(Tableau!$AY42), "LIBRE", "OCCUPÉ")</f>
        <v>LIBRE</v>
      </c>
      <c r="AC42" s="88"/>
    </row>
    <row r="43" ht="21.75" customHeight="1">
      <c r="A43" s="72">
        <f>Tableau!A43</f>
        <v>217</v>
      </c>
      <c r="B43" s="73" t="str">
        <f>VLOOKUP($A43,LocalisationRemorque,2,0)</f>
        <v>Viemme</v>
      </c>
      <c r="C43" s="74" t="str">
        <f>VLOOKUP($A43,LocalisationRemorque,3,0)</f>
        <v>Viemme Rond-Point</v>
      </c>
      <c r="D43" s="75" t="str">
        <f>CONCATENATE(VLOOKUP($A43,LocalisationRemorque,6,0)," ► ",VLOOKUP($A43,LocalisationRemorque,5,0))</f>
        <v>Waremme ► Huy</v>
      </c>
      <c r="E43" s="52" t="str">
        <f>IF(ISBLANK(Tableau!$E$43), "LIBRE", "OCCUPÉ")</f>
        <v>LIBRE</v>
      </c>
      <c r="F43" s="52" t="str">
        <f>IF(ISBLANK(Tableau!$G$43), "LIBRE", "OCCUPÉ")</f>
        <v>LIBRE</v>
      </c>
      <c r="G43" s="52" t="str">
        <f>IF(ISBLANK(Tableau!$I$43), "LIBRE", "OCCUPÉ")</f>
        <v>LIBRE</v>
      </c>
      <c r="H43" s="52" t="str">
        <f>IF(ISBLANK(Tableau!$K$43), "LIBRE", "OCCUPÉ")</f>
        <v>LIBRE</v>
      </c>
      <c r="I43" s="54" t="str">
        <f>IF(ISBLANK(Tableau!$M$43), "LIBRE", "OCCUPÉ")</f>
        <v>LIBRE</v>
      </c>
      <c r="J43" s="54" t="str">
        <f>IF(ISBLANK(Tableau!$O$43), "LIBRE", "OCCUPÉ")</f>
        <v>LIBRE</v>
      </c>
      <c r="K43" s="54" t="str">
        <f>IF(ISBLANK(Tableau!$Q$43), "LIBRE", "OCCUPÉ")</f>
        <v>LIBRE</v>
      </c>
      <c r="L43" s="52" t="str">
        <f>IF(ISBLANK(Tableau!$S$43), "LIBRE", "OCCUPÉ")</f>
        <v>LIBRE</v>
      </c>
      <c r="M43" s="54" t="str">
        <f>IF(ISBLANK(Tableau!$U$43), "LIBRE", "OCCUPÉ")</f>
        <v>LIBRE</v>
      </c>
      <c r="N43" s="52" t="str">
        <f>IF(ISBLANK(Tableau!$W$43), "LIBRE", "OCCUPÉ")</f>
        <v>LIBRE</v>
      </c>
      <c r="O43" s="54" t="str">
        <f>IF(ISBLANK(Tableau!$Y$43), "LIBRE", "OCCUPÉ")</f>
        <v>LIBRE</v>
      </c>
      <c r="P43" s="52" t="str">
        <f>IF(ISBLANK(Tableau!$AA$43), "LIBRE", "OCCUPÉ")</f>
        <v>LIBRE</v>
      </c>
      <c r="Q43" s="52" t="str">
        <f>IF(ISBLANK(Tableau!$AC$43), "LIBRE", "OCCUPÉ")</f>
        <v>LIBRE</v>
      </c>
      <c r="R43" s="52" t="str">
        <f>IF(ISBLANK(Tableau!$AE$43), "LIBRE", "OCCUPÉ")</f>
        <v>LIBRE</v>
      </c>
      <c r="S43" s="52" t="str">
        <f>IF(ISBLANK(Tableau!$AG$43), "LIBRE", "OCCUPÉ")</f>
        <v>LIBRE</v>
      </c>
      <c r="T43" s="52" t="str">
        <f>IF(ISBLANK(Tableau!$AI$43), "LIBRE", "OCCUPÉ")</f>
        <v>LIBRE</v>
      </c>
      <c r="U43" s="52" t="str">
        <f>IF(ISBLANK(Tableau!$AK$43), "LIBRE", "OCCUPÉ")</f>
        <v>LIBRE</v>
      </c>
      <c r="V43" s="52" t="str">
        <f>IF(ISBLANK(Tableau!$AM$43), "LIBRE", "OCCUPÉ")</f>
        <v>LIBRE</v>
      </c>
      <c r="W43" s="54" t="str">
        <f>IF(ISBLANK(Tableau!$AO$43), "LIBRE", "OCCUPÉ")</f>
        <v>LIBRE</v>
      </c>
      <c r="X43" s="52" t="str">
        <f>IF(ISBLANK(Tableau!$AQ$43), "LIBRE", "OCCUPÉ")</f>
        <v>LIBRE</v>
      </c>
      <c r="Y43" s="54" t="str">
        <f>IF(ISBLANK(Tableau!$AS$43), "LIBRE", "OCCUPÉ")</f>
        <v>LIBRE</v>
      </c>
      <c r="Z43" s="52" t="str">
        <f>IF(ISBLANK(Tableau!$AU$43), "LIBRE", "OCCUPÉ")</f>
        <v>LIBRE</v>
      </c>
      <c r="AA43" s="52" t="str">
        <f>IF(ISBLANK(Tableau!$AW$43), "LIBRE", "OCCUPÉ")</f>
        <v>LIBRE</v>
      </c>
      <c r="AB43" s="76" t="str">
        <f>IF(ISBLANK(Tableau!$AY43), "LIBRE", "OCCUPÉ")</f>
        <v>LIBRE</v>
      </c>
      <c r="AC43" s="155"/>
    </row>
    <row r="44" ht="21.75" customHeight="1">
      <c r="A44" s="40">
        <f>Tableau!A44</f>
        <v>218</v>
      </c>
      <c r="B44" s="46" t="str">
        <f>VLOOKUP($A44,LocalisationRemorque,2,0)</f>
        <v>Oreye</v>
      </c>
      <c r="C44" s="47" t="str">
        <f>VLOOKUP($A44,LocalisationRemorque,3,0)</f>
        <v>Carrefour Otrange/Vechmaal</v>
      </c>
      <c r="D44" s="49" t="str">
        <f>CONCATENATE(VLOOKUP($A44,LocalisationRemorque,6,0)," ► ",VLOOKUP($A44,LocalisationRemorque,5,0))</f>
        <v>Oreye ► Veechmaal</v>
      </c>
      <c r="E44" s="52" t="str">
        <f>IF(ISBLANK(Tableau!$E$44), "LIBRE", "OCCUPÉ")</f>
        <v>LIBRE</v>
      </c>
      <c r="F44" s="52" t="str">
        <f>IF(ISBLANK(Tableau!$G$44), "LIBRE", "OCCUPÉ")</f>
        <v>LIBRE</v>
      </c>
      <c r="G44" s="54" t="str">
        <f>IF(ISBLANK(Tableau!$I$44), "LIBRE", "OCCUPÉ")</f>
        <v>LIBRE</v>
      </c>
      <c r="H44" s="52" t="str">
        <f>IF(ISBLANK(Tableau!$K$44), "LIBRE", "OCCUPÉ")</f>
        <v>LIBRE</v>
      </c>
      <c r="I44" s="54" t="str">
        <f>IF(ISBLANK(Tableau!$M$44), "LIBRE", "OCCUPÉ")</f>
        <v>LIBRE</v>
      </c>
      <c r="J44" s="52" t="str">
        <f>IF(ISBLANK(Tableau!$O$44), "LIBRE", "OCCUPÉ")</f>
        <v>LIBRE</v>
      </c>
      <c r="K44" s="52" t="str">
        <f>IF(ISBLANK(Tableau!$Q$44), "LIBRE", "OCCUPÉ")</f>
        <v>LIBRE</v>
      </c>
      <c r="L44" s="52" t="str">
        <f>IF(ISBLANK(Tableau!$S$44), "LIBRE", "OCCUPÉ")</f>
        <v>LIBRE</v>
      </c>
      <c r="M44" s="54" t="str">
        <f>IF(ISBLANK(Tableau!$U$44), "LIBRE", "OCCUPÉ")</f>
        <v>LIBRE</v>
      </c>
      <c r="N44" s="52" t="str">
        <f>IF(ISBLANK(Tableau!$W$44), "LIBRE", "OCCUPÉ")</f>
        <v>LIBRE</v>
      </c>
      <c r="O44" s="52" t="str">
        <f>IF(ISBLANK(Tableau!$Y$44), "LIBRE", "OCCUPÉ")</f>
        <v>LIBRE</v>
      </c>
      <c r="P44" s="52" t="str">
        <f>IF(ISBLANK(Tableau!$AA$44), "LIBRE", "OCCUPÉ")</f>
        <v>LIBRE</v>
      </c>
      <c r="Q44" s="54" t="str">
        <f>IF(ISBLANK(Tableau!$AC$44), "LIBRE", "OCCUPÉ")</f>
        <v>LIBRE</v>
      </c>
      <c r="R44" s="52" t="str">
        <f>IF(ISBLANK(Tableau!$AE$44), "LIBRE", "OCCUPÉ")</f>
        <v>LIBRE</v>
      </c>
      <c r="S44" s="52" t="str">
        <f>IF(ISBLANK(Tableau!$AG$44), "LIBRE", "OCCUPÉ")</f>
        <v>LIBRE</v>
      </c>
      <c r="T44" s="52" t="str">
        <f>IF(ISBLANK(Tableau!$AI$44), "LIBRE", "OCCUPÉ")</f>
        <v>LIBRE</v>
      </c>
      <c r="U44" s="52" t="str">
        <f>IF(ISBLANK(Tableau!$AK$44), "LIBRE", "OCCUPÉ")</f>
        <v>LIBRE</v>
      </c>
      <c r="V44" s="52" t="str">
        <f>IF(ISBLANK(Tableau!$AM$44), "LIBRE", "OCCUPÉ")</f>
        <v>LIBRE</v>
      </c>
      <c r="W44" s="52" t="str">
        <f>IF(ISBLANK(Tableau!$AO$44), "LIBRE", "OCCUPÉ")</f>
        <v>LIBRE</v>
      </c>
      <c r="X44" s="52" t="str">
        <f>IF(ISBLANK(Tableau!$AQ$44), "LIBRE", "OCCUPÉ")</f>
        <v>LIBRE</v>
      </c>
      <c r="Y44" s="52" t="str">
        <f>IF(ISBLANK(Tableau!$AS$44), "LIBRE", "OCCUPÉ")</f>
        <v>LIBRE</v>
      </c>
      <c r="Z44" s="52" t="str">
        <f>IF(ISBLANK(Tableau!$AU$44), "LIBRE", "OCCUPÉ")</f>
        <v>LIBRE</v>
      </c>
      <c r="AA44" s="52" t="str">
        <f>IF(ISBLANK(Tableau!$AW$44), "LIBRE", "OCCUPÉ")</f>
        <v>LIBRE</v>
      </c>
      <c r="AB44" s="76" t="str">
        <f>IF(ISBLANK(Tableau!$AY44), "LIBRE", "OCCUPÉ")</f>
        <v>LIBRE</v>
      </c>
      <c r="AC44" s="88"/>
    </row>
    <row r="45" ht="21.75" hidden="1" customHeight="1">
      <c r="A45" s="72" t="str">
        <f>Tableau!A45</f>
        <v/>
      </c>
      <c r="B45" s="73" t="str">
        <f>VLOOKUP($A45,LocalisationRemorque,2,0)</f>
        <v> Remorque non listée</v>
      </c>
      <c r="C45" s="74" t="str">
        <f>VLOOKUP($A45,LocalisationRemorque,3,0)</f>
        <v/>
      </c>
      <c r="D45" s="75" t="str">
        <f>CONCATENATE(VLOOKUP($A45,LocalisationRemorque,6,0)," ► ",VLOOKUP($A45,LocalisationRemorque,5,0))</f>
        <v> ► </v>
      </c>
      <c r="E45" s="52" t="str">
        <f>IF(ISBLANK(Tableau!$E$45), "LIBRE", "OCCUPÉ")</f>
        <v>LIBRE</v>
      </c>
      <c r="F45" s="52" t="str">
        <f>IF(ISBLANK(Tableau!$G$45), "LIBRE", "OCCUPÉ")</f>
        <v>LIBRE</v>
      </c>
      <c r="G45" s="52" t="str">
        <f>IF(ISBLANK(Tableau!$I$45), "LIBRE", "OCCUPÉ")</f>
        <v>LIBRE</v>
      </c>
      <c r="H45" s="52" t="str">
        <f>IF(ISBLANK(Tableau!$K$45), "LIBRE", "OCCUPÉ")</f>
        <v>LIBRE</v>
      </c>
      <c r="I45" s="52" t="str">
        <f>IF(ISBLANK(Tableau!$M$45), "LIBRE", "OCCUPÉ")</f>
        <v>LIBRE</v>
      </c>
      <c r="J45" s="52" t="str">
        <f>IF(ISBLANK(Tableau!$O$45), "LIBRE", "OCCUPÉ")</f>
        <v>LIBRE</v>
      </c>
      <c r="K45" s="54" t="str">
        <f>IF(ISBLANK(Tableau!$Q$45), "LIBRE", "OCCUPÉ")</f>
        <v>LIBRE</v>
      </c>
      <c r="L45" s="52" t="str">
        <f>IF(ISBLANK(Tableau!$S$45), "LIBRE", "OCCUPÉ")</f>
        <v>LIBRE</v>
      </c>
      <c r="M45" s="54" t="str">
        <f>IF(ISBLANK(Tableau!$U$45), "LIBRE", "OCCUPÉ")</f>
        <v>LIBRE</v>
      </c>
      <c r="N45" s="52" t="str">
        <f>IF(ISBLANK(Tableau!$W$45), "LIBRE", "OCCUPÉ")</f>
        <v>LIBRE</v>
      </c>
      <c r="O45" s="52" t="str">
        <f>IF(ISBLANK(Tableau!$Y$45), "LIBRE", "OCCUPÉ")</f>
        <v>LIBRE</v>
      </c>
      <c r="P45" s="52" t="str">
        <f>IF(ISBLANK(Tableau!$AA$45), "LIBRE", "OCCUPÉ")</f>
        <v>LIBRE</v>
      </c>
      <c r="Q45" s="54" t="str">
        <f>IF(ISBLANK(Tableau!$AC$45), "LIBRE", "OCCUPÉ")</f>
        <v>LIBRE</v>
      </c>
      <c r="R45" s="52" t="str">
        <f>IF(ISBLANK(Tableau!$AE$45), "LIBRE", "OCCUPÉ")</f>
        <v>LIBRE</v>
      </c>
      <c r="S45" s="54" t="str">
        <f>IF(ISBLANK(Tableau!$AG$45), "LIBRE", "OCCUPÉ")</f>
        <v>LIBRE</v>
      </c>
      <c r="T45" s="52" t="str">
        <f>IF(ISBLANK(Tableau!$AI$45), "LIBRE", "OCCUPÉ")</f>
        <v>LIBRE</v>
      </c>
      <c r="U45" s="52" t="str">
        <f>IF(ISBLANK(Tableau!$AK$45), "LIBRE", "OCCUPÉ")</f>
        <v>LIBRE</v>
      </c>
      <c r="V45" s="52" t="str">
        <f>IF(ISBLANK(Tableau!$AM$45), "LIBRE", "OCCUPÉ")</f>
        <v>LIBRE</v>
      </c>
      <c r="W45" s="52" t="str">
        <f>IF(ISBLANK(Tableau!$AO$45), "LIBRE", "OCCUPÉ")</f>
        <v>LIBRE</v>
      </c>
      <c r="X45" s="52" t="str">
        <f>IF(ISBLANK(Tableau!$AQ$45), "LIBRE", "OCCUPÉ")</f>
        <v>LIBRE</v>
      </c>
      <c r="Y45" s="52" t="str">
        <f>IF(ISBLANK(Tableau!$AS$45), "LIBRE", "OCCUPÉ")</f>
        <v>LIBRE</v>
      </c>
      <c r="Z45" s="52" t="str">
        <f>IF(ISBLANK(Tableau!$AU$45), "LIBRE", "OCCUPÉ")</f>
        <v>LIBRE</v>
      </c>
      <c r="AA45" s="52" t="str">
        <f>IF(ISBLANK(Tableau!$AW$45), "LIBRE", "OCCUPÉ")</f>
        <v>LIBRE</v>
      </c>
      <c r="AB45" s="76" t="str">
        <f>IF(ISBLANK(Tableau!$AY45), "LIBRE", "OCCUPÉ")</f>
        <v>LIBRE</v>
      </c>
      <c r="AC45" s="162"/>
    </row>
    <row r="46" ht="21.75" customHeight="1">
      <c r="A46" s="40">
        <f>Tableau!A46</f>
        <v>220</v>
      </c>
      <c r="B46" s="46" t="str">
        <f>VLOOKUP($A46,LocalisationRemorque,2,0)</f>
        <v>Theux</v>
      </c>
      <c r="C46" s="47" t="str">
        <f>VLOOKUP($A46,LocalisationRemorque,3,0)</f>
        <v>Hautregard Haut</v>
      </c>
      <c r="D46" s="49" t="str">
        <f>CONCATENATE(VLOOKUP($A46,LocalisationRemorque,6,0)," ► ",VLOOKUP($A46,LocalisationRemorque,5,0))</f>
        <v>Aywaille ► Theux</v>
      </c>
      <c r="E46" s="52" t="str">
        <f>IF(ISBLANK(Tableau!$E$46), "LIBRE", "OCCUPÉ")</f>
        <v>LIBRE</v>
      </c>
      <c r="F46" s="52" t="str">
        <f>IF(ISBLANK(Tableau!$G$46), "LIBRE", "OCCUPÉ")</f>
        <v>LIBRE</v>
      </c>
      <c r="G46" s="52" t="str">
        <f>IF(ISBLANK(Tableau!$I$46), "LIBRE", "OCCUPÉ")</f>
        <v>LIBRE</v>
      </c>
      <c r="H46" s="52" t="str">
        <f>IF(ISBLANK(Tableau!$K$46), "LIBRE", "OCCUPÉ")</f>
        <v>LIBRE</v>
      </c>
      <c r="I46" s="52" t="str">
        <f>IF(ISBLANK(Tableau!$M$46), "LIBRE", "OCCUPÉ")</f>
        <v>LIBRE</v>
      </c>
      <c r="J46" s="52" t="str">
        <f>IF(ISBLANK(Tableau!$O$46), "LIBRE", "OCCUPÉ")</f>
        <v>LIBRE</v>
      </c>
      <c r="K46" s="52" t="str">
        <f>IF(ISBLANK(Tableau!$Q$46), "LIBRE", "OCCUPÉ")</f>
        <v>LIBRE</v>
      </c>
      <c r="L46" s="52" t="str">
        <f>IF(ISBLANK(Tableau!$S$46), "LIBRE", "OCCUPÉ")</f>
        <v>LIBRE</v>
      </c>
      <c r="M46" s="54" t="str">
        <f>IF(ISBLANK(Tableau!$U$46), "LIBRE", "OCCUPÉ")</f>
        <v>LIBRE</v>
      </c>
      <c r="N46" s="52" t="str">
        <f>IF(ISBLANK(Tableau!$W$46), "LIBRE", "OCCUPÉ")</f>
        <v>LIBRE</v>
      </c>
      <c r="O46" s="52" t="str">
        <f>IF(ISBLANK(Tableau!$Y$46), "LIBRE", "OCCUPÉ")</f>
        <v>LIBRE</v>
      </c>
      <c r="P46" s="52" t="str">
        <f>IF(ISBLANK(Tableau!$AA$46), "LIBRE", "OCCUPÉ")</f>
        <v>LIBRE</v>
      </c>
      <c r="Q46" s="52" t="str">
        <f>IF(ISBLANK(Tableau!$AC$46), "LIBRE", "OCCUPÉ")</f>
        <v>LIBRE</v>
      </c>
      <c r="R46" s="52" t="str">
        <f>IF(ISBLANK(Tableau!$AE$46), "LIBRE", "OCCUPÉ")</f>
        <v>LIBRE</v>
      </c>
      <c r="S46" s="52" t="str">
        <f>IF(ISBLANK(Tableau!$AG$46), "LIBRE", "OCCUPÉ")</f>
        <v>LIBRE</v>
      </c>
      <c r="T46" s="52" t="str">
        <f>IF(ISBLANK(Tableau!$AI$46), "LIBRE", "OCCUPÉ")</f>
        <v>LIBRE</v>
      </c>
      <c r="U46" s="54" t="str">
        <f>IF(ISBLANK(Tableau!$AK$46), "LIBRE", "OCCUPÉ")</f>
        <v>LIBRE</v>
      </c>
      <c r="V46" s="52" t="str">
        <f>IF(ISBLANK(Tableau!$AM$46), "LIBRE", "OCCUPÉ")</f>
        <v>LIBRE</v>
      </c>
      <c r="W46" s="52" t="str">
        <f>IF(ISBLANK(Tableau!$AO$46), "LIBRE", "OCCUPÉ")</f>
        <v>LIBRE</v>
      </c>
      <c r="X46" s="52" t="str">
        <f>IF(ISBLANK(Tableau!$AQ$46), "LIBRE", "OCCUPÉ")</f>
        <v>LIBRE</v>
      </c>
      <c r="Y46" s="52" t="str">
        <f>IF(ISBLANK(Tableau!$AS$46), "LIBRE", "OCCUPÉ")</f>
        <v>LIBRE</v>
      </c>
      <c r="Z46" s="52" t="str">
        <f>IF(ISBLANK(Tableau!$AU$46), "LIBRE", "OCCUPÉ")</f>
        <v>LIBRE</v>
      </c>
      <c r="AA46" s="52" t="str">
        <f>IF(ISBLANK(Tableau!$AW$46), "LIBRE", "OCCUPÉ")</f>
        <v>LIBRE</v>
      </c>
      <c r="AB46" s="76" t="str">
        <f>IF(ISBLANK(Tableau!$AY46), "LIBRE", "OCCUPÉ")</f>
        <v>LIBRE</v>
      </c>
      <c r="AC46" s="70" t="s">
        <v>17</v>
      </c>
    </row>
    <row r="47" ht="21.75" customHeight="1">
      <c r="A47" s="72">
        <f>Tableau!A47</f>
        <v>221</v>
      </c>
      <c r="B47" s="73" t="str">
        <f>VLOOKUP($A47,LocalisationRemorque,2,0)</f>
        <v>Theux</v>
      </c>
      <c r="C47" s="74" t="str">
        <f>VLOOKUP($A47,LocalisationRemorque,3,0)</f>
        <v>Hautregard Bas</v>
      </c>
      <c r="D47" s="75" t="str">
        <f>CONCATENATE(VLOOKUP($A47,LocalisationRemorque,6,0)," ► ",VLOOKUP($A47,LocalisationRemorque,5,0))</f>
        <v>Aywaille ► Spa</v>
      </c>
      <c r="E47" s="52" t="str">
        <f>IF(ISBLANK(Tableau!$E$47), "LIBRE", "OCCUPÉ")</f>
        <v>LIBRE</v>
      </c>
      <c r="F47" s="52" t="str">
        <f>IF(ISBLANK(Tableau!$G$47), "LIBRE", "OCCUPÉ")</f>
        <v>LIBRE</v>
      </c>
      <c r="G47" s="52" t="str">
        <f>IF(ISBLANK(Tableau!$I$47), "LIBRE", "OCCUPÉ")</f>
        <v>LIBRE</v>
      </c>
      <c r="H47" s="52" t="str">
        <f>IF(ISBLANK(Tableau!$K$47), "LIBRE", "OCCUPÉ")</f>
        <v>LIBRE</v>
      </c>
      <c r="I47" s="54" t="str">
        <f>IF(ISBLANK(Tableau!$M$47), "LIBRE", "OCCUPÉ")</f>
        <v>LIBRE</v>
      </c>
      <c r="J47" s="52" t="str">
        <f>IF(ISBLANK(Tableau!$O$47), "LIBRE", "OCCUPÉ")</f>
        <v>LIBRE</v>
      </c>
      <c r="K47" s="52" t="str">
        <f>IF(ISBLANK(Tableau!$Q$47), "LIBRE", "OCCUPÉ")</f>
        <v>LIBRE</v>
      </c>
      <c r="L47" s="52" t="str">
        <f>IF(ISBLANK(Tableau!$S$47), "LIBRE", "OCCUPÉ")</f>
        <v>LIBRE</v>
      </c>
      <c r="M47" s="54" t="str">
        <f>IF(ISBLANK(Tableau!$U$47), "LIBRE", "OCCUPÉ")</f>
        <v>LIBRE</v>
      </c>
      <c r="N47" s="52" t="str">
        <f>IF(ISBLANK(Tableau!$W$47), "LIBRE", "OCCUPÉ")</f>
        <v>LIBRE</v>
      </c>
      <c r="O47" s="52" t="str">
        <f>IF(ISBLANK(Tableau!$Y$47), "LIBRE", "OCCUPÉ")</f>
        <v>LIBRE</v>
      </c>
      <c r="P47" s="52" t="str">
        <f>IF(ISBLANK(Tableau!$AA$47), "LIBRE", "OCCUPÉ")</f>
        <v>LIBRE</v>
      </c>
      <c r="Q47" s="52" t="str">
        <f>IF(ISBLANK(Tableau!$AC$47), "LIBRE", "OCCUPÉ")</f>
        <v>LIBRE</v>
      </c>
      <c r="R47" s="52" t="str">
        <f>IF(ISBLANK(Tableau!$AE$47), "LIBRE", "OCCUPÉ")</f>
        <v>LIBRE</v>
      </c>
      <c r="S47" s="52" t="str">
        <f>IF(ISBLANK(Tableau!$AG$47), "LIBRE", "OCCUPÉ")</f>
        <v>LIBRE</v>
      </c>
      <c r="T47" s="52" t="str">
        <f>IF(ISBLANK(Tableau!$AI$47), "LIBRE", "OCCUPÉ")</f>
        <v>LIBRE</v>
      </c>
      <c r="U47" s="54" t="str">
        <f>IF(ISBLANK(Tableau!$AK$47), "LIBRE", "OCCUPÉ")</f>
        <v>LIBRE</v>
      </c>
      <c r="V47" s="52" t="str">
        <f>IF(ISBLANK(Tableau!$AM$47), "LIBRE", "OCCUPÉ")</f>
        <v>LIBRE</v>
      </c>
      <c r="W47" s="52" t="str">
        <f>IF(ISBLANK(Tableau!$AO$47), "LIBRE", "OCCUPÉ")</f>
        <v>LIBRE</v>
      </c>
      <c r="X47" s="52" t="str">
        <f>IF(ISBLANK(Tableau!$AQ$47), "LIBRE", "OCCUPÉ")</f>
        <v>LIBRE</v>
      </c>
      <c r="Y47" s="52" t="str">
        <f>IF(ISBLANK(Tableau!$AS$47), "LIBRE", "OCCUPÉ")</f>
        <v>LIBRE</v>
      </c>
      <c r="Z47" s="52" t="str">
        <f>IF(ISBLANK(Tableau!$AU$47), "LIBRE", "OCCUPÉ")</f>
        <v>LIBRE</v>
      </c>
      <c r="AA47" s="52" t="str">
        <f>IF(ISBLANK(Tableau!$AW$47), "LIBRE", "OCCUPÉ")</f>
        <v>LIBRE</v>
      </c>
      <c r="AB47" s="76" t="str">
        <f>IF(ISBLANK(Tableau!$AY47), "LIBRE", "OCCUPÉ")</f>
        <v>LIBRE</v>
      </c>
      <c r="AC47" s="77" t="s">
        <v>17</v>
      </c>
    </row>
    <row r="48" ht="21.75" customHeight="1">
      <c r="A48" s="40">
        <f>Tableau!A48</f>
        <v>226</v>
      </c>
      <c r="B48" s="46" t="str">
        <f>VLOOKUP($A48,LocalisationRemorque,2,0)</f>
        <v>Theux</v>
      </c>
      <c r="C48" s="47" t="str">
        <f>VLOOKUP($A48,LocalisationRemorque,3,0)</f>
        <v>La Reid</v>
      </c>
      <c r="D48" s="49" t="str">
        <f>CONCATENATE(VLOOKUP($A48,LocalisationRemorque,6,0)," ► ",VLOOKUP($A48,LocalisationRemorque,5,0))</f>
        <v>Aywaille ► Spa</v>
      </c>
      <c r="E48" s="54" t="str">
        <f>IF(ISBLANK(Tableau!$E$48), "LIBRE", "OCCUPÉ")</f>
        <v>LIBRE</v>
      </c>
      <c r="F48" s="52" t="str">
        <f>IF(ISBLANK(Tableau!$G$48), "LIBRE", "OCCUPÉ")</f>
        <v>LIBRE</v>
      </c>
      <c r="G48" s="54" t="str">
        <f>IF(ISBLANK(Tableau!$I$48), "LIBRE", "OCCUPÉ")</f>
        <v>LIBRE</v>
      </c>
      <c r="H48" s="52" t="str">
        <f>IF(ISBLANK(Tableau!$K$48), "LIBRE", "OCCUPÉ")</f>
        <v>LIBRE</v>
      </c>
      <c r="I48" s="52" t="str">
        <f>IF(ISBLANK(Tableau!$M$48), "LIBRE", "OCCUPÉ")</f>
        <v>LIBRE</v>
      </c>
      <c r="J48" s="52" t="str">
        <f>IF(ISBLANK(Tableau!$O$48), "LIBRE", "OCCUPÉ")</f>
        <v>LIBRE</v>
      </c>
      <c r="K48" s="54" t="str">
        <f>IF(ISBLANK(Tableau!$Q$48), "LIBRE", "OCCUPÉ")</f>
        <v>LIBRE</v>
      </c>
      <c r="L48" s="52" t="str">
        <f>IF(ISBLANK(Tableau!$S$48), "LIBRE", "OCCUPÉ")</f>
        <v>LIBRE</v>
      </c>
      <c r="M48" s="54" t="str">
        <f>IF(ISBLANK(Tableau!$U$48), "LIBRE", "OCCUPÉ")</f>
        <v>LIBRE</v>
      </c>
      <c r="N48" s="54" t="str">
        <f>IF(ISBLANK(Tableau!$W$48), "LIBRE", "OCCUPÉ")</f>
        <v>LIBRE</v>
      </c>
      <c r="O48" s="52" t="str">
        <f>IF(ISBLANK(Tableau!$Y$48), "LIBRE", "OCCUPÉ")</f>
        <v>LIBRE</v>
      </c>
      <c r="P48" s="52" t="str">
        <f>IF(ISBLANK(Tableau!$AA$48), "LIBRE", "OCCUPÉ")</f>
        <v>LIBRE</v>
      </c>
      <c r="Q48" s="54" t="str">
        <f>IF(ISBLANK(Tableau!$AC$48), "LIBRE", "OCCUPÉ")</f>
        <v>LIBRE</v>
      </c>
      <c r="R48" s="52" t="str">
        <f>IF(ISBLANK(Tableau!$AE$48), "LIBRE", "OCCUPÉ")</f>
        <v>LIBRE</v>
      </c>
      <c r="S48" s="52" t="str">
        <f>IF(ISBLANK(Tableau!$AG$48), "LIBRE", "OCCUPÉ")</f>
        <v>LIBRE</v>
      </c>
      <c r="T48" s="52" t="str">
        <f>IF(ISBLANK(Tableau!$AI$48), "LIBRE", "OCCUPÉ")</f>
        <v>LIBRE</v>
      </c>
      <c r="U48" s="52" t="str">
        <f>IF(ISBLANK(Tableau!$AK$48), "LIBRE", "OCCUPÉ")</f>
        <v>LIBRE</v>
      </c>
      <c r="V48" s="52" t="str">
        <f>IF(ISBLANK(Tableau!$AM$48), "LIBRE", "OCCUPÉ")</f>
        <v>LIBRE</v>
      </c>
      <c r="W48" s="52" t="str">
        <f>IF(ISBLANK(Tableau!$AO$48), "LIBRE", "OCCUPÉ")</f>
        <v>LIBRE</v>
      </c>
      <c r="X48" s="52" t="str">
        <f>IF(ISBLANK(Tableau!$AQ$48), "LIBRE", "OCCUPÉ")</f>
        <v>LIBRE</v>
      </c>
      <c r="Y48" s="52" t="str">
        <f>IF(ISBLANK(Tableau!$AS$48), "LIBRE", "OCCUPÉ")</f>
        <v>LIBRE</v>
      </c>
      <c r="Z48" s="52" t="str">
        <f>IF(ISBLANK(Tableau!$AU$48), "LIBRE", "OCCUPÉ")</f>
        <v>LIBRE</v>
      </c>
      <c r="AA48" s="52" t="str">
        <f>IF(ISBLANK(Tableau!$AW$48), "LIBRE", "OCCUPÉ")</f>
        <v>LIBRE</v>
      </c>
      <c r="AB48" s="76" t="str">
        <f>IF(ISBLANK(Tableau!$AY48), "LIBRE", "OCCUPÉ")</f>
        <v>LIBRE</v>
      </c>
      <c r="AC48" s="70" t="s">
        <v>17</v>
      </c>
    </row>
    <row r="49" ht="21.75" customHeight="1">
      <c r="A49" s="72">
        <f>Tableau!A49</f>
        <v>222</v>
      </c>
      <c r="B49" s="73" t="str">
        <f>VLOOKUP($A49,LocalisationRemorque,2,0)</f>
        <v>Sprimont</v>
      </c>
      <c r="C49" s="74" t="str">
        <f>VLOOKUP($A49,LocalisationRemorque,3,0)</f>
        <v>Sprimont - Theux</v>
      </c>
      <c r="D49" s="75" t="str">
        <f>CONCATENATE(VLOOKUP($A49,LocalisationRemorque,6,0)," ► ",VLOOKUP($A49,LocalisationRemorque,5,0))</f>
        <v>Sprimont ► Theux</v>
      </c>
      <c r="E49" s="52" t="str">
        <f>IF(ISBLANK(Tableau!$E$49), "LIBRE", "OCCUPÉ")</f>
        <v>LIBRE</v>
      </c>
      <c r="F49" s="52" t="str">
        <f>IF(ISBLANK(Tableau!$G$49), "LIBRE", "OCCUPÉ")</f>
        <v>LIBRE</v>
      </c>
      <c r="G49" s="52" t="str">
        <f>IF(ISBLANK(Tableau!$I$49), "LIBRE", "OCCUPÉ")</f>
        <v>LIBRE</v>
      </c>
      <c r="H49" s="52" t="str">
        <f>IF(ISBLANK(Tableau!$K$49), "LIBRE", "OCCUPÉ")</f>
        <v>LIBRE</v>
      </c>
      <c r="I49" s="54" t="str">
        <f>IF(ISBLANK(Tableau!$M$49), "LIBRE", "OCCUPÉ")</f>
        <v>LIBRE</v>
      </c>
      <c r="J49" s="52" t="str">
        <f>IF(ISBLANK(Tableau!$O$49), "LIBRE", "OCCUPÉ")</f>
        <v>LIBRE</v>
      </c>
      <c r="K49" s="54" t="str">
        <f>IF(ISBLANK(Tableau!$Q$49), "LIBRE", "OCCUPÉ")</f>
        <v>LIBRE</v>
      </c>
      <c r="L49" s="54" t="str">
        <f>IF(ISBLANK(Tableau!$S$49), "LIBRE", "OCCUPÉ")</f>
        <v>LIBRE</v>
      </c>
      <c r="M49" s="54" t="str">
        <f>IF(ISBLANK(Tableau!$U$49), "LIBRE", "OCCUPÉ")</f>
        <v>LIBRE</v>
      </c>
      <c r="N49" s="52" t="str">
        <f>IF(ISBLANK(Tableau!$W$49), "LIBRE", "OCCUPÉ")</f>
        <v>LIBRE</v>
      </c>
      <c r="O49" s="54" t="str">
        <f>IF(ISBLANK(Tableau!$Y$49), "LIBRE", "OCCUPÉ")</f>
        <v>LIBRE</v>
      </c>
      <c r="P49" s="52" t="str">
        <f>IF(ISBLANK(Tableau!$AA$49), "LIBRE", "OCCUPÉ")</f>
        <v>LIBRE</v>
      </c>
      <c r="Q49" s="54" t="str">
        <f>IF(ISBLANK(Tableau!$AC$49), "LIBRE", "OCCUPÉ")</f>
        <v>LIBRE</v>
      </c>
      <c r="R49" s="52" t="str">
        <f>IF(ISBLANK(Tableau!$AE$49), "LIBRE", "OCCUPÉ")</f>
        <v>LIBRE</v>
      </c>
      <c r="S49" s="54" t="str">
        <f>IF(ISBLANK(Tableau!$AG$49), "LIBRE", "OCCUPÉ")</f>
        <v>LIBRE</v>
      </c>
      <c r="T49" s="52" t="str">
        <f>IF(ISBLANK(Tableau!$AI$49), "LIBRE", "OCCUPÉ")</f>
        <v>LIBRE</v>
      </c>
      <c r="U49" s="54" t="str">
        <f>IF(ISBLANK(Tableau!$AK$49), "LIBRE", "OCCUPÉ")</f>
        <v>LIBRE</v>
      </c>
      <c r="V49" s="52" t="str">
        <f>IF(ISBLANK(Tableau!$AM$49), "LIBRE", "OCCUPÉ")</f>
        <v>LIBRE</v>
      </c>
      <c r="W49" s="52" t="str">
        <f>IF(ISBLANK(Tableau!$AO$49), "LIBRE", "OCCUPÉ")</f>
        <v>LIBRE</v>
      </c>
      <c r="X49" s="52" t="str">
        <f>IF(ISBLANK(Tableau!$AQ$49), "LIBRE", "OCCUPÉ")</f>
        <v>LIBRE</v>
      </c>
      <c r="Y49" s="54" t="str">
        <f>IF(ISBLANK(Tableau!$AS$49), "LIBRE", "OCCUPÉ")</f>
        <v>LIBRE</v>
      </c>
      <c r="Z49" s="52" t="str">
        <f>IF(ISBLANK(Tableau!$AU$49), "LIBRE", "OCCUPÉ")</f>
        <v>LIBRE</v>
      </c>
      <c r="AA49" s="52" t="str">
        <f>IF(ISBLANK(Tableau!$AW$49), "LIBRE", "OCCUPÉ")</f>
        <v>LIBRE</v>
      </c>
      <c r="AB49" s="76" t="str">
        <f>IF(ISBLANK(Tableau!$AY49), "LIBRE", "OCCUPÉ")</f>
        <v>LIBRE</v>
      </c>
      <c r="AC49" s="77" t="s">
        <v>17</v>
      </c>
    </row>
    <row r="50" ht="21.75" customHeight="1">
      <c r="A50" s="40">
        <f>Tableau!A50</f>
        <v>224</v>
      </c>
      <c r="B50" s="46" t="str">
        <f>VLOOKUP($A50,LocalisationRemorque,2,0)</f>
        <v>Crisnee</v>
      </c>
      <c r="C50" s="47" t="str">
        <f>VLOOKUP($A50,LocalisationRemorque,3,0)</f>
        <v>Station Ledouble</v>
      </c>
      <c r="D50" s="49" t="str">
        <f>CONCATENATE(VLOOKUP($A50,LocalisationRemorque,6,0)," ► ",VLOOKUP($A50,LocalisationRemorque,5,0))</f>
        <v>Saint-Trond ► Liege</v>
      </c>
      <c r="E50" s="52" t="str">
        <f>IF(ISBLANK(Tableau!$E$50), "LIBRE", "OCCUPÉ")</f>
        <v>LIBRE</v>
      </c>
      <c r="F50" s="52" t="str">
        <f>IF(ISBLANK(Tableau!$G$50), "LIBRE", "OCCUPÉ")</f>
        <v>LIBRE</v>
      </c>
      <c r="G50" s="52" t="str">
        <f>IF(ISBLANK(Tableau!$I$50), "LIBRE", "OCCUPÉ")</f>
        <v>LIBRE</v>
      </c>
      <c r="H50" s="52" t="str">
        <f>IF(ISBLANK(Tableau!$K$50), "LIBRE", "OCCUPÉ")</f>
        <v>LIBRE</v>
      </c>
      <c r="I50" s="54" t="str">
        <f>IF(ISBLANK(Tableau!$M$50), "LIBRE", "OCCUPÉ")</f>
        <v>LIBRE</v>
      </c>
      <c r="J50" s="52" t="str">
        <f>IF(ISBLANK(Tableau!$O$50), "LIBRE", "OCCUPÉ")</f>
        <v>LIBRE</v>
      </c>
      <c r="K50" s="52" t="str">
        <f>IF(ISBLANK(Tableau!$Q$50), "LIBRE", "OCCUPÉ")</f>
        <v>LIBRE</v>
      </c>
      <c r="L50" s="52" t="str">
        <f>IF(ISBLANK(Tableau!$S$50), "LIBRE", "OCCUPÉ")</f>
        <v>LIBRE</v>
      </c>
      <c r="M50" s="54" t="str">
        <f>IF(ISBLANK(Tableau!$U$50), "LIBRE", "OCCUPÉ")</f>
        <v>LIBRE</v>
      </c>
      <c r="N50" s="52" t="str">
        <f>IF(ISBLANK(Tableau!$W$50), "LIBRE", "OCCUPÉ")</f>
        <v>LIBRE</v>
      </c>
      <c r="O50" s="52" t="str">
        <f>IF(ISBLANK(Tableau!$Y$50), "LIBRE", "OCCUPÉ")</f>
        <v>LIBRE</v>
      </c>
      <c r="P50" s="52" t="str">
        <f>IF(ISBLANK(Tableau!$AA$50), "LIBRE", "OCCUPÉ")</f>
        <v>LIBRE</v>
      </c>
      <c r="Q50" s="52" t="str">
        <f>IF(ISBLANK(Tableau!$AC$50), "LIBRE", "OCCUPÉ")</f>
        <v>LIBRE</v>
      </c>
      <c r="R50" s="52" t="str">
        <f>IF(ISBLANK(Tableau!$AE$50), "LIBRE", "OCCUPÉ")</f>
        <v>LIBRE</v>
      </c>
      <c r="S50" s="54" t="str">
        <f>IF(ISBLANK(Tableau!$AG$50), "LIBRE", "OCCUPÉ")</f>
        <v>LIBRE</v>
      </c>
      <c r="T50" s="52" t="str">
        <f>IF(ISBLANK(Tableau!$AI$50), "LIBRE", "OCCUPÉ")</f>
        <v>LIBRE</v>
      </c>
      <c r="U50" s="52" t="str">
        <f>IF(ISBLANK(Tableau!$AK$50), "LIBRE", "OCCUPÉ")</f>
        <v>LIBRE</v>
      </c>
      <c r="V50" s="52" t="str">
        <f>IF(ISBLANK(Tableau!$AM$50), "LIBRE", "OCCUPÉ")</f>
        <v>LIBRE</v>
      </c>
      <c r="W50" s="52" t="str">
        <f>IF(ISBLANK(Tableau!$AO$50), "LIBRE", "OCCUPÉ")</f>
        <v>LIBRE</v>
      </c>
      <c r="X50" s="52" t="str">
        <f>IF(ISBLANK(Tableau!$AQ$50), "LIBRE", "OCCUPÉ")</f>
        <v>LIBRE</v>
      </c>
      <c r="Y50" s="52" t="str">
        <f>IF(ISBLANK(Tableau!$AS$50), "LIBRE", "OCCUPÉ")</f>
        <v>LIBRE</v>
      </c>
      <c r="Z50" s="52" t="str">
        <f>IF(ISBLANK(Tableau!$AU$50), "LIBRE", "OCCUPÉ")</f>
        <v>LIBRE</v>
      </c>
      <c r="AA50" s="52" t="str">
        <f>IF(ISBLANK(Tableau!$AW$50), "LIBRE", "OCCUPÉ")</f>
        <v>LIBRE</v>
      </c>
      <c r="AB50" s="76" t="str">
        <f>IF(ISBLANK(Tableau!$AY50), "LIBRE", "OCCUPÉ")</f>
        <v>LIBRE</v>
      </c>
      <c r="AC50" s="70" t="s">
        <v>17</v>
      </c>
    </row>
    <row r="51" ht="21.75" customHeight="1">
      <c r="A51" s="72">
        <f>Tableau!A52</f>
        <v>225</v>
      </c>
      <c r="B51" s="73" t="str">
        <f>VLOOKUP($A51,LocalisationRemorque,2,0)</f>
        <v>Clavier</v>
      </c>
      <c r="C51" s="74" t="str">
        <f>VLOOKUP($A51,LocalisationRemorque,3,0)</f>
        <v>Bois-et-Borsu</v>
      </c>
      <c r="D51" s="75" t="str">
        <f>CONCATENATE(VLOOKUP($A51,LocalisationRemorque,6,0)," ► ",VLOOKUP($A51,LocalisationRemorque,5,0))</f>
        <v>Liège ► Marche-en-Famenne</v>
      </c>
      <c r="E51" s="52" t="str">
        <f>IF(ISBLANK(Tableau!$E$52), "LIBRE", "OCCUPÉ")</f>
        <v>LIBRE</v>
      </c>
      <c r="F51" s="52" t="str">
        <f>IF(ISBLANK(Tableau!$G$52), "LIBRE", "OCCUPÉ")</f>
        <v>LIBRE</v>
      </c>
      <c r="G51" s="52" t="str">
        <f>IF(ISBLANK(Tableau!$I$52), "LIBRE", "OCCUPÉ")</f>
        <v>LIBRE</v>
      </c>
      <c r="H51" s="52" t="str">
        <f>IF(ISBLANK(Tableau!$K$52), "LIBRE", "OCCUPÉ")</f>
        <v>LIBRE</v>
      </c>
      <c r="I51" s="52" t="str">
        <f>IF(ISBLANK(Tableau!$M$52), "LIBRE", "OCCUPÉ")</f>
        <v>LIBRE</v>
      </c>
      <c r="J51" s="52" t="str">
        <f>IF(ISBLANK(Tableau!$O$52), "LIBRE", "OCCUPÉ")</f>
        <v>LIBRE</v>
      </c>
      <c r="K51" s="54" t="str">
        <f>IF(ISBLANK(Tableau!$Q$52), "LIBRE", "OCCUPÉ")</f>
        <v>OCCUPÉ</v>
      </c>
      <c r="L51" s="52" t="str">
        <f>IF(ISBLANK(Tableau!$S$52), "LIBRE", "OCCUPÉ")</f>
        <v>LIBRE</v>
      </c>
      <c r="M51" s="54" t="str">
        <f>IF(ISBLANK(Tableau!$U$52), "LIBRE", "OCCUPÉ")</f>
        <v>LIBRE</v>
      </c>
      <c r="N51" s="54" t="str">
        <f>IF(ISBLANK(Tableau!$W$52), "LIBRE", "OCCUPÉ")</f>
        <v>LIBRE</v>
      </c>
      <c r="O51" s="54" t="str">
        <f>IF(ISBLANK(Tableau!$Y$52), "LIBRE", "OCCUPÉ")</f>
        <v>OCCUPÉ</v>
      </c>
      <c r="P51" s="54" t="str">
        <f>IF(ISBLANK(Tableau!$AA$52), "LIBRE", "OCCUPÉ")</f>
        <v>LIBRE</v>
      </c>
      <c r="Q51" s="54" t="str">
        <f>IF(ISBLANK(Tableau!$AC$52), "LIBRE", "OCCUPÉ")</f>
        <v>OCCUPÉ</v>
      </c>
      <c r="R51" s="52" t="str">
        <f>IF(ISBLANK(Tableau!$AE$52), "LIBRE", "OCCUPÉ")</f>
        <v>LIBRE</v>
      </c>
      <c r="S51" s="54" t="str">
        <f>IF(ISBLANK(Tableau!$AG$52), "LIBRE", "OCCUPÉ")</f>
        <v>LIBRE</v>
      </c>
      <c r="T51" s="52" t="str">
        <f>IF(ISBLANK(Tableau!$AI$52), "LIBRE", "OCCUPÉ")</f>
        <v>LIBRE</v>
      </c>
      <c r="U51" s="54" t="str">
        <f>IF(ISBLANK(Tableau!$AK$52), "LIBRE", "OCCUPÉ")</f>
        <v>OCCUPÉ</v>
      </c>
      <c r="V51" s="54" t="str">
        <f>IF(ISBLANK(Tableau!$AM$52), "LIBRE", "OCCUPÉ")</f>
        <v>LIBRE</v>
      </c>
      <c r="W51" s="54" t="str">
        <f>IF(ISBLANK(Tableau!$AO$52), "LIBRE", "OCCUPÉ")</f>
        <v>LIBRE</v>
      </c>
      <c r="X51" s="52" t="str">
        <f>IF(ISBLANK(Tableau!$AQ$52), "LIBRE", "OCCUPÉ")</f>
        <v>LIBRE</v>
      </c>
      <c r="Y51" s="54" t="str">
        <f>IF(ISBLANK(Tableau!$AS$52), "LIBRE", "OCCUPÉ")</f>
        <v>OCCUPÉ</v>
      </c>
      <c r="Z51" s="52" t="str">
        <f>IF(ISBLANK(Tableau!$AU$52), "LIBRE", "OCCUPÉ")</f>
        <v>LIBRE</v>
      </c>
      <c r="AA51" s="54" t="str">
        <f>IF(ISBLANK(Tableau!$AW$52), "LIBRE", "OCCUPÉ")</f>
        <v>OCCUPÉ</v>
      </c>
      <c r="AB51" s="76" t="str">
        <f>IF(ISBLANK(Tableau!$AY52), "LIBRE", "OCCUPÉ")</f>
        <v>LIBRE</v>
      </c>
      <c r="AC51" s="77" t="s">
        <v>17</v>
      </c>
    </row>
    <row r="52" ht="21.75" customHeight="1">
      <c r="A52" s="114">
        <f>Tableau!A53</f>
        <v>230</v>
      </c>
      <c r="B52" s="115" t="str">
        <f>VLOOKUP($A52,LocalisationRemorque,2,0)</f>
        <v>Stavelot</v>
      </c>
      <c r="C52" s="116" t="str">
        <f>VLOOKUP($A52,LocalisationRemorque,3,0)</f>
        <v>Stavelot</v>
      </c>
      <c r="D52" s="117" t="str">
        <f>CONCATENATE(VLOOKUP($A52,LocalisationRemorque,6,0)," ► ",VLOOKUP($A52,LocalisationRemorque,5,0))</f>
        <v>Malmedy ► Trois-Pont</v>
      </c>
      <c r="E52" s="52" t="str">
        <f>IF(ISBLANK(Tableau!$E$53), "LIBRE", "OCCUPÉ")</f>
        <v>LIBRE</v>
      </c>
      <c r="F52" s="52" t="str">
        <f>IF(ISBLANK(Tableau!$G$53), "LIBRE", "OCCUPÉ")</f>
        <v>LIBRE</v>
      </c>
      <c r="G52" s="52" t="str">
        <f>IF(ISBLANK(Tableau!$I$53), "LIBRE", "OCCUPÉ")</f>
        <v>LIBRE</v>
      </c>
      <c r="H52" s="52" t="str">
        <f>IF(ISBLANK(Tableau!$K$53), "LIBRE", "OCCUPÉ")</f>
        <v>LIBRE</v>
      </c>
      <c r="I52" s="52" t="str">
        <f>IF(ISBLANK(Tableau!$M$53), "LIBRE", "OCCUPÉ")</f>
        <v>LIBRE</v>
      </c>
      <c r="J52" s="52" t="str">
        <f>IF(ISBLANK(Tableau!$O$53), "LIBRE", "OCCUPÉ")</f>
        <v>LIBRE</v>
      </c>
      <c r="K52" s="54" t="str">
        <f>IF(ISBLANK(Tableau!$Q$53), "LIBRE", "OCCUPÉ")</f>
        <v>LIBRE</v>
      </c>
      <c r="L52" s="52" t="str">
        <f>IF(ISBLANK(Tableau!$S$53), "LIBRE", "OCCUPÉ")</f>
        <v>OCCUPÉ</v>
      </c>
      <c r="M52" s="54" t="str">
        <f>IF(ISBLANK(Tableau!$U$53), "LIBRE", "OCCUPÉ")</f>
        <v>LIBRE</v>
      </c>
      <c r="N52" s="54" t="str">
        <f>IF(ISBLANK(Tableau!$W$53), "LIBRE", "OCCUPÉ")</f>
        <v>OCCUPÉ</v>
      </c>
      <c r="O52" s="54" t="str">
        <f>IF(ISBLANK(Tableau!$Y$53), "LIBRE", "OCCUPÉ")</f>
        <v>LIBRE</v>
      </c>
      <c r="P52" s="54" t="str">
        <f>IF(ISBLANK(Tableau!$AA$53), "LIBRE", "OCCUPÉ")</f>
        <v>OCCUPÉ</v>
      </c>
      <c r="Q52" s="54" t="str">
        <f>IF(ISBLANK(Tableau!$AC$53), "LIBRE", "OCCUPÉ")</f>
        <v>OCCUPÉ</v>
      </c>
      <c r="R52" s="52" t="str">
        <f>IF(ISBLANK(Tableau!$AE$53), "LIBRE", "OCCUPÉ")</f>
        <v>LIBRE</v>
      </c>
      <c r="S52" s="54" t="str">
        <f>IF(ISBLANK(Tableau!$AG$53), "LIBRE", "OCCUPÉ")</f>
        <v>OCCUPÉ</v>
      </c>
      <c r="T52" s="52" t="str">
        <f>IF(ISBLANK(Tableau!$AI$53), "LIBRE", "OCCUPÉ")</f>
        <v>LIBRE</v>
      </c>
      <c r="U52" s="54" t="str">
        <f>IF(ISBLANK(Tableau!$AK$53), "LIBRE", "OCCUPÉ")</f>
        <v>LIBRE</v>
      </c>
      <c r="V52" s="54" t="str">
        <f>IF(ISBLANK(Tableau!$AM$53), "LIBRE", "OCCUPÉ")</f>
        <v>LIBRE</v>
      </c>
      <c r="W52" s="54" t="str">
        <f>IF(ISBLANK(Tableau!$AO$53), "LIBRE", "OCCUPÉ")</f>
        <v>OCCUPÉ</v>
      </c>
      <c r="X52" s="52" t="str">
        <f>IF(ISBLANK(Tableau!$AQ$53), "LIBRE", "OCCUPÉ")</f>
        <v>LIBRE</v>
      </c>
      <c r="Y52" s="54" t="str">
        <f>IF(ISBLANK(Tableau!$AS$53), "LIBRE", "OCCUPÉ")</f>
        <v>OCCUPÉ</v>
      </c>
      <c r="Z52" s="52" t="str">
        <f>IF(ISBLANK(Tableau!$AU$53), "LIBRE", "OCCUPÉ")</f>
        <v>LIBRE</v>
      </c>
      <c r="AA52" s="54" t="str">
        <f>IF(ISBLANK(Tableau!$AW$53), "LIBRE", "OCCUPÉ")</f>
        <v>OCCUPÉ</v>
      </c>
      <c r="AB52" s="76" t="str">
        <f>IF(ISBLANK(Tableau!$AY53), "LIBRE", "OCCUPÉ")</f>
        <v>LIBRE</v>
      </c>
      <c r="AC52" s="77" t="s">
        <v>17</v>
      </c>
    </row>
    <row r="53" ht="21.75" customHeight="1">
      <c r="A53" s="114">
        <f>Tableau!A51</f>
        <v>223</v>
      </c>
      <c r="B53" s="115" t="str">
        <f>VLOOKUP($A53,LocalisationRemorque,2,0)</f>
        <v>Clavier</v>
      </c>
      <c r="C53" s="116" t="str">
        <f>VLOOKUP($A53,LocalisationRemorque,3,0)</f>
        <v>Bois-et-Borsu</v>
      </c>
      <c r="D53" s="117" t="str">
        <f>CONCATENATE(VLOOKUP($A53,LocalisationRemorque,6,0)," ► ",VLOOKUP($A53,LocalisationRemorque,5,0))</f>
        <v>Marche-en-Famenne ► Liège</v>
      </c>
      <c r="E53" s="52" t="str">
        <f>IF(ISBLANK(Tableau!$E$53), "LIBRE", "OCCUPÉ")</f>
        <v>LIBRE</v>
      </c>
      <c r="F53" s="52" t="str">
        <f>IF(ISBLANK(Tableau!$G$53), "LIBRE", "OCCUPÉ")</f>
        <v>LIBRE</v>
      </c>
      <c r="G53" s="52" t="str">
        <f>IF(ISBLANK(Tableau!$I$53), "LIBRE", "OCCUPÉ")</f>
        <v>LIBRE</v>
      </c>
      <c r="H53" s="52" t="str">
        <f>IF(ISBLANK(Tableau!$K$53), "LIBRE", "OCCUPÉ")</f>
        <v>LIBRE</v>
      </c>
      <c r="I53" s="52" t="str">
        <f>IF(ISBLANK(Tableau!$M$53), "LIBRE", "OCCUPÉ")</f>
        <v>LIBRE</v>
      </c>
      <c r="J53" s="52" t="str">
        <f>IF(ISBLANK(Tableau!$O$53), "LIBRE", "OCCUPÉ")</f>
        <v>LIBRE</v>
      </c>
      <c r="K53" s="54" t="str">
        <f>IF(ISBLANK(Tableau!$Q$53), "LIBRE", "OCCUPÉ")</f>
        <v>LIBRE</v>
      </c>
      <c r="L53" s="52" t="str">
        <f>IF(ISBLANK(Tableau!$S$53), "LIBRE", "OCCUPÉ")</f>
        <v>OCCUPÉ</v>
      </c>
      <c r="M53" s="54" t="str">
        <f>IF(ISBLANK(Tableau!$U$53), "LIBRE", "OCCUPÉ")</f>
        <v>LIBRE</v>
      </c>
      <c r="N53" s="54" t="str">
        <f>IF(ISBLANK(Tableau!$W$53), "LIBRE", "OCCUPÉ")</f>
        <v>OCCUPÉ</v>
      </c>
      <c r="O53" s="54" t="str">
        <f>IF(ISBLANK(Tableau!$Y$53), "LIBRE", "OCCUPÉ")</f>
        <v>LIBRE</v>
      </c>
      <c r="P53" s="54" t="str">
        <f>IF(ISBLANK(Tableau!$AA$53), "LIBRE", "OCCUPÉ")</f>
        <v>OCCUPÉ</v>
      </c>
      <c r="Q53" s="54" t="str">
        <f>IF(ISBLANK(Tableau!$AC$53), "LIBRE", "OCCUPÉ")</f>
        <v>OCCUPÉ</v>
      </c>
      <c r="R53" s="52" t="str">
        <f>IF(ISBLANK(Tableau!$AE$53), "LIBRE", "OCCUPÉ")</f>
        <v>LIBRE</v>
      </c>
      <c r="S53" s="54" t="str">
        <f>IF(ISBLANK(Tableau!$AG$53), "LIBRE", "OCCUPÉ")</f>
        <v>OCCUPÉ</v>
      </c>
      <c r="T53" s="52" t="str">
        <f>IF(ISBLANK(Tableau!$AI$53), "LIBRE", "OCCUPÉ")</f>
        <v>LIBRE</v>
      </c>
      <c r="U53" s="54" t="str">
        <f>IF(ISBLANK(Tableau!$AK$53), "LIBRE", "OCCUPÉ")</f>
        <v>LIBRE</v>
      </c>
      <c r="V53" s="54" t="str">
        <f>IF(ISBLANK(Tableau!$AM$53), "LIBRE", "OCCUPÉ")</f>
        <v>LIBRE</v>
      </c>
      <c r="W53" s="54" t="str">
        <f>IF(ISBLANK(Tableau!$AO$53), "LIBRE", "OCCUPÉ")</f>
        <v>OCCUPÉ</v>
      </c>
      <c r="X53" s="52" t="str">
        <f>IF(ISBLANK(Tableau!$AQ$53), "LIBRE", "OCCUPÉ")</f>
        <v>LIBRE</v>
      </c>
      <c r="Y53" s="54" t="str">
        <f>IF(ISBLANK(Tableau!$AS$53), "LIBRE", "OCCUPÉ")</f>
        <v>OCCUPÉ</v>
      </c>
      <c r="Z53" s="52" t="str">
        <f>IF(ISBLANK(Tableau!$AU$53), "LIBRE", "OCCUPÉ")</f>
        <v>LIBRE</v>
      </c>
      <c r="AA53" s="54" t="str">
        <f>IF(ISBLANK(Tableau!$AW$53), "LIBRE", "OCCUPÉ")</f>
        <v>OCCUPÉ</v>
      </c>
      <c r="AB53" s="76" t="str">
        <f>IF(ISBLANK(Tableau!$AY54), "LIBRE", "OCCUPÉ")</f>
        <v>LIBRE</v>
      </c>
      <c r="AC53" s="171"/>
    </row>
    <row r="54" ht="21.75" hidden="1" customHeight="1">
      <c r="A54" s="114">
        <f>Tableau!A54</f>
        <v>231</v>
      </c>
      <c r="B54" s="121"/>
      <c r="C54" s="121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21"/>
      <c r="AC54" s="120"/>
    </row>
    <row r="55" ht="21.75" hidden="1" customHeight="1">
      <c r="A55" s="114" t="str">
        <f>Tableau!A55</f>
        <v/>
      </c>
      <c r="B55" s="121"/>
      <c r="C55" s="121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21"/>
      <c r="AC55" s="120"/>
    </row>
    <row r="56" ht="21.75" hidden="1" customHeight="1">
      <c r="A56" s="114" t="str">
        <f>Tableau!A56</f>
        <v/>
      </c>
      <c r="B56" s="121"/>
      <c r="C56" s="121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21"/>
      <c r="AC56" s="120"/>
    </row>
    <row r="57" ht="21.75" hidden="1" customHeight="1">
      <c r="A57" s="114" t="str">
        <f>Tableau!A57</f>
        <v/>
      </c>
      <c r="B57" s="121"/>
      <c r="C57" s="121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21"/>
      <c r="AC57" s="120"/>
    </row>
    <row r="58" ht="21.75" hidden="1" customHeight="1">
      <c r="A58" s="114" t="str">
        <f>Tableau!A58</f>
        <v/>
      </c>
      <c r="B58" s="121"/>
      <c r="C58" s="121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21"/>
      <c r="AC58" s="120"/>
    </row>
    <row r="59" ht="21.75" hidden="1" customHeight="1">
      <c r="A59" s="114" t="str">
        <f>Tableau!A59</f>
        <v/>
      </c>
      <c r="B59" s="121"/>
      <c r="C59" s="121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21"/>
      <c r="AC59" s="120"/>
    </row>
    <row r="60" ht="21.75" hidden="1" customHeight="1">
      <c r="A60" s="114" t="str">
        <f>Tableau!A60</f>
        <v/>
      </c>
      <c r="B60" s="121"/>
      <c r="C60" s="121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21"/>
      <c r="AC60" s="120"/>
    </row>
    <row r="61" ht="21.75" hidden="1" customHeight="1">
      <c r="A61" s="114" t="str">
        <f>Tableau!A61</f>
        <v/>
      </c>
      <c r="B61" s="121"/>
      <c r="C61" s="121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21"/>
      <c r="AC61" s="120"/>
    </row>
    <row r="62" ht="21.75" hidden="1" customHeight="1">
      <c r="A62" s="114" t="str">
        <f>Tableau!A62</f>
        <v/>
      </c>
      <c r="B62" s="121"/>
      <c r="C62" s="121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21"/>
      <c r="AC62" s="120"/>
    </row>
    <row r="63" ht="21.75" hidden="1" customHeight="1">
      <c r="A63" s="114" t="str">
        <f>Tableau!A63</f>
        <v/>
      </c>
      <c r="B63" s="121"/>
      <c r="C63" s="121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21"/>
      <c r="AC63" s="120"/>
    </row>
    <row r="64" ht="21.75" customHeight="1">
      <c r="A64" s="114" t="str">
        <f>Tableau!A64</f>
        <v/>
      </c>
      <c r="B64" s="121"/>
      <c r="C64" s="121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21"/>
      <c r="AC64" s="120"/>
    </row>
    <row r="65" ht="21.75" customHeight="1">
      <c r="A65" s="40">
        <f>Tableau!A65</f>
        <v>301</v>
      </c>
      <c r="B65" s="46" t="str">
        <f>VLOOKUP($A65,LocalisationRemorque,2,0)</f>
        <v>Andenne</v>
      </c>
      <c r="C65" s="47" t="str">
        <f>VLOOKUP($A65,LocalisationRemorque,3,0)</f>
        <v>Sclayn pas de garage</v>
      </c>
      <c r="D65" s="49" t="str">
        <f>CONCATENATE(VLOOKUP($A65,LocalisationRemorque,6,0)," ► ",VLOOKUP($A65,LocalisationRemorque,5,0))</f>
        <v>Andenne ► Namur</v>
      </c>
      <c r="E65" s="54" t="str">
        <f>IF(ISBLANK(Tableau!$E$65), "LIBRE", "OCCUPÉ")</f>
        <v>OCCUPÉ</v>
      </c>
      <c r="F65" s="54" t="str">
        <f>IF(ISBLANK(Tableau!$G$65), "LIBRE", "OCCUPÉ")</f>
        <v>LIBRE</v>
      </c>
      <c r="G65" s="52" t="str">
        <f>IF(ISBLANK(Tableau!$I$65), "LIBRE", "OCCUPÉ")</f>
        <v>OCCUPÉ</v>
      </c>
      <c r="H65" s="52" t="str">
        <f>IF(ISBLANK(Tableau!$K$65), "LIBRE", "OCCUPÉ")</f>
        <v>LIBRE</v>
      </c>
      <c r="I65" s="54" t="str">
        <f>IF(ISBLANK(Tableau!$M$65), "LIBRE", "OCCUPÉ")</f>
        <v>OCCUPÉ</v>
      </c>
      <c r="J65" s="54" t="str">
        <f>IF(ISBLANK(Tableau!$O$65), "LIBRE", "OCCUPÉ")</f>
        <v>LIBRE</v>
      </c>
      <c r="K65" s="54" t="str">
        <f>IF(ISBLANK(Tableau!$Q$65), "LIBRE", "OCCUPÉ")</f>
        <v>OCCUPÉ</v>
      </c>
      <c r="L65" s="54" t="str">
        <f>IF(ISBLANK(Tableau!$S$69), "LIBRE", "OCCUPÉ")</f>
        <v>LIBRE</v>
      </c>
      <c r="M65" s="54" t="str">
        <f>IF(ISBLANK(Tableau!$U$65), "LIBRE", "OCCUPÉ")</f>
        <v>OCCUPÉ</v>
      </c>
      <c r="N65" s="54" t="str">
        <f>IF(ISBLANK(Tableau!$W$65), "LIBRE", "OCCUPÉ")</f>
        <v>LIBRE</v>
      </c>
      <c r="O65" s="54" t="str">
        <f>IF(ISBLANK(Tableau!$Y$65), "LIBRE", "OCCUPÉ")</f>
        <v>LIBRE</v>
      </c>
      <c r="P65" s="54" t="str">
        <f>IF(ISBLANK(Tableau!$AA$65), "LIBRE", "OCCUPÉ")</f>
        <v>LIBRE</v>
      </c>
      <c r="Q65" s="54" t="str">
        <f>IF(ISBLANK(Tableau!$AC$65), "LIBRE", "OCCUPÉ")</f>
        <v>LIBRE</v>
      </c>
      <c r="R65" s="54" t="str">
        <f>IF(ISBLANK(Tableau!$AE$65), "LIBRE", "OCCUPÉ")</f>
        <v>LIBRE</v>
      </c>
      <c r="S65" s="54" t="str">
        <f>IF(ISBLANK(Tableau!$AG$65), "LIBRE", "OCCUPÉ")</f>
        <v>LIBRE</v>
      </c>
      <c r="T65" s="52" t="str">
        <f>IF(ISBLANK(Tableau!$AI$65), "LIBRE", "OCCUPÉ")</f>
        <v>LIBRE</v>
      </c>
      <c r="U65" s="54" t="str">
        <f>IF(ISBLANK(Tableau!$AK$65), "LIBRE", "OCCUPÉ")</f>
        <v>LIBRE</v>
      </c>
      <c r="V65" s="52" t="str">
        <f>IF(ISBLANK(Tableau!$AM$65), "LIBRE", "OCCUPÉ")</f>
        <v>LIBRE</v>
      </c>
      <c r="W65" s="52" t="str">
        <f>IF(ISBLANK(Tableau!$AO$65), "LIBRE", "OCCUPÉ")</f>
        <v>LIBRE</v>
      </c>
      <c r="X65" s="52" t="str">
        <f>IF(ISBLANK(Tableau!$AQ$65), "LIBRE", "OCCUPÉ")</f>
        <v>LIBRE</v>
      </c>
      <c r="Y65" s="54" t="str">
        <f>IF(ISBLANK(Tableau!$AS$65), "LIBRE", "OCCUPÉ")</f>
        <v>LIBRE</v>
      </c>
      <c r="Z65" s="54" t="str">
        <f>IF(ISBLANK(Tableau!$AU$65), "LIBRE", "OCCUPÉ")</f>
        <v>LIBRE</v>
      </c>
      <c r="AA65" s="54" t="str">
        <f>IF(ISBLANK(Tableau!$AW$65), "LIBRE", "OCCUPÉ")</f>
        <v>LIBRE</v>
      </c>
      <c r="AB65" s="76" t="str">
        <f>IF(ISBLANK(Tableau!$AY65), "LIBRE", "OCCUPÉ")</f>
        <v>LIBRE</v>
      </c>
      <c r="AC65" s="70" t="s">
        <v>17</v>
      </c>
    </row>
    <row r="66" ht="21.75" hidden="1" customHeight="1">
      <c r="A66" s="72" t="str">
        <f>Tableau!A66</f>
        <v/>
      </c>
      <c r="B66" s="73" t="str">
        <f>VLOOKUP($A66,LocalisationRemorque,2,0)</f>
        <v> Remorque non listée</v>
      </c>
      <c r="C66" s="74" t="str">
        <f>VLOOKUP($A66,LocalisationRemorque,3,0)</f>
        <v/>
      </c>
      <c r="D66" s="75" t="str">
        <f>CONCATENATE(VLOOKUP($A66,LocalisationRemorque,6,0)," ► ",VLOOKUP($A66,LocalisationRemorque,5,0))</f>
        <v> ► </v>
      </c>
      <c r="E66" s="54" t="str">
        <f>IF(ISBLANK(Tableau!$E$66), "LIBRE", "OCCUPÉ")</f>
        <v>LIBRE</v>
      </c>
      <c r="F66" s="54" t="str">
        <f>IF(ISBLANK(Tableau!$G$66), "LIBRE", "OCCUPÉ")</f>
        <v>LIBRE</v>
      </c>
      <c r="G66" s="52" t="str">
        <f>IF(ISBLANK(Tableau!$I$66), "LIBRE", "OCCUPÉ")</f>
        <v>OCCUPÉ</v>
      </c>
      <c r="H66" s="54" t="str">
        <f>IF(ISBLANK(Tableau!$K$66), "LIBRE", "OCCUPÉ")</f>
        <v>LIBRE</v>
      </c>
      <c r="I66" s="54" t="str">
        <f>IF(ISBLANK(Tableau!$M$66), "LIBRE", "OCCUPÉ")</f>
        <v>LIBRE</v>
      </c>
      <c r="J66" s="54" t="str">
        <f>IF(ISBLANK(Tableau!$O$66), "LIBRE", "OCCUPÉ")</f>
        <v>LIBRE</v>
      </c>
      <c r="K66" s="54" t="str">
        <f>IF(ISBLANK(Tableau!$Q$66), "LIBRE", "OCCUPÉ")</f>
        <v>LIBRE</v>
      </c>
      <c r="L66" s="54" t="str">
        <f>IF(ISBLANK(Tableau!$S$66), "LIBRE", "OCCUPÉ")</f>
        <v>LIBRE</v>
      </c>
      <c r="M66" s="54" t="str">
        <f>IF(ISBLANK(Tableau!$U$66), "LIBRE", "OCCUPÉ")</f>
        <v>LIBRE</v>
      </c>
      <c r="N66" s="54" t="str">
        <f>IF(ISBLANK(Tableau!$W$66), "LIBRE", "OCCUPÉ")</f>
        <v>LIBRE</v>
      </c>
      <c r="O66" s="54" t="str">
        <f>IF(ISBLANK(Tableau!$Y$66), "LIBRE", "OCCUPÉ")</f>
        <v>LIBRE</v>
      </c>
      <c r="P66" s="54" t="str">
        <f>IF(ISBLANK(Tableau!$AA$66), "LIBRE", "OCCUPÉ")</f>
        <v>LIBRE</v>
      </c>
      <c r="Q66" s="54" t="str">
        <f>IF(ISBLANK(Tableau!$AC$66), "LIBRE", "OCCUPÉ")</f>
        <v>LIBRE</v>
      </c>
      <c r="R66" s="54" t="str">
        <f>IF(ISBLANK(Tableau!$AE$66), "LIBRE", "OCCUPÉ")</f>
        <v>LIBRE</v>
      </c>
      <c r="S66" s="54" t="str">
        <f>IF(ISBLANK(Tableau!$AG$66), "LIBRE", "OCCUPÉ")</f>
        <v>LIBRE</v>
      </c>
      <c r="T66" s="54" t="str">
        <f>IF(ISBLANK(Tableau!$AI$66), "LIBRE", "OCCUPÉ")</f>
        <v>LIBRE</v>
      </c>
      <c r="U66" s="54" t="str">
        <f>IF(ISBLANK(Tableau!$AK$66), "LIBRE", "OCCUPÉ")</f>
        <v>LIBRE</v>
      </c>
      <c r="V66" s="54" t="str">
        <f>IF(ISBLANK(Tableau!$AM$66), "LIBRE", "OCCUPÉ")</f>
        <v>LIBRE</v>
      </c>
      <c r="W66" s="54" t="str">
        <f>IF(ISBLANK(Tableau!$AO$66), "LIBRE", "OCCUPÉ")</f>
        <v>LIBRE</v>
      </c>
      <c r="X66" s="52" t="str">
        <f>IF(ISBLANK(Tableau!$AQ$66), "LIBRE", "OCCUPÉ")</f>
        <v>LIBRE</v>
      </c>
      <c r="Y66" s="52" t="str">
        <f>IF(ISBLANK(Tableau!$AS$66), "LIBRE", "OCCUPÉ")</f>
        <v>LIBRE</v>
      </c>
      <c r="Z66" s="54" t="str">
        <f>IF(ISBLANK(Tableau!$AU$66), "LIBRE", "OCCUPÉ")</f>
        <v>LIBRE</v>
      </c>
      <c r="AA66" s="54" t="str">
        <f>IF(ISBLANK(Tableau!$AW$66), "LIBRE", "OCCUPÉ")</f>
        <v>LIBRE</v>
      </c>
      <c r="AB66" s="76" t="str">
        <f>IF(ISBLANK(Tableau!$AY66), "LIBRE", "OCCUPÉ")</f>
        <v>LIBRE</v>
      </c>
      <c r="AC66" s="155"/>
    </row>
    <row r="67" ht="21.75" customHeight="1">
      <c r="A67" s="40">
        <f>Tableau!A67</f>
        <v>303</v>
      </c>
      <c r="B67" s="46" t="str">
        <f>VLOOKUP($A67,LocalisationRemorque,2,0)</f>
        <v>Andenne</v>
      </c>
      <c r="C67" s="47" t="str">
        <f>VLOOKUP($A67,LocalisationRemorque,3,0)</f>
        <v>Haute Bise</v>
      </c>
      <c r="D67" s="49" t="str">
        <f>CONCATENATE(VLOOKUP($A67,LocalisationRemorque,6,0)," ► ",VLOOKUP($A67,LocalisationRemorque,5,0))</f>
        <v>Andenne ► Ciney</v>
      </c>
      <c r="E67" s="54" t="str">
        <f>IF(ISBLANK(Tableau!$E$67), "LIBRE", "OCCUPÉ")</f>
        <v>OCCUPÉ</v>
      </c>
      <c r="F67" s="52" t="str">
        <f>IF(ISBLANK(Tableau!$G$67), "LIBRE", "OCCUPÉ")</f>
        <v>LIBRE</v>
      </c>
      <c r="G67" s="52" t="str">
        <f>IF(ISBLANK(Tableau!$I$67), "LIBRE", "OCCUPÉ")</f>
        <v>OCCUPÉ</v>
      </c>
      <c r="H67" s="54" t="str">
        <f>IF(ISBLANK(Tableau!$K$67), "LIBRE", "OCCUPÉ")</f>
        <v>LIBRE</v>
      </c>
      <c r="I67" s="54" t="str">
        <f>IF(ISBLANK(Tableau!$M$67), "LIBRE", "OCCUPÉ")</f>
        <v>OCCUPÉ</v>
      </c>
      <c r="J67" s="54" t="str">
        <f>IF(ISBLANK(Tableau!$O$67), "LIBRE", "OCCUPÉ")</f>
        <v>LIBRE</v>
      </c>
      <c r="K67" s="54" t="str">
        <f>IF(ISBLANK(Tableau!$Q$67), "LIBRE", "OCCUPÉ")</f>
        <v>OCCUPÉ</v>
      </c>
      <c r="L67" s="54" t="str">
        <f>IF(ISBLANK(Tableau!$S$67), "LIBRE", "OCCUPÉ")</f>
        <v>LIBRE</v>
      </c>
      <c r="M67" s="54" t="str">
        <f>IF(ISBLANK(Tableau!$U$67), "LIBRE", "OCCUPÉ")</f>
        <v>OCCUPÉ</v>
      </c>
      <c r="N67" s="54" t="str">
        <f>IF(ISBLANK(Tableau!$W$67), "LIBRE", "OCCUPÉ")</f>
        <v>LIBRE</v>
      </c>
      <c r="O67" s="54" t="str">
        <f>IF(ISBLANK(Tableau!$Y$67), "LIBRE", "OCCUPÉ")</f>
        <v>LIBRE</v>
      </c>
      <c r="P67" s="54" t="str">
        <f>IF(ISBLANK(Tableau!$AA$67), "LIBRE", "OCCUPÉ")</f>
        <v>LIBRE</v>
      </c>
      <c r="Q67" s="54" t="str">
        <f>IF(ISBLANK(Tableau!$AC$67), "LIBRE", "OCCUPÉ")</f>
        <v>LIBRE</v>
      </c>
      <c r="R67" s="52" t="str">
        <f>IF(ISBLANK(Tableau!$AE$67), "LIBRE", "OCCUPÉ")</f>
        <v>LIBRE</v>
      </c>
      <c r="S67" s="54" t="str">
        <f>IF(ISBLANK(Tableau!$AG$67), "LIBRE", "OCCUPÉ")</f>
        <v>LIBRE</v>
      </c>
      <c r="T67" s="54" t="str">
        <f>IF(ISBLANK(Tableau!$AI$67), "LIBRE", "OCCUPÉ")</f>
        <v>LIBRE</v>
      </c>
      <c r="U67" s="54" t="str">
        <f>IF(ISBLANK(Tableau!$AC$67), "LIBRE", "OCCUPÉ")</f>
        <v>LIBRE</v>
      </c>
      <c r="V67" s="52" t="str">
        <f>IF(ISBLANK(Tableau!$AM$67), "LIBRE", "OCCUPÉ")</f>
        <v>LIBRE</v>
      </c>
      <c r="W67" s="52" t="str">
        <f>IF(ISBLANK(Tableau!$AO$67), "LIBRE", "OCCUPÉ")</f>
        <v>LIBRE</v>
      </c>
      <c r="X67" s="52" t="str">
        <f>IF(ISBLANK(Tableau!$AQ$67), "LIBRE", "OCCUPÉ")</f>
        <v>LIBRE</v>
      </c>
      <c r="Y67" s="54" t="str">
        <f>IF(ISBLANK(Tableau!$AS$67), "LIBRE", "OCCUPÉ")</f>
        <v>LIBRE</v>
      </c>
      <c r="Z67" s="52" t="str">
        <f>IF(ISBLANK(Tableau!$AU$67), "LIBRE", "OCCUPÉ")</f>
        <v>LIBRE</v>
      </c>
      <c r="AA67" s="52" t="str">
        <f>IF(ISBLANK(Tableau!$AW$67), "LIBRE", "OCCUPÉ")</f>
        <v>LIBRE</v>
      </c>
      <c r="AB67" s="69" t="str">
        <f>IF(ISBLANK(Tableau!$AY67), "LIBRE", "OCCUPÉ")</f>
        <v>LIBRE</v>
      </c>
      <c r="AC67" s="70" t="s">
        <v>17</v>
      </c>
    </row>
    <row r="68" ht="21.75" customHeight="1">
      <c r="A68" s="72">
        <f>Tableau!A68</f>
        <v>304</v>
      </c>
      <c r="B68" s="73" t="str">
        <f>VLOOKUP($A68,LocalisationRemorque,2,0)</f>
        <v>Andenne</v>
      </c>
      <c r="C68" s="74" t="str">
        <f>VLOOKUP($A68,LocalisationRemorque,3,0)</f>
        <v>Ohey</v>
      </c>
      <c r="D68" s="75" t="str">
        <f>CONCATENATE(VLOOKUP($A68,LocalisationRemorque,6,0)," ► ",VLOOKUP($A68,LocalisationRemorque,5,0))</f>
        <v>Ciney ► Andenne</v>
      </c>
      <c r="E68" s="54" t="str">
        <f>IF(ISBLANK(Tableau!$E$68), "LIBRE", "OCCUPÉ")</f>
        <v>OCCUPÉ</v>
      </c>
      <c r="F68" s="54" t="str">
        <f>IF(ISBLANK(Tableau!$G$68), "LIBRE", "OCCUPÉ")</f>
        <v>LIBRE</v>
      </c>
      <c r="G68" s="54" t="str">
        <f>IF(ISBLANK(Tableau!$I$68), "LIBRE", "OCCUPÉ")</f>
        <v>OCCUPÉ</v>
      </c>
      <c r="H68" s="52" t="str">
        <f>IF(ISBLANK(Tableau!$K$68), "LIBRE", "OCCUPÉ")</f>
        <v>LIBRE</v>
      </c>
      <c r="I68" s="54" t="str">
        <f>IF(ISBLANK(Tableau!$M$68), "LIBRE", "OCCUPÉ")</f>
        <v>OCCUPÉ</v>
      </c>
      <c r="J68" s="54" t="str">
        <f>IF(ISBLANK(Tableau!$O$68), "LIBRE", "OCCUPÉ")</f>
        <v>LIBRE</v>
      </c>
      <c r="K68" s="54" t="str">
        <f>IF(ISBLANK(Tableau!$Q$68), "LIBRE", "OCCUPÉ")</f>
        <v>OCCUPÉ</v>
      </c>
      <c r="L68" s="54" t="str">
        <f>IF(ISBLANK(Tableau!$S$68), "LIBRE", "OCCUPÉ")</f>
        <v>LIBRE</v>
      </c>
      <c r="M68" s="54" t="str">
        <f>IF(ISBLANK(Tableau!$U$68), "LIBRE", "OCCUPÉ")</f>
        <v>OCCUPÉ</v>
      </c>
      <c r="N68" s="54" t="str">
        <f>IF(ISBLANK(Tableau!$W$68), "LIBRE", "OCCUPÉ")</f>
        <v>LIBRE</v>
      </c>
      <c r="O68" s="54" t="str">
        <f>IF(ISBLANK(Tableau!$Y$68), "LIBRE", "OCCUPÉ")</f>
        <v>LIBRE</v>
      </c>
      <c r="P68" s="54" t="str">
        <f>IF(ISBLANK(Tableau!$AA$68), "LIBRE", "OCCUPÉ")</f>
        <v>LIBRE</v>
      </c>
      <c r="Q68" s="54" t="str">
        <f>IF(ISBLANK(Tableau!$AC$68), "LIBRE", "OCCUPÉ")</f>
        <v>LIBRE</v>
      </c>
      <c r="R68" s="52" t="str">
        <f>IF(ISBLANK(Tableau!$AE$68), "LIBRE", "OCCUPÉ")</f>
        <v>LIBRE</v>
      </c>
      <c r="S68" s="54" t="str">
        <f>IF(ISBLANK(Tableau!$AG$68), "LIBRE", "OCCUPÉ")</f>
        <v>LIBRE</v>
      </c>
      <c r="T68" s="52" t="str">
        <f>IF(ISBLANK(Tableau!$AI$68), "LIBRE", "OCCUPÉ")</f>
        <v>LIBRE</v>
      </c>
      <c r="U68" s="54" t="str">
        <f>IF(ISBLANK(Tableau!$AK$68), "LIBRE", "OCCUPÉ")</f>
        <v>LIBRE</v>
      </c>
      <c r="V68" s="54" t="str">
        <f>IF(ISBLANK(Tableau!$AM$68), "LIBRE", "OCCUPÉ")</f>
        <v>LIBRE</v>
      </c>
      <c r="W68" s="54" t="str">
        <f>IF(ISBLANK(Tableau!$AO$68), "LIBRE", "OCCUPÉ")</f>
        <v>LIBRE</v>
      </c>
      <c r="X68" s="52" t="str">
        <f>IF(ISBLANK(Tableau!$AQ$68), "LIBRE", "OCCUPÉ")</f>
        <v>LIBRE</v>
      </c>
      <c r="Y68" s="52" t="str">
        <f>IF(ISBLANK(Tableau!$AS$68), "LIBRE", "OCCUPÉ")</f>
        <v>LIBRE</v>
      </c>
      <c r="Z68" s="52" t="str">
        <f>IF(ISBLANK(Tableau!$AU$68), "LIBRE", "OCCUPÉ")</f>
        <v>LIBRE</v>
      </c>
      <c r="AA68" s="54" t="str">
        <f>IF(ISBLANK(Tableau!$AW$68), "LIBRE", "OCCUPÉ")</f>
        <v>LIBRE</v>
      </c>
      <c r="AB68" s="76" t="str">
        <f>IF(ISBLANK(Tableau!$AY68), "LIBRE", "OCCUPÉ")</f>
        <v>LIBRE</v>
      </c>
      <c r="AC68" s="77" t="s">
        <v>17</v>
      </c>
    </row>
    <row r="69" ht="21.75" customHeight="1">
      <c r="A69" s="40">
        <f>Tableau!A69</f>
        <v>305</v>
      </c>
      <c r="B69" s="46" t="str">
        <f>VLOOKUP($A69,LocalisationRemorque,2,0)</f>
        <v>Andenne</v>
      </c>
      <c r="C69" s="47" t="str">
        <f>VLOOKUP($A69,LocalisationRemorque,3,0)</f>
        <v>Bierwart</v>
      </c>
      <c r="D69" s="49" t="str">
        <f>CONCATENATE(VLOOKUP($A69,LocalisationRemorque,6,0)," ► ",VLOOKUP($A69,LocalisationRemorque,5,0))</f>
        <v>Hannut ► Fernelmont</v>
      </c>
      <c r="E69" s="52" t="str">
        <f>IF(ISBLANK(Tableau!$E$69), "LIBRE", "OCCUPÉ")</f>
        <v>LIBRE</v>
      </c>
      <c r="F69" s="54" t="str">
        <f>IF(ISBLANK(Tableau!$G$69), "LIBRE", "OCCUPÉ")</f>
        <v>LIBRE</v>
      </c>
      <c r="G69" s="52" t="str">
        <f>IF(ISBLANK(Tableau!$I$69), "LIBRE", "OCCUPÉ")</f>
        <v>LIBRE</v>
      </c>
      <c r="H69" s="52" t="str">
        <f>IF(ISBLANK(Tableau!$K$69), "LIBRE", "OCCUPÉ")</f>
        <v>LIBRE</v>
      </c>
      <c r="I69" s="54" t="str">
        <f>IF(ISBLANK(Tableau!$M$69), "LIBRE", "OCCUPÉ")</f>
        <v>LIBRE</v>
      </c>
      <c r="J69" s="54" t="str">
        <f>IF(ISBLANK(Tableau!$O$69), "LIBRE", "OCCUPÉ")</f>
        <v>LIBRE</v>
      </c>
      <c r="K69" s="54" t="str">
        <f>IF(ISBLANK(Tableau!$Q$69), "LIBRE", "OCCUPÉ")</f>
        <v>LIBRE</v>
      </c>
      <c r="L69" s="54" t="str">
        <f>IF(ISBLANK(Tableau!$S$69), "LIBRE", "OCCUPÉ")</f>
        <v>LIBRE</v>
      </c>
      <c r="M69" s="54" t="str">
        <f>IF(ISBLANK(Tableau!$U$69), "LIBRE", "OCCUPÉ")</f>
        <v>LIBRE</v>
      </c>
      <c r="N69" s="54" t="str">
        <f>IF(ISBLANK(Tableau!$W$69), "LIBRE", "OCCUPÉ")</f>
        <v>LIBRE</v>
      </c>
      <c r="O69" s="54" t="str">
        <f>IF(ISBLANK(Tableau!$Y$69), "LIBRE", "OCCUPÉ")</f>
        <v>LIBRE</v>
      </c>
      <c r="P69" s="54" t="str">
        <f>IF(ISBLANK(Tableau!$AA$69), "LIBRE", "OCCUPÉ")</f>
        <v>LIBRE</v>
      </c>
      <c r="Q69" s="54" t="str">
        <f>IF(ISBLANK(Tableau!$AC$69), "LIBRE", "OCCUPÉ")</f>
        <v>LIBRE</v>
      </c>
      <c r="R69" s="52" t="str">
        <f>IF(ISBLANK(Tableau!$AE$69), "LIBRE", "OCCUPÉ")</f>
        <v>LIBRE</v>
      </c>
      <c r="S69" s="52" t="str">
        <f>IF(ISBLANK(Tableau!$AG$69), "LIBRE", "OCCUPÉ")</f>
        <v>LIBRE</v>
      </c>
      <c r="T69" s="52" t="str">
        <f>IF(ISBLANK(Tableau!$AI$69), "LIBRE", "OCCUPÉ")</f>
        <v>LIBRE</v>
      </c>
      <c r="U69" s="54" t="str">
        <f>IF(ISBLANK(Tableau!$AK$69), "LIBRE", "OCCUPÉ")</f>
        <v>LIBRE</v>
      </c>
      <c r="V69" s="52" t="str">
        <f>IF(ISBLANK(Tableau!$AM$69), "LIBRE", "OCCUPÉ")</f>
        <v>LIBRE</v>
      </c>
      <c r="W69" s="54" t="str">
        <f>IF(ISBLANK(Tableau!$AO$69), "LIBRE", "OCCUPÉ")</f>
        <v>LIBRE</v>
      </c>
      <c r="X69" s="54" t="str">
        <f>IF(ISBLANK(Tableau!$AQ$69), "LIBRE", "OCCUPÉ")</f>
        <v>LIBRE</v>
      </c>
      <c r="Y69" s="54" t="str">
        <f>IF(ISBLANK(Tableau!$AS$69), "LIBRE", "OCCUPÉ")</f>
        <v>LIBRE</v>
      </c>
      <c r="Z69" s="52" t="str">
        <f>IF(ISBLANK(Tableau!$AU$69), "LIBRE", "OCCUPÉ")</f>
        <v>LIBRE</v>
      </c>
      <c r="AA69" s="52" t="str">
        <f>IF(ISBLANK(Tableau!$AW$69), "LIBRE", "OCCUPÉ")</f>
        <v>LIBRE</v>
      </c>
      <c r="AB69" s="76" t="str">
        <f>IF(ISBLANK(Tableau!$AY69), "LIBRE", "OCCUPÉ")</f>
        <v>LIBRE</v>
      </c>
      <c r="AC69" s="70" t="s">
        <v>17</v>
      </c>
    </row>
    <row r="70" ht="21.75" customHeight="1">
      <c r="A70" s="72">
        <f>Tableau!A70</f>
        <v>306</v>
      </c>
      <c r="B70" s="73" t="str">
        <f>VLOOKUP($A70,LocalisationRemorque,2,0)</f>
        <v>Beauraing</v>
      </c>
      <c r="C70" s="74" t="str">
        <f>VLOOKUP($A70,LocalisationRemorque,3,0)</f>
        <v>Focant</v>
      </c>
      <c r="D70" s="75" t="str">
        <f>CONCATENATE(VLOOKUP($A70,LocalisationRemorque,6,0)," ► ",VLOOKUP($A70,LocalisationRemorque,5,0))</f>
        <v>Beauraing ► Rochefort</v>
      </c>
      <c r="E70" s="54" t="str">
        <f>IF(ISBLANK(Tableau!$E$70), "LIBRE", "OCCUPÉ")</f>
        <v>LIBRE</v>
      </c>
      <c r="F70" s="52" t="str">
        <f>IF(ISBLANK(Tableau!$G$70), "LIBRE", "OCCUPÉ")</f>
        <v>LIBRE</v>
      </c>
      <c r="G70" s="54" t="str">
        <f>IF(ISBLANK(Tableau!$I$70), "LIBRE", "OCCUPÉ")</f>
        <v>LIBRE</v>
      </c>
      <c r="H70" s="54" t="str">
        <f>IF(ISBLANK(Tableau!$K$70), "LIBRE", "OCCUPÉ")</f>
        <v>LIBRE</v>
      </c>
      <c r="I70" s="54" t="str">
        <f>IF(ISBLANK(Tableau!$M$70), "LIBRE", "OCCUPÉ")</f>
        <v>LIBRE</v>
      </c>
      <c r="J70" s="54" t="str">
        <f>IF(ISBLANK(Tableau!$O$70), "LIBRE", "OCCUPÉ")</f>
        <v>LIBRE</v>
      </c>
      <c r="K70" s="54" t="str">
        <f>IF(ISBLANK(Tableau!$Q$70), "LIBRE", "OCCUPÉ")</f>
        <v>LIBRE</v>
      </c>
      <c r="L70" s="54" t="str">
        <f>IF(ISBLANK(Tableau!$S$70), "LIBRE", "OCCUPÉ")</f>
        <v>LIBRE</v>
      </c>
      <c r="M70" s="54" t="str">
        <f>IF(ISBLANK(Tableau!$U$70), "LIBRE", "OCCUPÉ")</f>
        <v>LIBRE</v>
      </c>
      <c r="N70" s="54" t="str">
        <f>IF(ISBLANK(Tableau!$W$70), "LIBRE", "OCCUPÉ")</f>
        <v>LIBRE</v>
      </c>
      <c r="O70" s="54" t="str">
        <f>IF(ISBLANK(Tableau!$Y$70), "LIBRE", "OCCUPÉ")</f>
        <v>LIBRE</v>
      </c>
      <c r="P70" s="52" t="str">
        <f>IF(ISBLANK(Tableau!$AA$70), "LIBRE", "OCCUPÉ")</f>
        <v>LIBRE</v>
      </c>
      <c r="Q70" s="54" t="str">
        <f>IF(ISBLANK(Tableau!$AC$70), "LIBRE", "OCCUPÉ")</f>
        <v>LIBRE</v>
      </c>
      <c r="R70" s="52" t="str">
        <f>IF(ISBLANK(Tableau!$AE$70), "LIBRE", "OCCUPÉ")</f>
        <v>LIBRE</v>
      </c>
      <c r="S70" s="52" t="str">
        <f>IF(ISBLANK(Tableau!$AG$70), "LIBRE", "OCCUPÉ")</f>
        <v>LIBRE</v>
      </c>
      <c r="T70" s="52" t="str">
        <f>IF(ISBLANK(Tableau!$AI$70), "LIBRE", "OCCUPÉ")</f>
        <v>LIBRE</v>
      </c>
      <c r="U70" s="52" t="str">
        <f>IF(ISBLANK(Tableau!$AK$70), "LIBRE", "OCCUPÉ")</f>
        <v>LIBRE</v>
      </c>
      <c r="V70" s="52" t="str">
        <f>IF(ISBLANK(Tableau!$AM$70), "LIBRE", "OCCUPÉ")</f>
        <v>LIBRE</v>
      </c>
      <c r="W70" s="52" t="str">
        <f>IF(ISBLANK(Tableau!$AO$70), "LIBRE", "OCCUPÉ")</f>
        <v>LIBRE</v>
      </c>
      <c r="X70" s="52" t="str">
        <f>IF(ISBLANK(Tableau!$AQ$70), "LIBRE", "OCCUPÉ")</f>
        <v>LIBRE</v>
      </c>
      <c r="Y70" s="52" t="str">
        <f>IF(ISBLANK(Tableau!$AS$70), "LIBRE", "OCCUPÉ")</f>
        <v>LIBRE</v>
      </c>
      <c r="Z70" s="52" t="str">
        <f>IF(ISBLANK(Tableau!$AU$70), "LIBRE", "OCCUPÉ")</f>
        <v>LIBRE</v>
      </c>
      <c r="AA70" s="54" t="str">
        <f>IF(ISBLANK(Tableau!$AW$70), "LIBRE", "OCCUPÉ")</f>
        <v>LIBRE</v>
      </c>
      <c r="AB70" s="76" t="str">
        <f>IF(ISBLANK(Tableau!$AY70), "LIBRE", "OCCUPÉ")</f>
        <v>LIBRE</v>
      </c>
      <c r="AC70" s="77" t="s">
        <v>17</v>
      </c>
    </row>
    <row r="71" ht="21.75" customHeight="1">
      <c r="A71" s="40">
        <f>Tableau!A71</f>
        <v>307</v>
      </c>
      <c r="B71" s="46" t="str">
        <f>VLOOKUP($A71,LocalisationRemorque,2,0)</f>
        <v>Hamois</v>
      </c>
      <c r="C71" s="47" t="str">
        <f>VLOOKUP($A71,LocalisationRemorque,3,0)</f>
        <v>Hamois</v>
      </c>
      <c r="D71" s="49" t="str">
        <f>CONCATENATE(VLOOKUP($A71,LocalisationRemorque,6,0)," ► ",VLOOKUP($A71,LocalisationRemorque,5,0))</f>
        <v>Ciney ► Havelange</v>
      </c>
      <c r="E71" s="54" t="str">
        <f>IF(ISBLANK(Tableau!$E$71), "LIBRE", "OCCUPÉ")</f>
        <v>LIBRE</v>
      </c>
      <c r="F71" s="54" t="str">
        <f>IF(ISBLANK(Tableau!$G$71), "LIBRE", "OCCUPÉ")</f>
        <v>LIBRE</v>
      </c>
      <c r="G71" s="54" t="str">
        <f>IF(ISBLANK(Tableau!$I$71), "LIBRE", "OCCUPÉ")</f>
        <v>LIBRE</v>
      </c>
      <c r="H71" s="52" t="str">
        <f>IF(ISBLANK(Tableau!$K$71), "LIBRE", "OCCUPÉ")</f>
        <v>LIBRE</v>
      </c>
      <c r="I71" s="54" t="str">
        <f>IF(ISBLANK(Tableau!$M$71), "LIBRE", "OCCUPÉ")</f>
        <v>LIBRE</v>
      </c>
      <c r="J71" s="54" t="str">
        <f>IF(ISBLANK(Tableau!$O$71), "LIBRE", "OCCUPÉ")</f>
        <v>LIBRE</v>
      </c>
      <c r="K71" s="54" t="str">
        <f>IF(ISBLANK(Tableau!$Q$71), "LIBRE", "OCCUPÉ")</f>
        <v>LIBRE</v>
      </c>
      <c r="L71" s="54" t="str">
        <f>IF(ISBLANK(Tableau!$S$71), "LIBRE", "OCCUPÉ")</f>
        <v>LIBRE</v>
      </c>
      <c r="M71" s="54" t="str">
        <f>IF(ISBLANK(Tableau!$U$71), "LIBRE", "OCCUPÉ")</f>
        <v>LIBRE</v>
      </c>
      <c r="N71" s="54" t="str">
        <f>IF(ISBLANK(Tableau!$W$71), "LIBRE", "OCCUPÉ")</f>
        <v>LIBRE</v>
      </c>
      <c r="O71" s="54" t="str">
        <f>IF(ISBLANK(Tableau!$Y$71), "LIBRE", "OCCUPÉ")</f>
        <v>LIBRE</v>
      </c>
      <c r="P71" s="54" t="str">
        <f>IF(ISBLANK(Tableau!$AA$71), "LIBRE", "OCCUPÉ")</f>
        <v>LIBRE</v>
      </c>
      <c r="Q71" s="54" t="str">
        <f>IF(ISBLANK(Tableau!$AC$71), "LIBRE", "OCCUPÉ")</f>
        <v>LIBRE</v>
      </c>
      <c r="R71" s="52" t="str">
        <f>IF(ISBLANK(Tableau!$AE$71), "LIBRE", "OCCUPÉ")</f>
        <v>OCCUPÉ</v>
      </c>
      <c r="S71" s="54" t="str">
        <f>IF(ISBLANK(Tableau!$AG$71), "LIBRE", "OCCUPÉ")</f>
        <v>LIBRE</v>
      </c>
      <c r="T71" s="52" t="str">
        <f>IF(ISBLANK(Tableau!$AI$71), "LIBRE", "OCCUPÉ")</f>
        <v>LIBRE</v>
      </c>
      <c r="U71" s="54" t="str">
        <f>IF(ISBLANK(Tableau!$AK$71), "LIBRE", "OCCUPÉ")</f>
        <v>LIBRE</v>
      </c>
      <c r="V71" s="54" t="str">
        <f>IF(ISBLANK(Tableau!$AM$71), "LIBRE", "OCCUPÉ")</f>
        <v>LIBRE</v>
      </c>
      <c r="W71" s="52" t="str">
        <f>IF(ISBLANK(Tableau!$AO$71), "LIBRE", "OCCUPÉ")</f>
        <v>LIBRE</v>
      </c>
      <c r="X71" s="54" t="str">
        <f>IF(ISBLANK(Tableau!$AQ$71), "LIBRE", "OCCUPÉ")</f>
        <v>LIBRE</v>
      </c>
      <c r="Y71" s="52" t="str">
        <f>IF(ISBLANK(Tableau!$AS$71), "LIBRE", "OCCUPÉ")</f>
        <v>LIBRE</v>
      </c>
      <c r="Z71" s="52" t="str">
        <f>IF(ISBLANK(Tableau!$AU$71), "LIBRE", "OCCUPÉ")</f>
        <v>LIBRE</v>
      </c>
      <c r="AA71" s="52" t="str">
        <f>IF(ISBLANK(Tableau!$AW$71), "LIBRE", "OCCUPÉ")</f>
        <v>LIBRE</v>
      </c>
      <c r="AB71" s="76" t="str">
        <f>IF(ISBLANK(Tableau!$AY71), "LIBRE", "OCCUPÉ")</f>
        <v>LIBRE</v>
      </c>
      <c r="AC71" s="70" t="s">
        <v>17</v>
      </c>
    </row>
    <row r="72" ht="21.75" customHeight="1">
      <c r="A72" s="72">
        <f>Tableau!A72</f>
        <v>367</v>
      </c>
      <c r="B72" s="73" t="str">
        <f>VLOOKUP($A72,LocalisationRemorque,2,0)</f>
        <v>Hamois</v>
      </c>
      <c r="C72" s="74" t="str">
        <f>VLOOKUP($A72,LocalisationRemorque,3,0)</f>
        <v>Hamois 2</v>
      </c>
      <c r="D72" s="75" t="str">
        <f>CONCATENATE(VLOOKUP($A72,LocalisationRemorque,6,0)," ► ",VLOOKUP($A72,LocalisationRemorque,5,0))</f>
        <v>Havelange ► Ciney</v>
      </c>
      <c r="E72" s="54" t="str">
        <f>IF(ISBLANK(Tableau!$E$72), "LIBRE", "OCCUPÉ")</f>
        <v>LIBRE</v>
      </c>
      <c r="F72" s="52" t="str">
        <f>IF(ISBLANK(Tableau!$G$72), "LIBRE", "OCCUPÉ")</f>
        <v>LIBRE</v>
      </c>
      <c r="G72" s="52" t="str">
        <f>IF(ISBLANK(Tableau!$I$72), "LIBRE", "OCCUPÉ")</f>
        <v>LIBRE</v>
      </c>
      <c r="H72" s="52" t="str">
        <f>IF(ISBLANK(Tableau!$K$72), "LIBRE", "OCCUPÉ")</f>
        <v>LIBRE</v>
      </c>
      <c r="I72" s="54" t="str">
        <f>IF(ISBLANK(Tableau!$M$72), "LIBRE", "OCCUPÉ")</f>
        <v>LIBRE</v>
      </c>
      <c r="J72" s="52" t="str">
        <f>IF(ISBLANK(Tableau!$O$72), "LIBRE", "OCCUPÉ")</f>
        <v>LIBRE</v>
      </c>
      <c r="K72" s="54" t="str">
        <f>IF(ISBLANK(Tableau!$Q$72), "LIBRE", "OCCUPÉ")</f>
        <v>LIBRE</v>
      </c>
      <c r="L72" s="52" t="str">
        <f>IF(ISBLANK(Tableau!$S$72), "LIBRE", "OCCUPÉ")</f>
        <v>LIBRE</v>
      </c>
      <c r="M72" s="54" t="str">
        <f>IF(ISBLANK(Tableau!$U$72), "LIBRE", "OCCUPÉ")</f>
        <v>LIBRE</v>
      </c>
      <c r="N72" s="52" t="str">
        <f>IF(ISBLANK(Tableau!$W$72), "LIBRE", "OCCUPÉ")</f>
        <v>LIBRE</v>
      </c>
      <c r="O72" s="54" t="str">
        <f>IF(ISBLANK(Tableau!$Y$72), "LIBRE", "OCCUPÉ")</f>
        <v>LIBRE</v>
      </c>
      <c r="P72" s="54" t="str">
        <f>IF(ISBLANK(Tableau!$AA$72), "LIBRE", "OCCUPÉ")</f>
        <v>LIBRE</v>
      </c>
      <c r="Q72" s="54" t="str">
        <f>IF(ISBLANK(Tableau!$AC$72), "LIBRE", "OCCUPÉ")</f>
        <v>LIBRE</v>
      </c>
      <c r="R72" s="52" t="str">
        <f>IF(ISBLANK(Tableau!$AE$72), "LIBRE", "OCCUPÉ")</f>
        <v>LIBRE</v>
      </c>
      <c r="S72" s="52" t="str">
        <f>IF(ISBLANK(Tableau!$AG$72), "LIBRE", "OCCUPÉ")</f>
        <v>LIBRE</v>
      </c>
      <c r="T72" s="54" t="str">
        <f>IF(ISBLANK(Tableau!$AI$72), "LIBRE", "OCCUPÉ")</f>
        <v>LIBRE</v>
      </c>
      <c r="U72" s="54" t="str">
        <f>IF(ISBLANK(Tableau!$AK$72), "LIBRE", "OCCUPÉ")</f>
        <v>LIBRE</v>
      </c>
      <c r="V72" s="52" t="str">
        <f>IF(ISBLANK(Tableau!$AM$72), "LIBRE", "OCCUPÉ")</f>
        <v>LIBRE</v>
      </c>
      <c r="W72" s="54" t="str">
        <f>IF(ISBLANK(Tableau!$AO$72), "LIBRE", "OCCUPÉ")</f>
        <v>LIBRE</v>
      </c>
      <c r="X72" s="54" t="str">
        <f>IF(ISBLANK(Tableau!$AQ$72), "LIBRE", "OCCUPÉ")</f>
        <v>LIBRE</v>
      </c>
      <c r="Y72" s="54" t="str">
        <f>IF(ISBLANK(Tableau!$AS$72), "LIBRE", "OCCUPÉ")</f>
        <v>LIBRE</v>
      </c>
      <c r="Z72" s="54" t="str">
        <f>IF(ISBLANK(Tableau!$AU$72), "LIBRE", "OCCUPÉ")</f>
        <v>LIBRE</v>
      </c>
      <c r="AA72" s="52" t="str">
        <f>IF(ISBLANK(Tableau!$AW$72), "LIBRE", "OCCUPÉ")</f>
        <v>OCCUPÉ</v>
      </c>
      <c r="AB72" s="69" t="str">
        <f>IF(ISBLANK(Tableau!$AY72), "LIBRE", "OCCUPÉ")</f>
        <v>LIBRE</v>
      </c>
      <c r="AC72" s="77" t="s">
        <v>17</v>
      </c>
    </row>
    <row r="73" ht="21.75" customHeight="1">
      <c r="A73" s="40">
        <f>Tableau!A73</f>
        <v>308</v>
      </c>
      <c r="B73" s="46" t="str">
        <f>VLOOKUP($A73,LocalisationRemorque,2,0)</f>
        <v>Ciney</v>
      </c>
      <c r="C73" s="47" t="str">
        <f>VLOOKUP($A73,LocalisationRemorque,3,0)</f>
        <v>Barcène</v>
      </c>
      <c r="D73" s="49" t="str">
        <f>CONCATENATE(VLOOKUP($A73,LocalisationRemorque,6,0)," ► ",VLOOKUP($A73,LocalisationRemorque,5,0))</f>
        <v>Rochefort ► Ciney</v>
      </c>
      <c r="E73" s="54" t="str">
        <f>IF(ISBLANK(Tableau!$E$73), "LIBRE", "OCCUPÉ")</f>
        <v>LIBRE</v>
      </c>
      <c r="F73" s="52" t="str">
        <f>IF(ISBLANK(Tableau!$G$73), "LIBRE", "OCCUPÉ")</f>
        <v>LIBRE</v>
      </c>
      <c r="G73" s="52" t="str">
        <f>IF(ISBLANK(Tableau!$I$73), "LIBRE", "OCCUPÉ")</f>
        <v>LIBRE</v>
      </c>
      <c r="H73" s="54" t="str">
        <f>IF(ISBLANK(Tableau!$K$73), "LIBRE", "OCCUPÉ")</f>
        <v>LIBRE</v>
      </c>
      <c r="I73" s="52" t="str">
        <f>IF(ISBLANK(Tableau!$M$73), "LIBRE", "OCCUPÉ")</f>
        <v>LIBRE</v>
      </c>
      <c r="J73" s="54" t="str">
        <f>IF(ISBLANK(Tableau!$O$73), "LIBRE", "OCCUPÉ")</f>
        <v>LIBRE</v>
      </c>
      <c r="K73" s="54" t="str">
        <f>IF(ISBLANK(Tableau!$Q$73), "LIBRE", "OCCUPÉ")</f>
        <v>LIBRE</v>
      </c>
      <c r="L73" s="54" t="str">
        <f>IF(ISBLANK(Tableau!$S$73), "LIBRE", "OCCUPÉ")</f>
        <v>LIBRE</v>
      </c>
      <c r="M73" s="54" t="str">
        <f>IF(ISBLANK(Tableau!$U$73), "LIBRE", "OCCUPÉ")</f>
        <v>LIBRE</v>
      </c>
      <c r="N73" s="54" t="str">
        <f>IF(ISBLANK(Tableau!$W$73), "LIBRE", "OCCUPÉ")</f>
        <v>LIBRE</v>
      </c>
      <c r="O73" s="54" t="str">
        <f>IF(ISBLANK(Tableau!$Y$73), "LIBRE", "OCCUPÉ")</f>
        <v>LIBRE</v>
      </c>
      <c r="P73" s="52" t="str">
        <f>IF(ISBLANK(Tableau!$AA$73), "LIBRE", "OCCUPÉ")</f>
        <v>LIBRE</v>
      </c>
      <c r="Q73" s="54" t="str">
        <f>IF(ISBLANK(Tableau!$AC$73), "LIBRE", "OCCUPÉ")</f>
        <v>LIBRE</v>
      </c>
      <c r="R73" s="52" t="str">
        <f>IF(ISBLANK(Tableau!$AE$73), "LIBRE", "OCCUPÉ")</f>
        <v>LIBRE</v>
      </c>
      <c r="S73" s="52" t="str">
        <f>IF(ISBLANK(Tableau!$AG$73), "LIBRE", "OCCUPÉ")</f>
        <v>LIBRE</v>
      </c>
      <c r="T73" s="52" t="str">
        <f>IF(ISBLANK(Tableau!$AI$73), "LIBRE", "OCCUPÉ")</f>
        <v>LIBRE</v>
      </c>
      <c r="U73" s="52" t="str">
        <f>IF(ISBLANK(Tableau!$AK$73), "LIBRE", "OCCUPÉ")</f>
        <v>LIBRE</v>
      </c>
      <c r="V73" s="52" t="str">
        <f>IF(ISBLANK(Tableau!$AM$73), "LIBRE", "OCCUPÉ")</f>
        <v>LIBRE</v>
      </c>
      <c r="W73" s="54" t="str">
        <f>IF(ISBLANK(Tableau!$AO$73), "LIBRE", "OCCUPÉ")</f>
        <v>LIBRE</v>
      </c>
      <c r="X73" s="52" t="str">
        <f>IF(ISBLANK(Tableau!$AQ$73), "LIBRE", "OCCUPÉ")</f>
        <v>LIBRE</v>
      </c>
      <c r="Y73" s="52" t="str">
        <f>IF(ISBLANK(Tableau!$AS$73), "LIBRE", "OCCUPÉ")</f>
        <v>LIBRE</v>
      </c>
      <c r="Z73" s="52" t="str">
        <f>IF(ISBLANK(Tableau!$AU$73), "LIBRE", "OCCUPÉ")</f>
        <v>LIBRE</v>
      </c>
      <c r="AA73" s="54" t="str">
        <f>IF(ISBLANK(Tableau!$AW$73), "LIBRE", "OCCUPÉ")</f>
        <v>LIBRE</v>
      </c>
      <c r="AB73" s="76" t="str">
        <f>IF(ISBLANK(Tableau!$AY73), "LIBRE", "OCCUPÉ")</f>
        <v>LIBRE</v>
      </c>
      <c r="AC73" s="70" t="s">
        <v>17</v>
      </c>
    </row>
    <row r="74" ht="21.75" customHeight="1">
      <c r="A74" s="72">
        <f>Tableau!A74</f>
        <v>319</v>
      </c>
      <c r="B74" s="73" t="str">
        <f>VLOOKUP($A74,LocalisationRemorque,2,0)</f>
        <v>Ciney</v>
      </c>
      <c r="C74" s="74" t="str">
        <f>VLOOKUP($A74,LocalisationRemorque,3,0)</f>
        <v>Lienne Haut</v>
      </c>
      <c r="D74" s="75" t="str">
        <f>CONCATENATE(VLOOKUP($A74,LocalisationRemorque,6,0)," ► ",VLOOKUP($A74,LocalisationRemorque,5,0))</f>
        <v>Ciney ► Andenne</v>
      </c>
      <c r="E74" s="54" t="str">
        <f>IF(ISBLANK(Tableau!$E$74), "LIBRE", "OCCUPÉ")</f>
        <v>LIBRE</v>
      </c>
      <c r="F74" s="54" t="str">
        <f>IF(ISBLANK(Tableau!$G$74), "LIBRE", "OCCUPÉ")</f>
        <v>LIBRE</v>
      </c>
      <c r="G74" s="54" t="str">
        <f>IF(ISBLANK(Tableau!$I$74), "LIBRE", "OCCUPÉ")</f>
        <v>LIBRE</v>
      </c>
      <c r="H74" s="54" t="str">
        <f>IF(ISBLANK(Tableau!$K$74), "LIBRE", "OCCUPÉ")</f>
        <v>LIBRE</v>
      </c>
      <c r="I74" s="54" t="str">
        <f>IF(ISBLANK(Tableau!$M$74), "LIBRE", "OCCUPÉ")</f>
        <v>LIBRE</v>
      </c>
      <c r="J74" s="54" t="str">
        <f>IF(ISBLANK(Tableau!$O$74), "LIBRE", "OCCUPÉ")</f>
        <v>LIBRE</v>
      </c>
      <c r="K74" s="54" t="str">
        <f>IF(ISBLANK(Tableau!$Q$74), "LIBRE", "OCCUPÉ")</f>
        <v>LIBRE</v>
      </c>
      <c r="L74" s="54" t="str">
        <f>IF(ISBLANK(Tableau!$S$74), "LIBRE", "OCCUPÉ")</f>
        <v>LIBRE</v>
      </c>
      <c r="M74" s="54" t="str">
        <f>IF(ISBLANK(Tableau!$U$74), "LIBRE", "OCCUPÉ")</f>
        <v>LIBRE</v>
      </c>
      <c r="N74" s="54" t="str">
        <f>IF(ISBLANK(Tableau!$W$74), "LIBRE", "OCCUPÉ")</f>
        <v>LIBRE</v>
      </c>
      <c r="O74" s="54" t="str">
        <f>IF(ISBLANK(Tableau!$Y$74), "LIBRE", "OCCUPÉ")</f>
        <v>LIBRE</v>
      </c>
      <c r="P74" s="54" t="str">
        <f>IF(ISBLANK(Tableau!$AA$74), "LIBRE", "OCCUPÉ")</f>
        <v>LIBRE</v>
      </c>
      <c r="Q74" s="54" t="str">
        <f>IF(ISBLANK(Tableau!$AC$74), "LIBRE", "OCCUPÉ")</f>
        <v>LIBRE</v>
      </c>
      <c r="R74" s="54" t="str">
        <f>IF(ISBLANK(Tableau!$AE$74), "LIBRE", "OCCUPÉ")</f>
        <v>LIBRE</v>
      </c>
      <c r="S74" s="54" t="str">
        <f>IF(ISBLANK(Tableau!$AG$74), "LIBRE", "OCCUPÉ")</f>
        <v>LIBRE</v>
      </c>
      <c r="T74" s="54" t="str">
        <f>IF(ISBLANK(Tableau!$AI$74), "LIBRE", "OCCUPÉ")</f>
        <v>LIBRE</v>
      </c>
      <c r="U74" s="54" t="str">
        <f>IF(ISBLANK(Tableau!$AK$74), "LIBRE", "OCCUPÉ")</f>
        <v>LIBRE</v>
      </c>
      <c r="V74" s="54" t="str">
        <f>IF(ISBLANK(Tableau!$AM$74), "LIBRE", "OCCUPÉ")</f>
        <v>LIBRE</v>
      </c>
      <c r="W74" s="54" t="str">
        <f>IF(ISBLANK(Tableau!$AO$74), "LIBRE", "OCCUPÉ")</f>
        <v>LIBRE</v>
      </c>
      <c r="X74" s="54" t="str">
        <f>IF(ISBLANK(Tableau!$AQ$74), "LIBRE", "OCCUPÉ")</f>
        <v>LIBRE</v>
      </c>
      <c r="Y74" s="54" t="str">
        <f>IF(ISBLANK(Tableau!$AS$74), "LIBRE", "OCCUPÉ")</f>
        <v>LIBRE</v>
      </c>
      <c r="Z74" s="54" t="str">
        <f>IF(ISBLANK(Tableau!$AU$74), "LIBRE", "OCCUPÉ")</f>
        <v>LIBRE</v>
      </c>
      <c r="AA74" s="54" t="str">
        <f>IF(ISBLANK(Tableau!$AW$74), "LIBRE", "OCCUPÉ")</f>
        <v>LIBRE</v>
      </c>
      <c r="AB74" s="69" t="str">
        <f>IF(ISBLANK(Tableau!$AY74), "LIBRE", "OCCUPÉ")</f>
        <v>LIBRE</v>
      </c>
      <c r="AC74" s="77" t="s">
        <v>17</v>
      </c>
    </row>
    <row r="75" ht="21.75" customHeight="1">
      <c r="A75" s="40">
        <f>Tableau!A75</f>
        <v>309</v>
      </c>
      <c r="B75" s="46" t="str">
        <f>VLOOKUP($A75,LocalisationRemorque,2,0)</f>
        <v>Ciney</v>
      </c>
      <c r="C75" s="47" t="str">
        <f>VLOOKUP($A75,LocalisationRemorque,3,0)</f>
        <v>Lienne Bas</v>
      </c>
      <c r="D75" s="49" t="str">
        <f>CONCATENATE(VLOOKUP($A75,LocalisationRemorque,6,0)," ► ",VLOOKUP($A75,LocalisationRemorque,5,0))</f>
        <v>Andenne ► Ciney Centre</v>
      </c>
      <c r="E75" s="54" t="str">
        <f>IF(ISBLANK(Tableau!$E$75), "LIBRE", "OCCUPÉ")</f>
        <v>LIBRE</v>
      </c>
      <c r="F75" s="54" t="str">
        <f>IF(ISBLANK(Tableau!$G$75), "LIBRE", "OCCUPÉ")</f>
        <v>LIBRE</v>
      </c>
      <c r="G75" s="54" t="str">
        <f>IF(ISBLANK(Tableau!$I$75), "LIBRE", "OCCUPÉ")</f>
        <v>LIBRE</v>
      </c>
      <c r="H75" s="52" t="str">
        <f>IF(ISBLANK(Tableau!$K$75), "LIBRE", "OCCUPÉ")</f>
        <v>LIBRE</v>
      </c>
      <c r="I75" s="54" t="str">
        <f>IF(ISBLANK(Tableau!$M$75), "LIBRE", "OCCUPÉ")</f>
        <v>LIBRE</v>
      </c>
      <c r="J75" s="54" t="str">
        <f>IF(ISBLANK(Tableau!$O$75), "LIBRE", "OCCUPÉ")</f>
        <v>LIBRE</v>
      </c>
      <c r="K75" s="54" t="str">
        <f>IF(ISBLANK(Tableau!$Q$75), "LIBRE", "OCCUPÉ")</f>
        <v>LIBRE</v>
      </c>
      <c r="L75" s="54" t="str">
        <f>IF(ISBLANK(Tableau!$S$75), "LIBRE", "OCCUPÉ")</f>
        <v>LIBRE</v>
      </c>
      <c r="M75" s="54" t="str">
        <f>IF(ISBLANK(Tableau!$U$75), "LIBRE", "OCCUPÉ")</f>
        <v>LIBRE</v>
      </c>
      <c r="N75" s="54" t="str">
        <f>IF(ISBLANK(Tableau!$W$75), "LIBRE", "OCCUPÉ")</f>
        <v>LIBRE</v>
      </c>
      <c r="O75" s="54" t="str">
        <f>IF(ISBLANK(Tableau!$Y$75), "LIBRE", "OCCUPÉ")</f>
        <v>LIBRE</v>
      </c>
      <c r="P75" s="54" t="str">
        <f>IF(ISBLANK(Tableau!$AA$75), "LIBRE", "OCCUPÉ")</f>
        <v>LIBRE</v>
      </c>
      <c r="Q75" s="54" t="str">
        <f>IF(ISBLANK(Tableau!$AC$75), "LIBRE", "OCCUPÉ")</f>
        <v>LIBRE</v>
      </c>
      <c r="R75" s="52" t="str">
        <f>IF(ISBLANK(Tableau!$AE$75), "LIBRE", "OCCUPÉ")</f>
        <v>LIBRE</v>
      </c>
      <c r="S75" s="52" t="str">
        <f>IF(ISBLANK(Tableau!$AG$75), "LIBRE", "OCCUPÉ")</f>
        <v>LIBRE</v>
      </c>
      <c r="T75" s="52" t="str">
        <f>IF(ISBLANK(Tableau!$AI$75), "LIBRE", "OCCUPÉ")</f>
        <v>LIBRE</v>
      </c>
      <c r="U75" s="54" t="str">
        <f>IF(ISBLANK(Tableau!$AK$75), "LIBRE", "OCCUPÉ")</f>
        <v>LIBRE</v>
      </c>
      <c r="V75" s="54" t="str">
        <f>IF(ISBLANK(Tableau!$AM$75), "LIBRE", "OCCUPÉ")</f>
        <v>LIBRE</v>
      </c>
      <c r="W75" s="54" t="str">
        <f>IF(ISBLANK(Tableau!$AO$75), "LIBRE", "OCCUPÉ")</f>
        <v>LIBRE</v>
      </c>
      <c r="X75" s="52" t="str">
        <f>IF(ISBLANK(Tableau!$AQ$75), "LIBRE", "OCCUPÉ")</f>
        <v>LIBRE</v>
      </c>
      <c r="Y75" s="54" t="str">
        <f>IF(ISBLANK(Tableau!$AS$75), "LIBRE", "OCCUPÉ")</f>
        <v>LIBRE</v>
      </c>
      <c r="Z75" s="52" t="str">
        <f>IF(ISBLANK(Tableau!$AU$75), "LIBRE", "OCCUPÉ")</f>
        <v>LIBRE</v>
      </c>
      <c r="AA75" s="52" t="str">
        <f>IF(ISBLANK(Tableau!$AW$75), "LIBRE", "OCCUPÉ")</f>
        <v>LIBRE</v>
      </c>
      <c r="AB75" s="76" t="str">
        <f>IF(ISBLANK(Tableau!$AY75), "LIBRE", "OCCUPÉ")</f>
        <v>LIBRE</v>
      </c>
      <c r="AC75" s="70" t="s">
        <v>17</v>
      </c>
    </row>
    <row r="76" ht="21.75" customHeight="1">
      <c r="A76" s="72">
        <f>Tableau!A76</f>
        <v>310</v>
      </c>
      <c r="B76" s="73" t="str">
        <f>VLOOKUP($A76,LocalisationRemorque,2,0)</f>
        <v>Ciney</v>
      </c>
      <c r="C76" s="74" t="str">
        <f>VLOOKUP($A76,LocalisationRemorque,3,0)</f>
        <v>Biron Bas</v>
      </c>
      <c r="D76" s="75" t="str">
        <f>CONCATENATE(VLOOKUP($A76,LocalisationRemorque,6,0)," ► ",VLOOKUP($A76,LocalisationRemorque,5,0))</f>
        <v>Ciney ► N4</v>
      </c>
      <c r="E76" s="54" t="str">
        <f>IF(ISBLANK(Tableau!$E$76), "LIBRE", "OCCUPÉ")</f>
        <v>LIBRE</v>
      </c>
      <c r="F76" s="52" t="str">
        <f>IF(ISBLANK(Tableau!$G$76), "LIBRE", "OCCUPÉ")</f>
        <v>LIBRE</v>
      </c>
      <c r="G76" s="54" t="str">
        <f>IF(ISBLANK(Tableau!$I$76), "LIBRE", "OCCUPÉ")</f>
        <v>LIBRE</v>
      </c>
      <c r="H76" s="54" t="str">
        <f>IF(ISBLANK(Tableau!$K$76), "LIBRE", "OCCUPÉ")</f>
        <v>LIBRE</v>
      </c>
      <c r="I76" s="54" t="str">
        <f>IF(ISBLANK(Tableau!$M$76), "LIBRE", "OCCUPÉ")</f>
        <v>LIBRE</v>
      </c>
      <c r="J76" s="54" t="str">
        <f>IF(ISBLANK(Tableau!$O$76), "LIBRE", "OCCUPÉ")</f>
        <v>LIBRE</v>
      </c>
      <c r="K76" s="54" t="str">
        <f>IF(ISBLANK(Tableau!$Q$76), "LIBRE", "OCCUPÉ")</f>
        <v>LIBRE</v>
      </c>
      <c r="L76" s="54" t="str">
        <f>IF(ISBLANK(Tableau!$S$76), "LIBRE", "OCCUPÉ")</f>
        <v>LIBRE</v>
      </c>
      <c r="M76" s="54" t="str">
        <f>IF(ISBLANK(Tableau!$U$76), "LIBRE", "OCCUPÉ")</f>
        <v>LIBRE</v>
      </c>
      <c r="N76" s="54" t="str">
        <f>IF(ISBLANK(Tableau!$W$76), "LIBRE", "OCCUPÉ")</f>
        <v>LIBRE</v>
      </c>
      <c r="O76" s="54" t="str">
        <f>IF(ISBLANK(Tableau!$Y$76), "LIBRE", "OCCUPÉ")</f>
        <v>LIBRE</v>
      </c>
      <c r="P76" s="54" t="str">
        <f>IF(ISBLANK(Tableau!$AA$76), "LIBRE", "OCCUPÉ")</f>
        <v>LIBRE</v>
      </c>
      <c r="Q76" s="52" t="str">
        <f>IF(ISBLANK(Tableau!$AC$76), "LIBRE", "OCCUPÉ")</f>
        <v>LIBRE</v>
      </c>
      <c r="R76" s="52" t="str">
        <f>IF(ISBLANK(Tableau!$AE$76), "LIBRE", "OCCUPÉ")</f>
        <v>LIBRE</v>
      </c>
      <c r="S76" s="52" t="str">
        <f>IF(ISBLANK(Tableau!$AG$76), "LIBRE", "OCCUPÉ")</f>
        <v>LIBRE</v>
      </c>
      <c r="T76" s="52" t="str">
        <f>IF(ISBLANK(Tableau!$AI$76), "LIBRE", "OCCUPÉ")</f>
        <v>LIBRE</v>
      </c>
      <c r="U76" s="54" t="str">
        <f>IF(ISBLANK(Tableau!$AK$76), "LIBRE", "OCCUPÉ")</f>
        <v>LIBRE</v>
      </c>
      <c r="V76" s="52" t="str">
        <f>IF(ISBLANK(Tableau!$AM$76), "LIBRE", "OCCUPÉ")</f>
        <v>OCCUPÉ</v>
      </c>
      <c r="W76" s="54" t="str">
        <f>IF(ISBLANK(Tableau!$AO$76), "LIBRE", "OCCUPÉ")</f>
        <v>LIBRE</v>
      </c>
      <c r="X76" s="54" t="str">
        <f>IF(ISBLANK(Tableau!$AQ$76), "LIBRE", "OCCUPÉ")</f>
        <v>LIBRE</v>
      </c>
      <c r="Y76" s="52" t="str">
        <f>IF(ISBLANK(Tableau!$AS$76), "LIBRE", "OCCUPÉ")</f>
        <v>LIBRE</v>
      </c>
      <c r="Z76" s="52" t="str">
        <f>IF(ISBLANK(Tableau!$AU$76), "LIBRE", "OCCUPÉ")</f>
        <v>LIBRE</v>
      </c>
      <c r="AA76" s="52" t="str">
        <f>IF(ISBLANK(Tableau!$AW$76), "LIBRE", "OCCUPÉ")</f>
        <v>LIBRE</v>
      </c>
      <c r="AB76" s="76" t="str">
        <f>IF(ISBLANK(Tableau!$AY76), "LIBRE", "OCCUPÉ")</f>
        <v>LIBRE</v>
      </c>
      <c r="AC76" s="77" t="s">
        <v>17</v>
      </c>
    </row>
    <row r="77" ht="21.75" customHeight="1">
      <c r="A77" s="40">
        <f>Tableau!A77</f>
        <v>311</v>
      </c>
      <c r="B77" s="46" t="str">
        <f>VLOOKUP($A77,LocalisationRemorque,2,0)</f>
        <v>Ciney</v>
      </c>
      <c r="C77" s="47" t="str">
        <f>VLOOKUP($A77,LocalisationRemorque,3,0)</f>
        <v>N4 Sanseau</v>
      </c>
      <c r="D77" s="49" t="str">
        <f>CONCATENATE(VLOOKUP($A77,LocalisationRemorque,6,0)," ► ",VLOOKUP($A77,LocalisationRemorque,5,0))</f>
        <v>Namur ► Marche-en-Famenne</v>
      </c>
      <c r="E77" s="54" t="str">
        <f>IF(ISBLANK(Tableau!$E$77), "LIBRE", "OCCUPÉ")</f>
        <v>LIBRE</v>
      </c>
      <c r="F77" s="54" t="str">
        <f>IF(ISBLANK(Tableau!$G$77), "LIBRE", "OCCUPÉ")</f>
        <v>LIBRE</v>
      </c>
      <c r="G77" s="54" t="str">
        <f>IF(ISBLANK(Tableau!$I$77), "LIBRE", "OCCUPÉ")</f>
        <v>LIBRE</v>
      </c>
      <c r="H77" s="54" t="str">
        <f>IF(ISBLANK(Tableau!$K$77), "LIBRE", "OCCUPÉ")</f>
        <v>LIBRE</v>
      </c>
      <c r="I77" s="52" t="str">
        <f>IF(ISBLANK(Tableau!$M$77), "LIBRE", "OCCUPÉ")</f>
        <v>LIBRE</v>
      </c>
      <c r="J77" s="54" t="str">
        <f>IF(ISBLANK(Tableau!$O$77), "LIBRE", "OCCUPÉ")</f>
        <v>LIBRE</v>
      </c>
      <c r="K77" s="54" t="str">
        <f>IF(ISBLANK(Tableau!$Q$77), "LIBRE", "OCCUPÉ")</f>
        <v>OCCUPÉ</v>
      </c>
      <c r="L77" s="54" t="str">
        <f>IF(ISBLANK(Tableau!$S$77), "LIBRE", "OCCUPÉ")</f>
        <v>LIBRE</v>
      </c>
      <c r="M77" s="54" t="str">
        <f>IF(ISBLANK(Tableau!$U$77), "LIBRE", "OCCUPÉ")</f>
        <v>LIBRE</v>
      </c>
      <c r="N77" s="54" t="str">
        <f>IF(ISBLANK(Tableau!$W$77), "LIBRE", "OCCUPÉ")</f>
        <v>LIBRE</v>
      </c>
      <c r="O77" s="54" t="str">
        <f>IF(ISBLANK(Tableau!$Y$77), "LIBRE", "OCCUPÉ")</f>
        <v>OCCUPÉ</v>
      </c>
      <c r="P77" s="52" t="str">
        <f>IF(ISBLANK(Tableau!$AA$77), "LIBRE", "OCCUPÉ")</f>
        <v>LIBRE</v>
      </c>
      <c r="Q77" s="54" t="str">
        <f>IF(ISBLANK(Tableau!$AC$77), "LIBRE", "OCCUPÉ")</f>
        <v>LIBRE</v>
      </c>
      <c r="R77" s="52" t="str">
        <f>IF(ISBLANK(Tableau!$AE$77), "LIBRE", "OCCUPÉ")</f>
        <v>LIBRE</v>
      </c>
      <c r="S77" s="52" t="str">
        <f>IF(ISBLANK(Tableau!$AG$77), "LIBRE", "OCCUPÉ")</f>
        <v>LIBRE</v>
      </c>
      <c r="T77" s="52" t="str">
        <f>IF(ISBLANK(Tableau!$AI$77), "LIBRE", "OCCUPÉ")</f>
        <v>LIBRE</v>
      </c>
      <c r="U77" s="52" t="str">
        <f>IF(ISBLANK(Tableau!$AK$77), "LIBRE", "OCCUPÉ")</f>
        <v>LIBRE</v>
      </c>
      <c r="V77" s="52" t="str">
        <f>IF(ISBLANK(Tableau!$AM$77), "LIBRE", "OCCUPÉ")</f>
        <v>LIBRE</v>
      </c>
      <c r="W77" s="52" t="str">
        <f>IF(ISBLANK(Tableau!$AO$77), "LIBRE", "OCCUPÉ")</f>
        <v>LIBRE</v>
      </c>
      <c r="X77" s="52" t="str">
        <f>IF(ISBLANK(Tableau!$AQ$77), "LIBRE", "OCCUPÉ")</f>
        <v>LIBRE</v>
      </c>
      <c r="Y77" s="52" t="str">
        <f>IF(ISBLANK(Tableau!$AS$77), "LIBRE", "OCCUPÉ")</f>
        <v>OCCUPÉ</v>
      </c>
      <c r="Z77" s="52" t="str">
        <f>IF(ISBLANK(Tableau!$AU$77), "LIBRE", "OCCUPÉ")</f>
        <v>LIBRE</v>
      </c>
      <c r="AA77" s="52" t="str">
        <f>IF(ISBLANK(Tableau!$AW$77), "LIBRE", "OCCUPÉ")</f>
        <v>LIBRE</v>
      </c>
      <c r="AB77" s="76" t="str">
        <f>IF(ISBLANK(Tableau!$AY77), "LIBRE", "OCCUPÉ")</f>
        <v>LIBRE</v>
      </c>
      <c r="AC77" s="70" t="s">
        <v>17</v>
      </c>
    </row>
    <row r="78" ht="21.75" customHeight="1">
      <c r="A78" s="72">
        <f>Tableau!A78</f>
        <v>312</v>
      </c>
      <c r="B78" s="73" t="str">
        <f>VLOOKUP($A78,LocalisationRemorque,2,0)</f>
        <v>Dinant</v>
      </c>
      <c r="C78" s="74" t="str">
        <f>VLOOKUP($A78,LocalisationRemorque,3,0)</f>
        <v>Sorinnes Achêne</v>
      </c>
      <c r="D78" s="75" t="str">
        <f>CONCATENATE(VLOOKUP($A78,LocalisationRemorque,6,0)," ► ",VLOOKUP($A78,LocalisationRemorque,5,0))</f>
        <v>Dinant ► Ciney</v>
      </c>
      <c r="E78" s="54" t="str">
        <f>IF(ISBLANK(Tableau!$E$78), "LIBRE", "OCCUPÉ")</f>
        <v>LIBRE</v>
      </c>
      <c r="F78" s="54" t="str">
        <f>IF(ISBLANK(Tableau!$G$78), "LIBRE", "OCCUPÉ")</f>
        <v>LIBRE</v>
      </c>
      <c r="G78" s="54" t="str">
        <f>IF(ISBLANK(Tableau!$I$78), "LIBRE", "OCCUPÉ")</f>
        <v>LIBRE</v>
      </c>
      <c r="H78" s="52" t="str">
        <f>IF(ISBLANK(Tableau!$K$78), "LIBRE", "OCCUPÉ")</f>
        <v>LIBRE</v>
      </c>
      <c r="I78" s="54" t="str">
        <f>IF(ISBLANK(Tableau!$M$78), "LIBRE", "OCCUPÉ")</f>
        <v>LIBRE</v>
      </c>
      <c r="J78" s="54" t="str">
        <f>IF(ISBLANK(Tableau!$M$78), "LIBRE", "OCCUPÉ")</f>
        <v>LIBRE</v>
      </c>
      <c r="K78" s="54" t="str">
        <f>IF(ISBLANK(Tableau!$Q$78), "LIBRE", "OCCUPÉ")</f>
        <v>LIBRE</v>
      </c>
      <c r="L78" s="54" t="str">
        <f>IF(ISBLANK(Tableau!$S$78), "LIBRE", "OCCUPÉ")</f>
        <v>LIBRE</v>
      </c>
      <c r="M78" s="54" t="str">
        <f>IF(ISBLANK(Tableau!$U$78), "LIBRE", "OCCUPÉ")</f>
        <v>LIBRE</v>
      </c>
      <c r="N78" s="54" t="str">
        <f>IF(ISBLANK(Tableau!$W$78), "LIBRE", "OCCUPÉ")</f>
        <v>LIBRE</v>
      </c>
      <c r="O78" s="54" t="str">
        <f>IF(ISBLANK(Tableau!$Y$78), "LIBRE", "OCCUPÉ")</f>
        <v>LIBRE</v>
      </c>
      <c r="P78" s="54" t="str">
        <f>IF(ISBLANK(Tableau!$AA$78), "LIBRE", "OCCUPÉ")</f>
        <v>LIBRE</v>
      </c>
      <c r="Q78" s="52" t="str">
        <f>IF(ISBLANK(Tableau!$AC$78), "LIBRE", "OCCUPÉ")</f>
        <v>LIBRE</v>
      </c>
      <c r="R78" s="52" t="str">
        <f>IF(ISBLANK(Tableau!$AE$78), "LIBRE", "OCCUPÉ")</f>
        <v>LIBRE</v>
      </c>
      <c r="S78" s="52" t="str">
        <f>IF(ISBLANK(Tableau!$AG$78), "LIBRE", "OCCUPÉ")</f>
        <v>LIBRE</v>
      </c>
      <c r="T78" s="52" t="str">
        <f>IF(ISBLANK(Tableau!$AI$78), "LIBRE", "OCCUPÉ")</f>
        <v>LIBRE</v>
      </c>
      <c r="U78" s="54" t="str">
        <f>IF(ISBLANK(Tableau!$AK$78), "LIBRE", "OCCUPÉ")</f>
        <v>LIBRE</v>
      </c>
      <c r="V78" s="52" t="str">
        <f>IF(ISBLANK(Tableau!$AM$78), "LIBRE", "OCCUPÉ")</f>
        <v>LIBRE</v>
      </c>
      <c r="W78" s="52" t="str">
        <f>IF(ISBLANK(Tableau!$AO$78), "LIBRE", "OCCUPÉ")</f>
        <v>LIBRE</v>
      </c>
      <c r="X78" s="52" t="str">
        <f>IF(ISBLANK(Tableau!$AQ$78), "LIBRE", "OCCUPÉ")</f>
        <v>LIBRE</v>
      </c>
      <c r="Y78" s="52" t="str">
        <f>IF(ISBLANK(Tableau!$AS$78), "LIBRE", "OCCUPÉ")</f>
        <v>LIBRE</v>
      </c>
      <c r="Z78" s="54" t="str">
        <f>IF(ISBLANK(Tableau!$AU$78), "LIBRE", "OCCUPÉ")</f>
        <v>LIBRE</v>
      </c>
      <c r="AA78" s="52" t="str">
        <f>IF(ISBLANK(Tableau!$AW$78), "LIBRE", "OCCUPÉ")</f>
        <v>LIBRE</v>
      </c>
      <c r="AB78" s="76" t="str">
        <f>IF(ISBLANK(Tableau!$AY78), "LIBRE", "OCCUPÉ")</f>
        <v>LIBRE</v>
      </c>
      <c r="AC78" s="77" t="s">
        <v>17</v>
      </c>
    </row>
    <row r="79" ht="21.75" customHeight="1">
      <c r="A79" s="40">
        <f>Tableau!A79</f>
        <v>313</v>
      </c>
      <c r="B79" s="46" t="str">
        <f>VLOOKUP($A79,LocalisationRemorque,2,0)</f>
        <v>Dinant</v>
      </c>
      <c r="C79" s="47" t="str">
        <f>VLOOKUP($A79,LocalisationRemorque,3,0)</f>
        <v>Sorinnes Hopital</v>
      </c>
      <c r="D79" s="49" t="str">
        <f>CONCATENATE(VLOOKUP($A79,LocalisationRemorque,6,0)," ► ",VLOOKUP($A79,LocalisationRemorque,5,0))</f>
        <v>Ciney ► Dinant</v>
      </c>
      <c r="E79" s="54" t="str">
        <f>IF(ISBLANK(Tableau!$E$79), "LIBRE", "OCCUPÉ")</f>
        <v>LIBRE</v>
      </c>
      <c r="F79" s="54" t="str">
        <f>IF(ISBLANK(Tableau!$G$79), "LIBRE", "OCCUPÉ")</f>
        <v>LIBRE</v>
      </c>
      <c r="G79" s="54" t="str">
        <f>IF(ISBLANK(Tableau!$I$79), "LIBRE", "OCCUPÉ")</f>
        <v>LIBRE</v>
      </c>
      <c r="H79" s="54" t="str">
        <f>IF(ISBLANK(Tableau!$K$79), "LIBRE", "OCCUPÉ")</f>
        <v>LIBRE</v>
      </c>
      <c r="I79" s="54" t="str">
        <f>IF(ISBLANK(Tableau!$M$77), "LIBRE", "OCCUPÉ")</f>
        <v>LIBRE</v>
      </c>
      <c r="J79" s="54" t="str">
        <f>IF(ISBLANK(Tableau!$O$79), "LIBRE", "OCCUPÉ")</f>
        <v>LIBRE</v>
      </c>
      <c r="K79" s="54" t="str">
        <f>IF(ISBLANK(Tableau!$Q$79), "LIBRE", "OCCUPÉ")</f>
        <v>LIBRE</v>
      </c>
      <c r="L79" s="54" t="str">
        <f>IF(ISBLANK(Tableau!$S$79), "LIBRE", "OCCUPÉ")</f>
        <v>LIBRE</v>
      </c>
      <c r="M79" s="54" t="str">
        <f>IF(ISBLANK(Tableau!$U$79), "LIBRE", "OCCUPÉ")</f>
        <v>LIBRE</v>
      </c>
      <c r="N79" s="54" t="str">
        <f>IF(ISBLANK(Tableau!$W$79), "LIBRE", "OCCUPÉ")</f>
        <v>LIBRE</v>
      </c>
      <c r="O79" s="54" t="str">
        <f>IF(ISBLANK(Tableau!$Y$79), "LIBRE", "OCCUPÉ")</f>
        <v>LIBRE</v>
      </c>
      <c r="P79" s="54" t="str">
        <f>IF(ISBLANK(Tableau!$AA$79), "LIBRE", "OCCUPÉ")</f>
        <v>LIBRE</v>
      </c>
      <c r="Q79" s="54" t="str">
        <f>IF(ISBLANK(Tableau!$AC$79), "LIBRE", "OCCUPÉ")</f>
        <v>LIBRE</v>
      </c>
      <c r="R79" s="52" t="str">
        <f>IF(ISBLANK(Tableau!$AE$79), "LIBRE", "OCCUPÉ")</f>
        <v>LIBRE</v>
      </c>
      <c r="S79" s="54" t="str">
        <f>IF(ISBLANK(Tableau!$AG$79), "LIBRE", "OCCUPÉ")</f>
        <v>LIBRE</v>
      </c>
      <c r="T79" s="52" t="str">
        <f>IF(ISBLANK(Tableau!$AI$79), "LIBRE", "OCCUPÉ")</f>
        <v>LIBRE</v>
      </c>
      <c r="U79" s="54" t="str">
        <f>IF(ISBLANK(Tableau!$AK$79), "LIBRE", "OCCUPÉ")</f>
        <v>LIBRE</v>
      </c>
      <c r="V79" s="52" t="str">
        <f>IF(ISBLANK(Tableau!$AM$79), "LIBRE", "OCCUPÉ")</f>
        <v>LIBRE</v>
      </c>
      <c r="W79" s="54" t="str">
        <f>IF(ISBLANK(Tableau!$AO$79), "LIBRE", "OCCUPÉ")</f>
        <v>LIBRE</v>
      </c>
      <c r="X79" s="54" t="str">
        <f>IF(ISBLANK(Tableau!$AQ$79), "LIBRE", "OCCUPÉ")</f>
        <v>LIBRE</v>
      </c>
      <c r="Y79" s="52" t="str">
        <f>IF(ISBLANK(Tableau!$AS$79), "LIBRE", "OCCUPÉ")</f>
        <v>LIBRE</v>
      </c>
      <c r="Z79" s="52" t="str">
        <f>IF(ISBLANK(Tableau!$AU$79), "LIBRE", "OCCUPÉ")</f>
        <v>LIBRE</v>
      </c>
      <c r="AA79" s="52" t="str">
        <f>IF(ISBLANK(Tableau!$AW$79), "LIBRE", "OCCUPÉ")</f>
        <v>LIBRE</v>
      </c>
      <c r="AB79" s="76" t="str">
        <f>IF(ISBLANK(Tableau!$AY79), "LIBRE", "OCCUPÉ")</f>
        <v>LIBRE</v>
      </c>
      <c r="AC79" s="70" t="s">
        <v>17</v>
      </c>
    </row>
    <row r="80" ht="21.75" customHeight="1">
      <c r="A80" s="72">
        <f>Tableau!A80</f>
        <v>314</v>
      </c>
      <c r="B80" s="73" t="str">
        <f>VLOOKUP($A80,LocalisationRemorque,2,0)</f>
        <v>Dinant</v>
      </c>
      <c r="C80" s="74" t="str">
        <f>VLOOKUP($A80,LocalisationRemorque,3,0)</f>
        <v>Sorinnes Hopital 2</v>
      </c>
      <c r="D80" s="75" t="str">
        <f>CONCATENATE(VLOOKUP($A80,LocalisationRemorque,6,0)," ► ",VLOOKUP($A80,LocalisationRemorque,5,0))</f>
        <v>Ciney ► Dinant</v>
      </c>
      <c r="E80" s="54" t="str">
        <f>IF(ISBLANK(Tableau!$E$80), "LIBRE", "OCCUPÉ")</f>
        <v>LIBRE</v>
      </c>
      <c r="F80" s="54" t="str">
        <f>IF(ISBLANK(Tableau!$G$80), "LIBRE", "OCCUPÉ")</f>
        <v>LIBRE</v>
      </c>
      <c r="G80" s="54" t="str">
        <f>IF(ISBLANK(Tableau!$I$80), "LIBRE", "OCCUPÉ")</f>
        <v>LIBRE</v>
      </c>
      <c r="H80" s="52" t="str">
        <f>IF(ISBLANK(Tableau!$K$80), "LIBRE", "OCCUPÉ")</f>
        <v>LIBRE</v>
      </c>
      <c r="I80" s="54" t="str">
        <f>IF(ISBLANK(Tableau!$M$80), "LIBRE", "OCCUPÉ")</f>
        <v>LIBRE</v>
      </c>
      <c r="J80" s="52" t="str">
        <f>IF(ISBLANK(Tableau!$O$80), "LIBRE", "OCCUPÉ")</f>
        <v>LIBRE</v>
      </c>
      <c r="K80" s="54" t="str">
        <f>IF(ISBLANK(Tableau!$Q$80), "LIBRE", "OCCUPÉ")</f>
        <v>LIBRE</v>
      </c>
      <c r="L80" s="52" t="str">
        <f>IF(ISBLANK(Tableau!$S$80), "LIBRE", "OCCUPÉ")</f>
        <v>LIBRE</v>
      </c>
      <c r="M80" s="54" t="str">
        <f>IF(ISBLANK(Tableau!$U$80), "LIBRE", "OCCUPÉ")</f>
        <v>LIBRE</v>
      </c>
      <c r="N80" s="52" t="str">
        <f>IF(ISBLANK(Tableau!$W$80), "LIBRE", "OCCUPÉ")</f>
        <v>LIBRE</v>
      </c>
      <c r="O80" s="54" t="str">
        <f>IF(ISBLANK(Tableau!$Y$80), "LIBRE", "OCCUPÉ")</f>
        <v>LIBRE</v>
      </c>
      <c r="P80" s="52" t="str">
        <f>IF(ISBLANK(Tableau!$AA$80), "LIBRE", "OCCUPÉ")</f>
        <v>LIBRE</v>
      </c>
      <c r="Q80" s="54" t="str">
        <f>IF(ISBLANK(Tableau!$AC$80), "LIBRE", "OCCUPÉ")</f>
        <v>LIBRE</v>
      </c>
      <c r="R80" s="52" t="str">
        <f>IF(ISBLANK(Tableau!$AE$80), "LIBRE", "OCCUPÉ")</f>
        <v>LIBRE</v>
      </c>
      <c r="S80" s="54" t="str">
        <f>IF(ISBLANK(Tableau!$AG$80), "LIBRE", "OCCUPÉ")</f>
        <v>LIBRE</v>
      </c>
      <c r="T80" s="52" t="str">
        <f>IF(ISBLANK(Tableau!$AI$80), "LIBRE", "OCCUPÉ")</f>
        <v>LIBRE</v>
      </c>
      <c r="U80" s="52" t="str">
        <f>IF(ISBLANK(Tableau!$AK$80), "LIBRE", "OCCUPÉ")</f>
        <v>LIBRE</v>
      </c>
      <c r="V80" s="52" t="str">
        <f>IF(ISBLANK(Tableau!$AM$80), "LIBRE", "OCCUPÉ")</f>
        <v>LIBRE</v>
      </c>
      <c r="W80" s="54" t="str">
        <f>IF(ISBLANK(Tableau!$AO$80), "LIBRE", "OCCUPÉ")</f>
        <v>LIBRE</v>
      </c>
      <c r="X80" s="52" t="str">
        <f>IF(ISBLANK(Tableau!$AQ$80), "LIBRE", "OCCUPÉ")</f>
        <v>LIBRE</v>
      </c>
      <c r="Y80" s="54" t="str">
        <f>IF(ISBLANK(Tableau!$AS$80), "LIBRE", "OCCUPÉ")</f>
        <v>LIBRE</v>
      </c>
      <c r="Z80" s="52" t="str">
        <f>IF(ISBLANK(Tableau!$AU$80), "LIBRE", "OCCUPÉ")</f>
        <v>LIBRE</v>
      </c>
      <c r="AA80" s="52" t="str">
        <f>IF(ISBLANK(Tableau!$AW$80), "LIBRE", "OCCUPÉ")</f>
        <v>LIBRE</v>
      </c>
      <c r="AB80" s="76" t="str">
        <f>IF(ISBLANK(Tableau!$AY80), "LIBRE", "OCCUPÉ")</f>
        <v>LIBRE</v>
      </c>
      <c r="AC80" s="77" t="s">
        <v>17</v>
      </c>
    </row>
    <row r="81" ht="21.75" customHeight="1">
      <c r="A81" s="40">
        <f>Tableau!A81</f>
        <v>315</v>
      </c>
      <c r="B81" s="46" t="str">
        <f>VLOOKUP($A81,LocalisationRemorque,2,0)</f>
        <v>Dinant</v>
      </c>
      <c r="C81" s="47" t="str">
        <f>VLOOKUP($A81,LocalisationRemorque,3,0)</f>
        <v>Anhée</v>
      </c>
      <c r="D81" s="49" t="str">
        <f>CONCATENATE(VLOOKUP($A81,LocalisationRemorque,6,0)," ► ",VLOOKUP($A81,LocalisationRemorque,5,0))</f>
        <v>Namur ► Dinant</v>
      </c>
      <c r="E81" s="52" t="str">
        <f>IF(ISBLANK(Tableau!$E$81), "LIBRE", "OCCUPÉ")</f>
        <v>LIBRE</v>
      </c>
      <c r="F81" s="54" t="str">
        <f>IF(ISBLANK(Tableau!$G$81), "LIBRE", "OCCUPÉ")</f>
        <v>LIBRE</v>
      </c>
      <c r="G81" s="52" t="str">
        <f>IF(ISBLANK(Tableau!$I$81), "LIBRE", "OCCUPÉ")</f>
        <v>LIBRE</v>
      </c>
      <c r="H81" s="52" t="str">
        <f>IF(ISBLANK(Tableau!$K$81), "LIBRE", "OCCUPÉ")</f>
        <v>LIBRE</v>
      </c>
      <c r="I81" s="54" t="str">
        <f>IF(ISBLANK(Tableau!$M$81), "LIBRE", "OCCUPÉ")</f>
        <v>LIBRE</v>
      </c>
      <c r="J81" s="54" t="str">
        <f>IF(ISBLANK(Tableau!$O$81), "LIBRE", "OCCUPÉ")</f>
        <v>LIBRE</v>
      </c>
      <c r="K81" s="54" t="str">
        <f>IF(ISBLANK(Tableau!$Q$81), "LIBRE", "OCCUPÉ")</f>
        <v>LIBRE</v>
      </c>
      <c r="L81" s="54" t="str">
        <f>IF(ISBLANK(Tableau!$S$81), "LIBRE", "OCCUPÉ")</f>
        <v>LIBRE</v>
      </c>
      <c r="M81" s="54" t="str">
        <f>IF(ISBLANK(Tableau!$U$105), "LIBRE", "OCCUPÉ")</f>
        <v>OCCUPÉ</v>
      </c>
      <c r="N81" s="54" t="str">
        <f>IF(ISBLANK(Tableau!$W$81), "LIBRE", "OCCUPÉ")</f>
        <v>LIBRE</v>
      </c>
      <c r="O81" s="54" t="str">
        <f>IF(ISBLANK(Tableau!$Y$81), "LIBRE", "OCCUPÉ")</f>
        <v>LIBRE</v>
      </c>
      <c r="P81" s="52" t="str">
        <f>IF(ISBLANK(Tableau!$AA$81), "LIBRE", "OCCUPÉ")</f>
        <v>LIBRE</v>
      </c>
      <c r="Q81" s="54" t="str">
        <f>IF(ISBLANK(Tableau!$AC$81), "LIBRE", "OCCUPÉ")</f>
        <v>LIBRE</v>
      </c>
      <c r="R81" s="52" t="str">
        <f>IF(ISBLANK(Tableau!$AE$81), "LIBRE", "OCCUPÉ")</f>
        <v>LIBRE</v>
      </c>
      <c r="S81" s="54" t="str">
        <f>IF(ISBLANK(Tableau!$AG$81), "LIBRE", "OCCUPÉ")</f>
        <v>LIBRE</v>
      </c>
      <c r="T81" s="52" t="str">
        <f>IF(ISBLANK(Tableau!$AI$81), "LIBRE", "OCCUPÉ")</f>
        <v>LIBRE</v>
      </c>
      <c r="U81" s="54" t="str">
        <f>IF(ISBLANK(Tableau!$AK$81), "LIBRE", "OCCUPÉ")</f>
        <v>LIBRE</v>
      </c>
      <c r="V81" s="52" t="str">
        <f>IF(ISBLANK(Tableau!$AM$81), "LIBRE", "OCCUPÉ")</f>
        <v>LIBRE</v>
      </c>
      <c r="W81" s="54" t="str">
        <f>IF(ISBLANK(Tableau!$AO$81), "LIBRE", "OCCUPÉ")</f>
        <v>LIBRE</v>
      </c>
      <c r="X81" s="52" t="str">
        <f>IF(ISBLANK(Tableau!$AQ$81), "LIBRE", "OCCUPÉ")</f>
        <v>LIBRE</v>
      </c>
      <c r="Y81" s="52" t="str">
        <f>IF(ISBLANK(Tableau!$AS$81), "LIBRE", "OCCUPÉ")</f>
        <v>LIBRE</v>
      </c>
      <c r="Z81" s="52" t="str">
        <f>IF(ISBLANK(Tableau!$AU$81), "LIBRE", "OCCUPÉ")</f>
        <v>LIBRE</v>
      </c>
      <c r="AA81" s="54" t="str">
        <f>IF(ISBLANK(Tableau!$AW$81), "LIBRE", "OCCUPÉ")</f>
        <v>LIBRE</v>
      </c>
      <c r="AB81" s="76" t="str">
        <f>IF(ISBLANK(Tableau!$AY81), "LIBRE", "OCCUPÉ")</f>
        <v>LIBRE</v>
      </c>
      <c r="AC81" s="70" t="s">
        <v>17</v>
      </c>
    </row>
    <row r="82" ht="21.75" customHeight="1">
      <c r="A82" s="72">
        <f>Tableau!A82</f>
        <v>316</v>
      </c>
      <c r="B82" s="73" t="str">
        <f>VLOOKUP($A82,LocalisationRemorque,2,0)</f>
        <v>Dinant</v>
      </c>
      <c r="C82" s="74" t="str">
        <f>VLOOKUP($A82,LocalisationRemorque,3,0)</f>
        <v>Falmignoul</v>
      </c>
      <c r="D82" s="75" t="str">
        <f>CONCATENATE(VLOOKUP($A82,LocalisationRemorque,6,0)," ► ",VLOOKUP($A82,LocalisationRemorque,5,0))</f>
        <v>Dinant ► Beauraing</v>
      </c>
      <c r="E82" s="52" t="str">
        <f>IF(ISBLANK(Tableau!$E$82), "LIBRE", "OCCUPÉ")</f>
        <v>LIBRE</v>
      </c>
      <c r="F82" s="52" t="str">
        <f>IF(ISBLANK(Tableau!$G$82), "LIBRE", "OCCUPÉ")</f>
        <v>LIBRE</v>
      </c>
      <c r="G82" s="54" t="str">
        <f>IF(ISBLANK(Tableau!$I$82), "LIBRE", "OCCUPÉ")</f>
        <v>LIBRE</v>
      </c>
      <c r="H82" s="54" t="str">
        <f>IF(ISBLANK(Tableau!$K$82), "LIBRE", "OCCUPÉ")</f>
        <v>LIBRE</v>
      </c>
      <c r="I82" s="52" t="str">
        <f>IF(ISBLANK(Tableau!$M$82), "LIBRE", "OCCUPÉ")</f>
        <v>LIBRE</v>
      </c>
      <c r="J82" s="54" t="str">
        <f>IF(ISBLANK(Tableau!$O$82), "LIBRE", "OCCUPÉ")</f>
        <v>LIBRE</v>
      </c>
      <c r="K82" s="54" t="str">
        <f>IF(ISBLANK(Tableau!$Q$82), "LIBRE", "OCCUPÉ")</f>
        <v>LIBRE</v>
      </c>
      <c r="L82" s="52" t="str">
        <f>IF(ISBLANK(Tableau!$S$82), "LIBRE", "OCCUPÉ")</f>
        <v>LIBRE</v>
      </c>
      <c r="M82" s="54" t="str">
        <f>IF(ISBLANK(Tableau!$U$82), "LIBRE", "OCCUPÉ")</f>
        <v>LIBRE</v>
      </c>
      <c r="N82" s="54" t="str">
        <f>IF(ISBLANK(Tableau!$W$82), "LIBRE", "OCCUPÉ")</f>
        <v>LIBRE</v>
      </c>
      <c r="O82" s="52" t="str">
        <f>IF(ISBLANK(Tableau!$Y$82), "LIBRE", "OCCUPÉ")</f>
        <v>LIBRE</v>
      </c>
      <c r="P82" s="52" t="str">
        <f>IF(ISBLANK(Tableau!$AA$82), "LIBRE", "OCCUPÉ")</f>
        <v>LIBRE</v>
      </c>
      <c r="Q82" s="52" t="str">
        <f>IF(ISBLANK(Tableau!$AC$82), "LIBRE", "OCCUPÉ")</f>
        <v>LIBRE</v>
      </c>
      <c r="R82" s="52" t="str">
        <f>IF(ISBLANK(Tableau!$AE$82), "LIBRE", "OCCUPÉ")</f>
        <v>LIBRE</v>
      </c>
      <c r="S82" s="52" t="str">
        <f>IF(ISBLANK(Tableau!$AG$82), "LIBRE", "OCCUPÉ")</f>
        <v>LIBRE</v>
      </c>
      <c r="T82" s="54" t="str">
        <f>IF(ISBLANK(Tableau!$AI$82), "LIBRE", "OCCUPÉ")</f>
        <v>LIBRE</v>
      </c>
      <c r="U82" s="52" t="str">
        <f>IF(ISBLANK(Tableau!$AK$82), "LIBRE", "OCCUPÉ")</f>
        <v>LIBRE</v>
      </c>
      <c r="V82" s="52" t="str">
        <f>IF(ISBLANK(Tableau!$AM$82), "LIBRE", "OCCUPÉ")</f>
        <v>LIBRE</v>
      </c>
      <c r="W82" s="52" t="str">
        <f>IF(ISBLANK(Tableau!$AO$82), "LIBRE", "OCCUPÉ")</f>
        <v>LIBRE</v>
      </c>
      <c r="X82" s="54" t="str">
        <f>IF(ISBLANK(Tableau!$AQ$82), "LIBRE", "OCCUPÉ")</f>
        <v>LIBRE</v>
      </c>
      <c r="Y82" s="54" t="str">
        <f>IF(ISBLANK(Tableau!$AS$82), "LIBRE", "OCCUPÉ")</f>
        <v>LIBRE</v>
      </c>
      <c r="Z82" s="52" t="str">
        <f>IF(ISBLANK(Tableau!$AU$82), "LIBRE", "OCCUPÉ")</f>
        <v>LIBRE</v>
      </c>
      <c r="AA82" s="52" t="str">
        <f>IF(ISBLANK(Tableau!$AW$82), "LIBRE", "OCCUPÉ")</f>
        <v>LIBRE</v>
      </c>
      <c r="AB82" s="76" t="str">
        <f>IF(ISBLANK(Tableau!$AY82), "LIBRE", "OCCUPÉ")</f>
        <v>LIBRE</v>
      </c>
      <c r="AC82" s="77" t="s">
        <v>17</v>
      </c>
    </row>
    <row r="83" ht="21.75" customHeight="1">
      <c r="A83" s="40">
        <f>Tableau!A83</f>
        <v>317</v>
      </c>
      <c r="B83" s="46" t="str">
        <f>VLOOKUP($A83,LocalisationRemorque,2,0)</f>
        <v>Dinant</v>
      </c>
      <c r="C83" s="47" t="str">
        <f>VLOOKUP($A83,LocalisationRemorque,3,0)</f>
        <v>Anthée</v>
      </c>
      <c r="D83" s="49" t="str">
        <f>CONCATENATE(VLOOKUP($A83,LocalisationRemorque,6,0)," ► ",VLOOKUP($A83,LocalisationRemorque,5,0))</f>
        <v>Dinant ► Philippeville</v>
      </c>
      <c r="E83" s="52" t="str">
        <f>IF(ISBLANK(Tableau!$E$83), "LIBRE", "OCCUPÉ")</f>
        <v>LIBRE</v>
      </c>
      <c r="F83" s="54" t="str">
        <f>IF(ISBLANK(Tableau!$G$83), "LIBRE", "OCCUPÉ")</f>
        <v>LIBRE</v>
      </c>
      <c r="G83" s="54" t="str">
        <f>IF(ISBLANK(Tableau!$I$83), "LIBRE", "OCCUPÉ")</f>
        <v>LIBRE</v>
      </c>
      <c r="H83" s="52" t="str">
        <f>IF(ISBLANK(Tableau!$K$83), "LIBRE", "OCCUPÉ")</f>
        <v>LIBRE</v>
      </c>
      <c r="I83" s="54" t="str">
        <f>IF(ISBLANK(Tableau!$M$83), "LIBRE", "OCCUPÉ")</f>
        <v>LIBRE</v>
      </c>
      <c r="J83" s="54" t="str">
        <f>IF(ISBLANK(Tableau!$O$83), "LIBRE", "OCCUPÉ")</f>
        <v>LIBRE</v>
      </c>
      <c r="K83" s="52" t="str">
        <f>IF(ISBLANK(Tableau!$Q$83), "LIBRE", "OCCUPÉ")</f>
        <v>LIBRE</v>
      </c>
      <c r="L83" s="54" t="str">
        <f>IF(ISBLANK(Tableau!$S$83), "LIBRE", "OCCUPÉ")</f>
        <v>LIBRE</v>
      </c>
      <c r="M83" s="54" t="str">
        <f>IF(ISBLANK(Tableau!$U$83), "LIBRE", "OCCUPÉ")</f>
        <v>LIBRE</v>
      </c>
      <c r="N83" s="54" t="str">
        <f>IF(ISBLANK(Tableau!$W$83), "LIBRE", "OCCUPÉ")</f>
        <v>LIBRE</v>
      </c>
      <c r="O83" s="54" t="str">
        <f>IF(ISBLANK(Tableau!$Y$83), "LIBRE", "OCCUPÉ")</f>
        <v>LIBRE</v>
      </c>
      <c r="P83" s="54" t="str">
        <f>IF(ISBLANK(Tableau!$AA$83), "LIBRE", "OCCUPÉ")</f>
        <v>LIBRE</v>
      </c>
      <c r="Q83" s="52" t="str">
        <f>IF(ISBLANK(Tableau!$AC$83), "LIBRE", "OCCUPÉ")</f>
        <v>LIBRE</v>
      </c>
      <c r="R83" s="54" t="str">
        <f>IF(ISBLANK(Tableau!$AE$83), "LIBRE", "OCCUPÉ")</f>
        <v>LIBRE</v>
      </c>
      <c r="S83" s="52" t="str">
        <f>IF(ISBLANK(Tableau!$AG$83), "LIBRE", "OCCUPÉ")</f>
        <v>LIBRE</v>
      </c>
      <c r="T83" s="52" t="str">
        <f>IF(ISBLANK(Tableau!$AI$83), "LIBRE", "OCCUPÉ")</f>
        <v>LIBRE</v>
      </c>
      <c r="U83" s="52" t="str">
        <f>IF(ISBLANK(Tableau!$AK$83), "LIBRE", "OCCUPÉ")</f>
        <v>LIBRE</v>
      </c>
      <c r="V83" s="52" t="str">
        <f>IF(ISBLANK(Tableau!$AM$83), "LIBRE", "OCCUPÉ")</f>
        <v>LIBRE</v>
      </c>
      <c r="W83" s="54" t="str">
        <f>IF(ISBLANK(Tableau!$AO$83), "LIBRE", "OCCUPÉ")</f>
        <v>LIBRE</v>
      </c>
      <c r="X83" s="52" t="str">
        <f>IF(ISBLANK(Tableau!$AQ$83), "LIBRE", "OCCUPÉ")</f>
        <v>LIBRE</v>
      </c>
      <c r="Y83" s="54" t="str">
        <f>IF(ISBLANK(Tableau!$AS$83), "LIBRE", "OCCUPÉ")</f>
        <v>LIBRE</v>
      </c>
      <c r="Z83" s="52" t="str">
        <f>IF(ISBLANK(Tableau!$AU$83), "LIBRE", "OCCUPÉ")</f>
        <v>LIBRE</v>
      </c>
      <c r="AA83" s="52" t="str">
        <f>IF(ISBLANK(Tableau!$AW$83), "LIBRE", "OCCUPÉ")</f>
        <v>LIBRE</v>
      </c>
      <c r="AB83" s="76" t="str">
        <f>IF(ISBLANK(Tableau!$AY83), "LIBRE", "OCCUPÉ")</f>
        <v>LIBRE</v>
      </c>
      <c r="AC83" s="70" t="s">
        <v>17</v>
      </c>
    </row>
    <row r="84" ht="21.75" customHeight="1">
      <c r="A84" s="72">
        <f>Tableau!A84</f>
        <v>318</v>
      </c>
      <c r="B84" s="73" t="str">
        <f>VLOOKUP($A84,LocalisationRemorque,2,0)</f>
        <v>Eghezée</v>
      </c>
      <c r="C84" s="74" t="str">
        <f>VLOOKUP($A84,LocalisationRemorque,3,0)</f>
        <v>Eghezée </v>
      </c>
      <c r="D84" s="75" t="str">
        <f>CONCATENATE(VLOOKUP($A84,LocalisationRemorque,6,0)," ► ",VLOOKUP($A84,LocalisationRemorque,5,0))</f>
        <v>Éghezée ► Andenne</v>
      </c>
      <c r="E84" s="52" t="str">
        <f>IF(ISBLANK(Tableau!$E$84), "LIBRE", "OCCUPÉ")</f>
        <v>LIBRE</v>
      </c>
      <c r="F84" s="52" t="str">
        <f>IF(ISBLANK(Tableau!$G$84), "LIBRE", "OCCUPÉ")</f>
        <v>LIBRE</v>
      </c>
      <c r="G84" s="52" t="str">
        <f>IF(ISBLANK(Tableau!$I$84), "LIBRE", "OCCUPÉ")</f>
        <v>LIBRE</v>
      </c>
      <c r="H84" s="52" t="str">
        <f>IF(ISBLANK(Tableau!$K$84), "LIBRE", "OCCUPÉ")</f>
        <v>LIBRE</v>
      </c>
      <c r="I84" s="52" t="str">
        <f>IF(ISBLANK(Tableau!$M$84), "LIBRE", "OCCUPÉ")</f>
        <v>LIBRE</v>
      </c>
      <c r="J84" s="54" t="str">
        <f>IF(ISBLANK(Tableau!$O$84), "LIBRE", "OCCUPÉ")</f>
        <v>LIBRE</v>
      </c>
      <c r="K84" s="54" t="str">
        <f>IF(ISBLANK(Tableau!$Q$84), "LIBRE", "OCCUPÉ")</f>
        <v>LIBRE</v>
      </c>
      <c r="L84" s="52" t="str">
        <f>IF(ISBLANK(Tableau!$S$84), "LIBRE", "OCCUPÉ")</f>
        <v>LIBRE</v>
      </c>
      <c r="M84" s="54" t="str">
        <f>IF(ISBLANK(Tableau!$U$84), "LIBRE", "OCCUPÉ")</f>
        <v>LIBRE</v>
      </c>
      <c r="N84" s="52" t="str">
        <f>IF(ISBLANK(Tableau!$W$84), "LIBRE", "OCCUPÉ")</f>
        <v>LIBRE</v>
      </c>
      <c r="O84" s="54" t="str">
        <f>IF(ISBLANK(Tableau!$Y$84), "LIBRE", "OCCUPÉ")</f>
        <v>LIBRE</v>
      </c>
      <c r="P84" s="52" t="str">
        <f>IF(ISBLANK(Tableau!$AA$84), "LIBRE", "OCCUPÉ")</f>
        <v>LIBRE</v>
      </c>
      <c r="Q84" s="54" t="str">
        <f>IF(ISBLANK(Tableau!$AC$84), "LIBRE", "OCCUPÉ")</f>
        <v>LIBRE</v>
      </c>
      <c r="R84" s="52" t="str">
        <f>IF(ISBLANK(Tableau!$AE$84), "LIBRE", "OCCUPÉ")</f>
        <v>LIBRE</v>
      </c>
      <c r="S84" s="52" t="str">
        <f>IF(ISBLANK(Tableau!$AG$84), "LIBRE", "OCCUPÉ")</f>
        <v>LIBRE</v>
      </c>
      <c r="T84" s="52" t="str">
        <f>IF(ISBLANK(Tableau!$AI$84), "LIBRE", "OCCUPÉ")</f>
        <v>LIBRE</v>
      </c>
      <c r="U84" s="54" t="str">
        <f>IF(ISBLANK(Tableau!$AK$84), "LIBRE", "OCCUPÉ")</f>
        <v>LIBRE</v>
      </c>
      <c r="V84" s="52" t="str">
        <f>IF(ISBLANK(Tableau!$AM$84), "LIBRE", "OCCUPÉ")</f>
        <v>LIBRE</v>
      </c>
      <c r="W84" s="52" t="str">
        <f>IF(ISBLANK(Tableau!$AO$84), "LIBRE", "OCCUPÉ")</f>
        <v>LIBRE</v>
      </c>
      <c r="X84" s="52" t="str">
        <f>IF(ISBLANK(Tableau!$AQ$84), "LIBRE", "OCCUPÉ")</f>
        <v>LIBRE</v>
      </c>
      <c r="Y84" s="52" t="str">
        <f>IF(ISBLANK(Tableau!$AS$84), "LIBRE", "OCCUPÉ")</f>
        <v>LIBRE</v>
      </c>
      <c r="Z84" s="52" t="str">
        <f>IF(ISBLANK(Tableau!$AU$84), "LIBRE", "OCCUPÉ")</f>
        <v>LIBRE</v>
      </c>
      <c r="AA84" s="52" t="str">
        <f>IF(ISBLANK(Tableau!$AW$84), "LIBRE", "OCCUPÉ")</f>
        <v>LIBRE</v>
      </c>
      <c r="AB84" s="76" t="str">
        <f>IF(ISBLANK(Tableau!$AY84), "LIBRE", "OCCUPÉ")</f>
        <v>LIBRE</v>
      </c>
      <c r="AC84" s="77"/>
    </row>
    <row r="85" ht="21.75" customHeight="1">
      <c r="A85" s="40">
        <f>Tableau!A85</f>
        <v>320</v>
      </c>
      <c r="B85" s="46" t="str">
        <f>VLOOKUP($A85,LocalisationRemorque,2,0)</f>
        <v>Eghezée</v>
      </c>
      <c r="C85" s="47" t="str">
        <f>VLOOKUP($A85,LocalisationRemorque,3,0)</f>
        <v>Eghezée</v>
      </c>
      <c r="D85" s="49" t="str">
        <f>CONCATENATE(VLOOKUP($A85,LocalisationRemorque,6,0)," ► ",VLOOKUP($A85,LocalisationRemorque,5,0))</f>
        <v>Namur ► Eghezee</v>
      </c>
      <c r="E85" s="54" t="str">
        <f>IF(ISBLANK(Tableau!$E$85), "LIBRE", "OCCUPÉ")</f>
        <v>LIBRE</v>
      </c>
      <c r="F85" s="52" t="str">
        <f>IF(ISBLANK(Tableau!$G$85), "LIBRE", "OCCUPÉ")</f>
        <v>LIBRE</v>
      </c>
      <c r="G85" s="52" t="str">
        <f>IF(ISBLANK(Tableau!$I$85), "LIBRE", "OCCUPÉ")</f>
        <v>LIBRE</v>
      </c>
      <c r="H85" s="52" t="str">
        <f>IF(ISBLANK(Tableau!$K$85), "LIBRE", "OCCUPÉ")</f>
        <v>LIBRE</v>
      </c>
      <c r="I85" s="54" t="str">
        <f>IF(ISBLANK(Tableau!$M$85), "LIBRE", "OCCUPÉ")</f>
        <v>LIBRE</v>
      </c>
      <c r="J85" s="54" t="str">
        <f>IF(ISBLANK(Tableau!$O$85), "LIBRE", "OCCUPÉ")</f>
        <v>LIBRE</v>
      </c>
      <c r="K85" s="54" t="str">
        <f>IF(ISBLANK(Tableau!$Q$85), "LIBRE", "OCCUPÉ")</f>
        <v>LIBRE</v>
      </c>
      <c r="L85" s="54" t="str">
        <f>IF(ISBLANK(Tableau!$S$85), "LIBRE", "OCCUPÉ")</f>
        <v>LIBRE</v>
      </c>
      <c r="M85" s="54" t="str">
        <f>IF(ISBLANK(Tableau!$U$85), "LIBRE", "OCCUPÉ")</f>
        <v>LIBRE</v>
      </c>
      <c r="N85" s="54" t="str">
        <f>IF(ISBLANK(Tableau!$W$85), "LIBRE", "OCCUPÉ")</f>
        <v>LIBRE</v>
      </c>
      <c r="O85" s="54" t="str">
        <f>IF(ISBLANK(Tableau!$Y$85), "LIBRE", "OCCUPÉ")</f>
        <v>LIBRE</v>
      </c>
      <c r="P85" s="54" t="str">
        <f>IF(ISBLANK(Tableau!$AA$85), "LIBRE", "OCCUPÉ")</f>
        <v>LIBRE</v>
      </c>
      <c r="Q85" s="52" t="str">
        <f>IF(ISBLANK(Tableau!$AC$85), "LIBRE", "OCCUPÉ")</f>
        <v>LIBRE</v>
      </c>
      <c r="R85" s="52" t="str">
        <f>IF(ISBLANK(Tableau!$AE$85), "LIBRE", "OCCUPÉ")</f>
        <v>LIBRE</v>
      </c>
      <c r="S85" s="54" t="str">
        <f>IF(ISBLANK(Tableau!$AG$85), "LIBRE", "OCCUPÉ")</f>
        <v>LIBRE</v>
      </c>
      <c r="T85" s="52" t="str">
        <f>IF(ISBLANK(Tableau!$AI$85), "LIBRE", "OCCUPÉ")</f>
        <v>LIBRE</v>
      </c>
      <c r="U85" s="54" t="str">
        <f>IF(ISBLANK(Tableau!$AK$85), "LIBRE", "OCCUPÉ")</f>
        <v>LIBRE</v>
      </c>
      <c r="V85" s="54" t="str">
        <f>IF(ISBLANK(Tableau!$AM$85), "LIBRE", "OCCUPÉ")</f>
        <v>LIBRE</v>
      </c>
      <c r="W85" s="54" t="str">
        <f>IF(ISBLANK(Tableau!$AO$85), "LIBRE", "OCCUPÉ")</f>
        <v>LIBRE</v>
      </c>
      <c r="X85" s="54" t="str">
        <f>IF(ISBLANK(Tableau!$AQ$85), "LIBRE", "OCCUPÉ")</f>
        <v>LIBRE</v>
      </c>
      <c r="Y85" s="52" t="str">
        <f>IF(ISBLANK(Tableau!$AS$85), "LIBRE", "OCCUPÉ")</f>
        <v>LIBRE</v>
      </c>
      <c r="Z85" s="52" t="str">
        <f>IF(ISBLANK(Tableau!$AU$85), "LIBRE", "OCCUPÉ")</f>
        <v>LIBRE</v>
      </c>
      <c r="AA85" s="52" t="str">
        <f>IF(ISBLANK(Tableau!$AW$85), "LIBRE", "OCCUPÉ")</f>
        <v>LIBRE</v>
      </c>
      <c r="AB85" s="76" t="str">
        <f>IF(ISBLANK(Tableau!$AY85), "LIBRE", "OCCUPÉ")</f>
        <v>LIBRE</v>
      </c>
      <c r="AC85" s="70"/>
    </row>
    <row r="86" ht="21.75" customHeight="1">
      <c r="A86" s="72">
        <f>Tableau!A86</f>
        <v>321</v>
      </c>
      <c r="B86" s="73" t="str">
        <f>VLOOKUP($A86,LocalisationRemorque,2,0)</f>
        <v>Eghezée</v>
      </c>
      <c r="C86" s="74" t="str">
        <f>VLOOKUP($A86,LocalisationRemorque,3,0)</f>
        <v>Longchamps N912</v>
      </c>
      <c r="D86" s="75" t="str">
        <f>CONCATENATE(VLOOKUP($A86,LocalisationRemorque,6,0)," ► ",VLOOKUP($A86,LocalisationRemorque,5,0))</f>
        <v>Éghezée ► E411</v>
      </c>
      <c r="E86" s="52" t="str">
        <f>IF(ISBLANK(Tableau!$E$86), "LIBRE", "OCCUPÉ")</f>
        <v>LIBRE</v>
      </c>
      <c r="F86" s="52" t="str">
        <f>IF(ISBLANK(Tableau!$G$86), "LIBRE", "OCCUPÉ")</f>
        <v>LIBRE</v>
      </c>
      <c r="G86" s="54" t="str">
        <f>IF(ISBLANK(Tableau!$I$86), "LIBRE", "OCCUPÉ")</f>
        <v>LIBRE</v>
      </c>
      <c r="H86" s="52" t="str">
        <f>IF(ISBLANK(Tableau!$K$86), "LIBRE", "OCCUPÉ")</f>
        <v>LIBRE</v>
      </c>
      <c r="I86" s="54" t="str">
        <f>IF(ISBLANK(Tableau!$M$86), "LIBRE", "OCCUPÉ")</f>
        <v>LIBRE</v>
      </c>
      <c r="J86" s="54" t="str">
        <f>IF(ISBLANK(Tableau!$O$86), "LIBRE", "OCCUPÉ")</f>
        <v>LIBRE</v>
      </c>
      <c r="K86" s="54" t="str">
        <f>IF(ISBLANK(Tableau!$Q$86), "LIBRE", "OCCUPÉ")</f>
        <v>LIBRE</v>
      </c>
      <c r="L86" s="54" t="str">
        <f>IF(ISBLANK(Tableau!$S$86), "LIBRE", "OCCUPÉ")</f>
        <v>LIBRE</v>
      </c>
      <c r="M86" s="54" t="str">
        <f>IF(ISBLANK(Tableau!$U$86), "LIBRE", "OCCUPÉ")</f>
        <v>LIBRE</v>
      </c>
      <c r="N86" s="54" t="str">
        <f>IF(ISBLANK(Tableau!$W$86), "LIBRE", "OCCUPÉ")</f>
        <v>LIBRE</v>
      </c>
      <c r="O86" s="54" t="str">
        <f>IF(ISBLANK(Tableau!$Y$86), "LIBRE", "OCCUPÉ")</f>
        <v>LIBRE</v>
      </c>
      <c r="P86" s="52" t="str">
        <f>IF(ISBLANK(Tableau!$AA$86), "LIBRE", "OCCUPÉ")</f>
        <v>LIBRE</v>
      </c>
      <c r="Q86" s="54" t="str">
        <f>IF(ISBLANK(Tableau!$AC$86), "LIBRE", "OCCUPÉ")</f>
        <v>LIBRE</v>
      </c>
      <c r="R86" s="52" t="str">
        <f>IF(ISBLANK(Tableau!$AE$86), "LIBRE", "OCCUPÉ")</f>
        <v>LIBRE</v>
      </c>
      <c r="S86" s="54" t="str">
        <f>IF(ISBLANK(Tableau!$AG$86), "LIBRE", "OCCUPÉ")</f>
        <v>LIBRE</v>
      </c>
      <c r="T86" s="52" t="str">
        <f>IF(ISBLANK(Tableau!$AI$86), "LIBRE", "OCCUPÉ")</f>
        <v>LIBRE</v>
      </c>
      <c r="U86" s="54" t="str">
        <f>IF(ISBLANK(Tableau!$AK$86), "LIBRE", "OCCUPÉ")</f>
        <v>LIBRE</v>
      </c>
      <c r="V86" s="52" t="str">
        <f>IF(ISBLANK(Tableau!$AM$86), "LIBRE", "OCCUPÉ")</f>
        <v>LIBRE</v>
      </c>
      <c r="W86" s="52" t="str">
        <f>IF(ISBLANK(Tableau!$AO$86), "LIBRE", "OCCUPÉ")</f>
        <v>LIBRE</v>
      </c>
      <c r="X86" s="52" t="str">
        <f>IF(ISBLANK(Tableau!$AQ$86), "LIBRE", "OCCUPÉ")</f>
        <v>LIBRE</v>
      </c>
      <c r="Y86" s="52" t="str">
        <f>IF(ISBLANK(Tableau!$AS$86), "LIBRE", "OCCUPÉ")</f>
        <v>LIBRE</v>
      </c>
      <c r="Z86" s="52" t="str">
        <f>IF(ISBLANK(Tableau!$AU$86), "LIBRE", "OCCUPÉ")</f>
        <v>LIBRE</v>
      </c>
      <c r="AA86" s="52" t="str">
        <f>IF(ISBLANK(Tableau!$AW$86), "LIBRE", "OCCUPÉ")</f>
        <v>LIBRE</v>
      </c>
      <c r="AB86" s="76" t="str">
        <f>IF(ISBLANK(Tableau!$AY86), "LIBRE", "OCCUPÉ")</f>
        <v>LIBRE</v>
      </c>
      <c r="AC86" s="77"/>
    </row>
    <row r="87" ht="21.75" hidden="1" customHeight="1">
      <c r="A87" s="40" t="str">
        <f>Tableau!A87</f>
        <v/>
      </c>
      <c r="B87" s="46" t="str">
        <f>VLOOKUP($A87,LocalisationRemorque,2,0)</f>
        <v> Remorque non listée</v>
      </c>
      <c r="C87" s="47" t="str">
        <f>VLOOKUP($A87,LocalisationRemorque,3,0)</f>
        <v/>
      </c>
      <c r="D87" s="49" t="str">
        <f>CONCATENATE(VLOOKUP($A87,LocalisationRemorque,6,0)," ► ",VLOOKUP($A87,LocalisationRemorque,5,0))</f>
        <v> ► </v>
      </c>
      <c r="E87" s="54" t="str">
        <f>IF(ISBLANK(Tableau!$E$87), "LIBRE", "OCCUPÉ")</f>
        <v>LIBRE</v>
      </c>
      <c r="F87" s="54" t="str">
        <f>IF(ISBLANK(Tableau!$G$87), "LIBRE", "OCCUPÉ")</f>
        <v>LIBRE</v>
      </c>
      <c r="G87" s="54" t="str">
        <f>IF(ISBLANK(Tableau!$I$87), "LIBRE", "OCCUPÉ")</f>
        <v>LIBRE</v>
      </c>
      <c r="H87" s="54" t="str">
        <f>IF(ISBLANK(Tableau!$K$87), "LIBRE", "OCCUPÉ")</f>
        <v>LIBRE</v>
      </c>
      <c r="I87" s="54" t="str">
        <f>IF(ISBLANK(Tableau!$M$87), "LIBRE", "OCCUPÉ")</f>
        <v>LIBRE</v>
      </c>
      <c r="J87" s="54" t="str">
        <f>IF(ISBLANK(Tableau!$O$87), "LIBRE", "OCCUPÉ")</f>
        <v>LIBRE</v>
      </c>
      <c r="K87" s="54" t="str">
        <f>IF(ISBLANK(Tableau!$Q$87), "LIBRE", "OCCUPÉ")</f>
        <v>LIBRE</v>
      </c>
      <c r="L87" s="54" t="str">
        <f>IF(ISBLANK(Tableau!$S$87), "LIBRE", "OCCUPÉ")</f>
        <v>LIBRE</v>
      </c>
      <c r="M87" s="54" t="str">
        <f>IF(ISBLANK(Tableau!$U$87), "LIBRE", "OCCUPÉ")</f>
        <v>LIBRE</v>
      </c>
      <c r="N87" s="54" t="str">
        <f>IF(ISBLANK(Tableau!$W$87), "LIBRE", "OCCUPÉ")</f>
        <v>LIBRE</v>
      </c>
      <c r="O87" s="54" t="str">
        <f>IF(ISBLANK(Tableau!$Y$87), "LIBRE", "OCCUPÉ")</f>
        <v>LIBRE</v>
      </c>
      <c r="P87" s="54" t="str">
        <f>IF(ISBLANK(Tableau!$AA$87), "LIBRE", "OCCUPÉ")</f>
        <v>LIBRE</v>
      </c>
      <c r="Q87" s="54" t="str">
        <f>IF(ISBLANK(Tableau!$AC$87), "LIBRE", "OCCUPÉ")</f>
        <v>LIBRE</v>
      </c>
      <c r="R87" s="54" t="str">
        <f>IF(ISBLANK(Tableau!$AE$87), "LIBRE", "OCCUPÉ")</f>
        <v>LIBRE</v>
      </c>
      <c r="S87" s="54" t="str">
        <f>IF(ISBLANK(Tableau!$AG$87), "LIBRE", "OCCUPÉ")</f>
        <v>LIBRE</v>
      </c>
      <c r="T87" s="54" t="str">
        <f>IF(ISBLANK(Tableau!$AI$87), "LIBRE", "OCCUPÉ")</f>
        <v>LIBRE</v>
      </c>
      <c r="U87" s="54" t="str">
        <f>IF(ISBLANK(Tableau!$AK$87), "LIBRE", "OCCUPÉ")</f>
        <v>LIBRE</v>
      </c>
      <c r="V87" s="54" t="str">
        <f>IF(ISBLANK(Tableau!$AM$87), "LIBRE", "OCCUPÉ")</f>
        <v>LIBRE</v>
      </c>
      <c r="W87" s="54" t="str">
        <f>IF(ISBLANK(Tableau!$AO$87), "LIBRE", "OCCUPÉ")</f>
        <v>LIBRE</v>
      </c>
      <c r="X87" s="54" t="str">
        <f>IF(ISBLANK(Tableau!$AQ$87), "LIBRE", "OCCUPÉ")</f>
        <v>LIBRE</v>
      </c>
      <c r="Y87" s="54" t="str">
        <f>IF(ISBLANK(Tableau!$AS$87), "LIBRE", "OCCUPÉ")</f>
        <v>LIBRE</v>
      </c>
      <c r="Z87" s="54" t="str">
        <f>IF(ISBLANK(Tableau!$AU$87), "LIBRE", "OCCUPÉ")</f>
        <v>LIBRE</v>
      </c>
      <c r="AA87" s="54" t="str">
        <f>IF(ISBLANK(Tableau!$AW$87), "LIBRE", "OCCUPÉ")</f>
        <v>LIBRE</v>
      </c>
      <c r="AB87" s="69" t="str">
        <f>IF(ISBLANK(Tableau!$AY87), "LIBRE", "OCCUPÉ")</f>
        <v>LIBRE</v>
      </c>
      <c r="AC87" s="335"/>
    </row>
    <row r="88" ht="21.75" customHeight="1">
      <c r="A88" s="72">
        <f>Tableau!A88</f>
        <v>323</v>
      </c>
      <c r="B88" s="73" t="str">
        <f>VLOOKUP($A88,LocalisationRemorque,2,0)</f>
        <v>Gembloux</v>
      </c>
      <c r="C88" s="74" t="str">
        <f>VLOOKUP($A88,LocalisationRemorque,3,0)</f>
        <v>Sauvenière 2</v>
      </c>
      <c r="D88" s="75" t="str">
        <f>CONCATENATE(VLOOKUP($A88,LocalisationRemorque,6,0)," ► ",VLOOKUP($A88,LocalisationRemorque,5,0))</f>
        <v>E411 ► Gembloux</v>
      </c>
      <c r="E88" s="54" t="str">
        <f>IF(ISBLANK(Tableau!$E$88), "LIBRE", "OCCUPÉ")</f>
        <v>LIBRE</v>
      </c>
      <c r="F88" s="54" t="str">
        <f>IF(ISBLANK(Tableau!$G$88), "LIBRE", "OCCUPÉ")</f>
        <v>LIBRE</v>
      </c>
      <c r="G88" s="54" t="str">
        <f>IF(ISBLANK(Tableau!$I$88), "LIBRE", "OCCUPÉ")</f>
        <v>LIBRE</v>
      </c>
      <c r="H88" s="54" t="str">
        <f>IF(ISBLANK(Tableau!$K$88), "LIBRE", "OCCUPÉ")</f>
        <v>LIBRE</v>
      </c>
      <c r="I88" s="54" t="str">
        <f>IF(ISBLANK(Tableau!$M$88), "LIBRE", "OCCUPÉ")</f>
        <v>LIBRE</v>
      </c>
      <c r="J88" s="54" t="str">
        <f>IF(ISBLANK(Tableau!$O$88), "LIBRE", "OCCUPÉ")</f>
        <v>LIBRE</v>
      </c>
      <c r="K88" s="54" t="str">
        <f>IF(ISBLANK(Tableau!$Q$88), "LIBRE", "OCCUPÉ")</f>
        <v>LIBRE</v>
      </c>
      <c r="L88" s="54" t="str">
        <f>IF(ISBLANK(Tableau!$S$88), "LIBRE", "OCCUPÉ")</f>
        <v>LIBRE</v>
      </c>
      <c r="M88" s="54" t="str">
        <f>IF(ISBLANK(Tableau!$U$88), "LIBRE", "OCCUPÉ")</f>
        <v>LIBRE</v>
      </c>
      <c r="N88" s="54" t="str">
        <f>IF(ISBLANK(Tableau!$W$88), "LIBRE", "OCCUPÉ")</f>
        <v>LIBRE</v>
      </c>
      <c r="O88" s="54" t="str">
        <f>IF(ISBLANK(Tableau!$Y$88), "LIBRE", "OCCUPÉ")</f>
        <v>LIBRE</v>
      </c>
      <c r="P88" s="54" t="str">
        <f>IF(ISBLANK(Tableau!$AA$88), "LIBRE", "OCCUPÉ")</f>
        <v>LIBRE</v>
      </c>
      <c r="Q88" s="54" t="str">
        <f>IF(ISBLANK(Tableau!$AC$88), "LIBRE", "OCCUPÉ")</f>
        <v>LIBRE</v>
      </c>
      <c r="R88" s="54" t="str">
        <f>IF(ISBLANK(Tableau!$AE$88), "LIBRE", "OCCUPÉ")</f>
        <v>LIBRE</v>
      </c>
      <c r="S88" s="54" t="str">
        <f>IF(ISBLANK(Tableau!$AG$88), "LIBRE", "OCCUPÉ")</f>
        <v>LIBRE</v>
      </c>
      <c r="T88" s="54" t="str">
        <f>IF(ISBLANK(Tableau!$AI$88), "LIBRE", "OCCUPÉ")</f>
        <v>LIBRE</v>
      </c>
      <c r="U88" s="54" t="str">
        <f>IF(ISBLANK(Tableau!$AK$88), "LIBRE", "OCCUPÉ")</f>
        <v>LIBRE</v>
      </c>
      <c r="V88" s="54" t="str">
        <f>IF(ISBLANK(Tableau!$AM$88), "LIBRE", "OCCUPÉ")</f>
        <v>LIBRE</v>
      </c>
      <c r="W88" s="54" t="str">
        <f>IF(ISBLANK(Tableau!$AO$88), "LIBRE", "OCCUPÉ")</f>
        <v>LIBRE</v>
      </c>
      <c r="X88" s="54" t="str">
        <f>IF(ISBLANK(Tableau!$AQ$88), "LIBRE", "OCCUPÉ")</f>
        <v>LIBRE</v>
      </c>
      <c r="Y88" s="54" t="str">
        <f>IF(ISBLANK(Tableau!$AS$88), "LIBRE", "OCCUPÉ")</f>
        <v>LIBRE</v>
      </c>
      <c r="Z88" s="54" t="str">
        <f>IF(ISBLANK(Tableau!$AU$88), "LIBRE", "OCCUPÉ")</f>
        <v>LIBRE</v>
      </c>
      <c r="AA88" s="54" t="str">
        <f>IF(ISBLANK(Tableau!$AW$88), "LIBRE", "OCCUPÉ")</f>
        <v>LIBRE</v>
      </c>
      <c r="AB88" s="69" t="str">
        <f>IF(ISBLANK(Tableau!$AY88), "LIBRE", "OCCUPÉ")</f>
        <v>LIBRE</v>
      </c>
      <c r="AC88" s="77" t="s">
        <v>17</v>
      </c>
    </row>
    <row r="89" ht="21.75" customHeight="1">
      <c r="A89" s="40">
        <f>Tableau!A89</f>
        <v>324</v>
      </c>
      <c r="B89" s="46" t="str">
        <f>VLOOKUP($A89,LocalisationRemorque,2,0)</f>
        <v>Gembloux</v>
      </c>
      <c r="C89" s="47" t="str">
        <f>VLOOKUP($A89,LocalisationRemorque,3,0)</f>
        <v>Meux</v>
      </c>
      <c r="D89" s="49" t="str">
        <f>CONCATENATE(VLOOKUP($A89,LocalisationRemorque,6,0)," ► ",VLOOKUP($A89,LocalisationRemorque,5,0))</f>
        <v>Gembloux ► E411</v>
      </c>
      <c r="E89" s="52" t="str">
        <f>IF(ISBLANK(Tableau!$E$89), "LIBRE", "OCCUPÉ")</f>
        <v>LIBRE</v>
      </c>
      <c r="F89" s="52" t="str">
        <f>IF(ISBLANK(Tableau!$G$89), "LIBRE", "OCCUPÉ")</f>
        <v>LIBRE</v>
      </c>
      <c r="G89" s="52" t="str">
        <f>IF(ISBLANK(Tableau!$I$89), "LIBRE", "OCCUPÉ")</f>
        <v>LIBRE</v>
      </c>
      <c r="H89" s="52" t="str">
        <f>IF(ISBLANK(Tableau!$K$89), "LIBRE", "OCCUPÉ")</f>
        <v>LIBRE</v>
      </c>
      <c r="I89" s="54" t="str">
        <f>IF(ISBLANK(Tableau!$M$89), "LIBRE", "OCCUPÉ")</f>
        <v>LIBRE</v>
      </c>
      <c r="J89" s="54" t="str">
        <f>IF(ISBLANK(Tableau!$O$89), "LIBRE", "OCCUPÉ")</f>
        <v>LIBRE</v>
      </c>
      <c r="K89" s="54" t="str">
        <f>IF(ISBLANK(Tableau!$Q$89), "LIBRE", "OCCUPÉ")</f>
        <v>LIBRE</v>
      </c>
      <c r="L89" s="54" t="str">
        <f>IF(ISBLANK(Tableau!$S$89), "LIBRE", "OCCUPÉ")</f>
        <v>LIBRE</v>
      </c>
      <c r="M89" s="54" t="str">
        <f>IF(ISBLANK(Tableau!$U$89), "LIBRE", "OCCUPÉ")</f>
        <v>LIBRE</v>
      </c>
      <c r="N89" s="54" t="str">
        <f>IF(ISBLANK(Tableau!$W$89), "LIBRE", "OCCUPÉ")</f>
        <v>LIBRE</v>
      </c>
      <c r="O89" s="54" t="str">
        <f>IF(ISBLANK(Tableau!$Y$89), "LIBRE", "OCCUPÉ")</f>
        <v>LIBRE</v>
      </c>
      <c r="P89" s="52" t="str">
        <f>IF(ISBLANK(Tableau!$AA$89), "LIBRE", "OCCUPÉ")</f>
        <v>LIBRE</v>
      </c>
      <c r="Q89" s="52" t="str">
        <f>IF(ISBLANK(Tableau!$AC$89), "LIBRE", "OCCUPÉ")</f>
        <v>LIBRE</v>
      </c>
      <c r="R89" s="52" t="str">
        <f>IF(ISBLANK(Tableau!$AE$89), "LIBRE", "OCCUPÉ")</f>
        <v>LIBRE</v>
      </c>
      <c r="S89" s="54" t="str">
        <f>IF(ISBLANK(Tableau!$AG$89), "LIBRE", "OCCUPÉ")</f>
        <v>LIBRE</v>
      </c>
      <c r="T89" s="52" t="str">
        <f>IF(ISBLANK(Tableau!$AI$89), "LIBRE", "OCCUPÉ")</f>
        <v>LIBRE</v>
      </c>
      <c r="U89" s="54" t="str">
        <f>IF(ISBLANK(Tableau!$AK$89), "LIBRE", "OCCUPÉ")</f>
        <v>LIBRE</v>
      </c>
      <c r="V89" s="52" t="str">
        <f>IF(ISBLANK(Tableau!$AM$89), "LIBRE", "OCCUPÉ")</f>
        <v>LIBRE</v>
      </c>
      <c r="W89" s="54" t="str">
        <f>IF(ISBLANK(Tableau!$AO$89), "LIBRE", "OCCUPÉ")</f>
        <v>LIBRE</v>
      </c>
      <c r="X89" s="52" t="str">
        <f>IF(ISBLANK(Tableau!$AQ$89), "LIBRE", "OCCUPÉ")</f>
        <v>LIBRE</v>
      </c>
      <c r="Y89" s="54" t="str">
        <f>IF(ISBLANK(Tableau!$AS$89), "LIBRE", "OCCUPÉ")</f>
        <v>LIBRE</v>
      </c>
      <c r="Z89" s="52" t="str">
        <f>IF(ISBLANK(Tableau!$AU$89), "LIBRE", "OCCUPÉ")</f>
        <v>LIBRE</v>
      </c>
      <c r="AA89" s="52" t="str">
        <f>IF(ISBLANK(Tableau!$AW$89), "LIBRE", "OCCUPÉ")</f>
        <v>LIBRE</v>
      </c>
      <c r="AB89" s="76" t="str">
        <f>IF(ISBLANK(Tableau!$AY89), "LIBRE", "OCCUPÉ")</f>
        <v>LIBRE</v>
      </c>
      <c r="AC89" s="70" t="s">
        <v>17</v>
      </c>
    </row>
    <row r="90" ht="21.75" customHeight="1">
      <c r="A90" s="72">
        <f>Tableau!A90</f>
        <v>325</v>
      </c>
      <c r="B90" s="73" t="str">
        <f>VLOOKUP($A90,LocalisationRemorque,2,0)</f>
        <v>Gembloux</v>
      </c>
      <c r="C90" s="74" t="str">
        <f>VLOOKUP($A90,LocalisationRemorque,3,0)</f>
        <v>Corroy-le-Château</v>
      </c>
      <c r="D90" s="75" t="str">
        <f>CONCATENATE(VLOOKUP($A90,LocalisationRemorque,6,0)," ► ",VLOOKUP($A90,LocalisationRemorque,5,0))</f>
        <v>Charleroi ► Gembloux</v>
      </c>
      <c r="E90" s="54" t="str">
        <f>IF(ISBLANK(Tableau!$E$90), "LIBRE", "OCCUPÉ")</f>
        <v>OCCUPÉ</v>
      </c>
      <c r="F90" s="52" t="str">
        <f>IF(ISBLANK(Tableau!$G$90), "LIBRE", "OCCUPÉ")</f>
        <v>OCCUPÉ</v>
      </c>
      <c r="G90" s="54" t="str">
        <f>IF(ISBLANK(Tableau!$I$90), "LIBRE", "OCCUPÉ")</f>
        <v>LIBRE</v>
      </c>
      <c r="H90" s="52" t="str">
        <f>IF(ISBLANK(Tableau!$K$90), "LIBRE", "OCCUPÉ")</f>
        <v>LIBRE</v>
      </c>
      <c r="I90" s="54" t="str">
        <f>IF(ISBLANK(Tableau!$M$90), "LIBRE", "OCCUPÉ")</f>
        <v>LIBRE</v>
      </c>
      <c r="J90" s="54" t="str">
        <f>IF(ISBLANK(Tableau!$O$90), "LIBRE", "OCCUPÉ")</f>
        <v>LIBRE</v>
      </c>
      <c r="K90" s="54" t="str">
        <f>IF(ISBLANK(Tableau!$Q$90), "LIBRE", "OCCUPÉ")</f>
        <v>LIBRE</v>
      </c>
      <c r="L90" s="54" t="str">
        <f>IF(ISBLANK(Tableau!$S$90), "LIBRE", "OCCUPÉ")</f>
        <v>LIBRE</v>
      </c>
      <c r="M90" s="54" t="str">
        <f>IF(ISBLANK(Tableau!$U$90), "LIBRE", "OCCUPÉ")</f>
        <v>LIBRE</v>
      </c>
      <c r="N90" s="54" t="str">
        <f>IF(ISBLANK(Tableau!$W$90), "LIBRE", "OCCUPÉ")</f>
        <v>OCCUPÉ</v>
      </c>
      <c r="O90" s="54" t="str">
        <f>IF(ISBLANK(Tableau!$Y$90), "LIBRE", "OCCUPÉ")</f>
        <v>LIBRE</v>
      </c>
      <c r="P90" s="54" t="str">
        <f>IF(ISBLANK(Tableau!$AA$90), "LIBRE", "OCCUPÉ")</f>
        <v>LIBRE</v>
      </c>
      <c r="Q90" s="54" t="str">
        <f>IF(ISBLANK(Tableau!$AC$90), "LIBRE", "OCCUPÉ")</f>
        <v>LIBRE</v>
      </c>
      <c r="R90" s="54" t="str">
        <f>IF(ISBLANK(Tableau!$AE$90), "LIBRE", "OCCUPÉ")</f>
        <v>OCCUPÉ</v>
      </c>
      <c r="S90" s="54" t="str">
        <f>IF(ISBLANK(Tableau!$AG$90), "LIBRE", "OCCUPÉ")</f>
        <v>LIBRE</v>
      </c>
      <c r="T90" s="52" t="str">
        <f>IF(ISBLANK(Tableau!$AI$90), "LIBRE", "OCCUPÉ")</f>
        <v>LIBRE</v>
      </c>
      <c r="U90" s="54" t="str">
        <f>IF(ISBLANK(Tableau!$AK$90), "LIBRE", "OCCUPÉ")</f>
        <v>LIBRE</v>
      </c>
      <c r="V90" s="54" t="str">
        <f>IF(ISBLANK(Tableau!$AM$90), "LIBRE", "OCCUPÉ")</f>
        <v>OCCUPÉ</v>
      </c>
      <c r="W90" s="54" t="str">
        <f>IF(ISBLANK(Tableau!$AO$90), "LIBRE", "OCCUPÉ")</f>
        <v>LIBRE</v>
      </c>
      <c r="X90" s="52" t="str">
        <f>IF(ISBLANK(Tableau!$AQ$90), "LIBRE", "OCCUPÉ")</f>
        <v>OCCUPÉ</v>
      </c>
      <c r="Y90" s="54" t="str">
        <f>IF(ISBLANK(Tableau!$AS$90), "LIBRE", "OCCUPÉ")</f>
        <v>LIBRE</v>
      </c>
      <c r="Z90" s="52" t="str">
        <f>IF(ISBLANK(Tableau!$AU$90), "LIBRE", "OCCUPÉ")</f>
        <v>LIBRE</v>
      </c>
      <c r="AA90" s="54" t="str">
        <f>IF(ISBLANK(Tableau!$AW$90), "LIBRE", "OCCUPÉ")</f>
        <v>LIBRE</v>
      </c>
      <c r="AB90" s="76" t="str">
        <f>IF(ISBLANK(Tableau!$AY90), "LIBRE", "OCCUPÉ")</f>
        <v>OCCUPÉ</v>
      </c>
      <c r="AC90" s="77" t="s">
        <v>17</v>
      </c>
    </row>
    <row r="91" ht="21.75" customHeight="1">
      <c r="A91" s="40">
        <f>Tableau!A91</f>
        <v>326</v>
      </c>
      <c r="B91" s="46" t="str">
        <f>VLOOKUP($A91,LocalisationRemorque,2,0)</f>
        <v>Gembloux</v>
      </c>
      <c r="C91" s="47" t="str">
        <f>VLOOKUP($A91,LocalisationRemorque,3,0)</f>
        <v>Carrefour Didi - Les Isnes</v>
      </c>
      <c r="D91" s="49" t="str">
        <f>CONCATENATE(VLOOKUP($A91,LocalisationRemorque,6,0)," ► ",VLOOKUP($A91,LocalisationRemorque,5,0))</f>
        <v>E42 ► Eghezée</v>
      </c>
      <c r="E91" s="52" t="str">
        <f>IF(ISBLANK(Tableau!$E$91), "LIBRE", "OCCUPÉ")</f>
        <v>LIBRE</v>
      </c>
      <c r="F91" s="52" t="str">
        <f>IF(ISBLANK(Tableau!$G$91), "LIBRE", "OCCUPÉ")</f>
        <v>LIBRE</v>
      </c>
      <c r="G91" s="54" t="str">
        <f>IF(ISBLANK(Tableau!$I$91), "LIBRE", "OCCUPÉ")</f>
        <v>LIBRE</v>
      </c>
      <c r="H91" s="52" t="str">
        <f>IF(ISBLANK(Tableau!$K$91), "LIBRE", "OCCUPÉ")</f>
        <v>LIBRE</v>
      </c>
      <c r="I91" s="54" t="str">
        <f>IF(ISBLANK(Tableau!$M$91), "LIBRE", "OCCUPÉ")</f>
        <v>LIBRE</v>
      </c>
      <c r="J91" s="52" t="str">
        <f>IF(ISBLANK(Tableau!$O$91), "LIBRE", "OCCUPÉ")</f>
        <v>LIBRE</v>
      </c>
      <c r="K91" s="52" t="str">
        <f>IF(ISBLANK(Tableau!$Q$91), "LIBRE", "OCCUPÉ")</f>
        <v>LIBRE</v>
      </c>
      <c r="L91" s="52" t="str">
        <f>IF(ISBLANK(Tableau!$S$91), "LIBRE", "OCCUPÉ")</f>
        <v>LIBRE</v>
      </c>
      <c r="M91" s="52" t="str">
        <f>IF(ISBLANK(Tableau!$U$91), "LIBRE", "OCCUPÉ")</f>
        <v>LIBRE</v>
      </c>
      <c r="N91" s="52" t="str">
        <f>IF(ISBLANK(Tableau!$W$91), "LIBRE", "OCCUPÉ")</f>
        <v>LIBRE</v>
      </c>
      <c r="O91" s="52" t="str">
        <f>IF(ISBLANK(Tableau!$Y$91), "LIBRE", "OCCUPÉ")</f>
        <v>LIBRE</v>
      </c>
      <c r="P91" s="52" t="str">
        <f>IF(ISBLANK(Tableau!$AA$91), "LIBRE", "OCCUPÉ")</f>
        <v>LIBRE</v>
      </c>
      <c r="Q91" s="54" t="str">
        <f>IF(ISBLANK(Tableau!$AC$91), "LIBRE", "OCCUPÉ")</f>
        <v>LIBRE</v>
      </c>
      <c r="R91" s="52" t="str">
        <f>IF(ISBLANK(Tableau!$AE$91), "LIBRE", "OCCUPÉ")</f>
        <v>LIBRE</v>
      </c>
      <c r="S91" s="52" t="str">
        <f>IF(ISBLANK(Tableau!$AG$91), "LIBRE", "OCCUPÉ")</f>
        <v>LIBRE</v>
      </c>
      <c r="T91" s="52" t="str">
        <f>IF(ISBLANK(Tableau!$AI$91), "LIBRE", "OCCUPÉ")</f>
        <v>LIBRE</v>
      </c>
      <c r="U91" s="52" t="str">
        <f>IF(ISBLANK(Tableau!$AK$91), "LIBRE", "OCCUPÉ")</f>
        <v>LIBRE</v>
      </c>
      <c r="V91" s="52" t="str">
        <f>IF(ISBLANK(Tableau!$AM$91), "LIBRE", "OCCUPÉ")</f>
        <v>LIBRE</v>
      </c>
      <c r="W91" s="52" t="str">
        <f>IF(ISBLANK(Tableau!$AO$91), "LIBRE", "OCCUPÉ")</f>
        <v>LIBRE</v>
      </c>
      <c r="X91" s="52" t="str">
        <f>IF(ISBLANK(Tableau!$AQ$91), "LIBRE", "OCCUPÉ")</f>
        <v>LIBRE</v>
      </c>
      <c r="Y91" s="52" t="str">
        <f>IF(ISBLANK(Tableau!$AS$91), "LIBRE", "OCCUPÉ")</f>
        <v>LIBRE</v>
      </c>
      <c r="Z91" s="52" t="str">
        <f>IF(ISBLANK(Tableau!$AU$91), "LIBRE", "OCCUPÉ")</f>
        <v>LIBRE</v>
      </c>
      <c r="AA91" s="52" t="str">
        <f>IF(ISBLANK(Tableau!$AW$91), "LIBRE", "OCCUPÉ")</f>
        <v>LIBRE</v>
      </c>
      <c r="AB91" s="76" t="str">
        <f>IF(ISBLANK(Tableau!$AY91), "LIBRE", "OCCUPÉ")</f>
        <v>LIBRE</v>
      </c>
      <c r="AC91" s="70" t="s">
        <v>17</v>
      </c>
    </row>
    <row r="92" ht="21.75" customHeight="1">
      <c r="A92" s="72">
        <f>Tableau!A92</f>
        <v>327</v>
      </c>
      <c r="B92" s="73" t="str">
        <f>VLOOKUP($A92,LocalisationRemorque,2,0)</f>
        <v>Gembloux</v>
      </c>
      <c r="C92" s="74" t="str">
        <f>VLOOKUP($A92,LocalisationRemorque,3,0)</f>
        <v>Carrefour Didi - Gembloux</v>
      </c>
      <c r="D92" s="75" t="str">
        <f>CONCATENATE(VLOOKUP($A92,LocalisationRemorque,6,0)," ► ",VLOOKUP($A92,LocalisationRemorque,5,0))</f>
        <v>Gembloux ► Namur</v>
      </c>
      <c r="E92" s="54" t="str">
        <f>IF(ISBLANK(Tableau!$E$92), "LIBRE", "OCCUPÉ")</f>
        <v>LIBRE</v>
      </c>
      <c r="F92" s="52" t="str">
        <f>IF(ISBLANK(Tableau!$G$92), "LIBRE", "OCCUPÉ")</f>
        <v>LIBRE</v>
      </c>
      <c r="G92" s="54" t="str">
        <f>IF(ISBLANK(Tableau!$I$92), "LIBRE", "OCCUPÉ")</f>
        <v>LIBRE</v>
      </c>
      <c r="H92" s="52" t="str">
        <f>IF(ISBLANK(Tableau!$K$92), "LIBRE", "OCCUPÉ")</f>
        <v>LIBRE</v>
      </c>
      <c r="I92" s="54" t="str">
        <f>IF(ISBLANK(Tableau!$M$92), "LIBRE", "OCCUPÉ")</f>
        <v>LIBRE</v>
      </c>
      <c r="J92" s="54" t="str">
        <f>IF(ISBLANK(Tableau!$O$92), "LIBRE", "OCCUPÉ")</f>
        <v>LIBRE</v>
      </c>
      <c r="K92" s="54" t="str">
        <f>IF(ISBLANK(Tableau!$Q$92), "LIBRE", "OCCUPÉ")</f>
        <v>LIBRE</v>
      </c>
      <c r="L92" s="54" t="str">
        <f>IF(ISBLANK(Tableau!$S$92), "LIBRE", "OCCUPÉ")</f>
        <v>LIBRE</v>
      </c>
      <c r="M92" s="54" t="str">
        <f>IF(ISBLANK(Tableau!$U$92), "LIBRE", "OCCUPÉ")</f>
        <v>LIBRE</v>
      </c>
      <c r="N92" s="54" t="str">
        <f>IF(ISBLANK(Tableau!$W$92), "LIBRE", "OCCUPÉ")</f>
        <v>LIBRE</v>
      </c>
      <c r="O92" s="52" t="str">
        <f>IF(ISBLANK(Tableau!$Y$92), "LIBRE", "OCCUPÉ")</f>
        <v>LIBRE</v>
      </c>
      <c r="P92" s="54" t="str">
        <f>IF(ISBLANK(Tableau!$AA$92), "LIBRE", "OCCUPÉ")</f>
        <v>LIBRE</v>
      </c>
      <c r="Q92" s="54" t="str">
        <f>IF(ISBLANK(Tableau!$AC$92), "LIBRE", "OCCUPÉ")</f>
        <v>OCCUPÉ</v>
      </c>
      <c r="R92" s="52" t="str">
        <f>IF(ISBLANK(Tableau!$AE$92), "LIBRE", "OCCUPÉ")</f>
        <v>LIBRE</v>
      </c>
      <c r="S92" s="54" t="str">
        <f>IF(ISBLANK(Tableau!$AG$92), "LIBRE", "OCCUPÉ")</f>
        <v>OCCUPÉ</v>
      </c>
      <c r="T92" s="52" t="str">
        <f>IF(ISBLANK(Tableau!$AI$92), "LIBRE", "OCCUPÉ")</f>
        <v>LIBRE</v>
      </c>
      <c r="U92" s="54" t="str">
        <f>IF(ISBLANK(Tableau!$AK$92), "LIBRE", "OCCUPÉ")</f>
        <v>LIBRE</v>
      </c>
      <c r="V92" s="52" t="str">
        <f>IF(ISBLANK(Tableau!$AM$92), "LIBRE", "OCCUPÉ")</f>
        <v>LIBRE</v>
      </c>
      <c r="W92" s="52" t="str">
        <f>IF(ISBLANK(Tableau!$AO$92), "LIBRE", "OCCUPÉ")</f>
        <v>OCCUPÉ</v>
      </c>
      <c r="X92" s="52" t="str">
        <f>IF(ISBLANK(Tableau!$AQ$92), "LIBRE", "OCCUPÉ")</f>
        <v>LIBRE</v>
      </c>
      <c r="Y92" s="52" t="str">
        <f>IF(ISBLANK(Tableau!$AS$92), "LIBRE", "OCCUPÉ")</f>
        <v>LIBRE</v>
      </c>
      <c r="Z92" s="52" t="str">
        <f>IF(ISBLANK(Tableau!$AU$92), "LIBRE", "OCCUPÉ")</f>
        <v>LIBRE</v>
      </c>
      <c r="AA92" s="52" t="str">
        <f>IF(ISBLANK(Tableau!$AW$92), "LIBRE", "OCCUPÉ")</f>
        <v>LIBRE</v>
      </c>
      <c r="AB92" s="76" t="str">
        <f>IF(ISBLANK(Tableau!$AY92), "LIBRE", "OCCUPÉ")</f>
        <v>LIBRE</v>
      </c>
      <c r="AC92" s="77" t="s">
        <v>17</v>
      </c>
    </row>
    <row r="93" ht="21.75" customHeight="1">
      <c r="A93" s="40">
        <f>Tableau!A93</f>
        <v>328</v>
      </c>
      <c r="B93" s="46" t="str">
        <f>VLOOKUP($A93,LocalisationRemorque,2,0)</f>
        <v>Gembloux</v>
      </c>
      <c r="C93" s="47" t="str">
        <f>VLOOKUP($A93,LocalisationRemorque,3,0)</f>
        <v>Sauvenière</v>
      </c>
      <c r="D93" s="49" t="str">
        <f>CONCATENATE(VLOOKUP($A93,LocalisationRemorque,6,0)," ► ",VLOOKUP($A93,LocalisationRemorque,5,0))</f>
        <v>Gembloux ► E411</v>
      </c>
      <c r="E93" s="54" t="str">
        <f>IF(ISBLANK(Tableau!$E$93), "LIBRE", "OCCUPÉ")</f>
        <v>OCCUPÉ</v>
      </c>
      <c r="F93" s="54" t="str">
        <f>IF(ISBLANK(Tableau!$G$93), "LIBRE", "OCCUPÉ")</f>
        <v>LIBRE</v>
      </c>
      <c r="G93" s="52" t="str">
        <f>IF(ISBLANK(Tableau!$I$93), "LIBRE", "OCCUPÉ")</f>
        <v>LIBRE</v>
      </c>
      <c r="H93" s="54" t="str">
        <f>IF(ISBLANK(Tableau!$K$93), "LIBRE", "OCCUPÉ")</f>
        <v>LIBRE</v>
      </c>
      <c r="I93" s="54" t="str">
        <f>IF(ISBLANK(Tableau!$M$93), "LIBRE", "OCCUPÉ")</f>
        <v>LIBRE</v>
      </c>
      <c r="J93" s="54" t="str">
        <f>IF(ISBLANK(Tableau!$O$93), "LIBRE", "OCCUPÉ")</f>
        <v>LIBRE</v>
      </c>
      <c r="K93" s="54" t="str">
        <f>IF(ISBLANK(Tableau!$Q$93), "LIBRE", "OCCUPÉ")</f>
        <v>LIBRE</v>
      </c>
      <c r="L93" s="54" t="str">
        <f>IF(ISBLANK(Tableau!$S$93), "LIBRE", "OCCUPÉ")</f>
        <v>LIBRE</v>
      </c>
      <c r="M93" s="54" t="str">
        <f>IF(ISBLANK(Tableau!$U$93), "LIBRE", "OCCUPÉ")</f>
        <v>LIBRE</v>
      </c>
      <c r="N93" s="54" t="str">
        <f>IF(ISBLANK(Tableau!$W$93), "LIBRE", "OCCUPÉ")</f>
        <v>LIBRE</v>
      </c>
      <c r="O93" s="54" t="str">
        <f>IF(ISBLANK(Tableau!$Y$93), "LIBRE", "OCCUPÉ")</f>
        <v>LIBRE</v>
      </c>
      <c r="P93" s="54" t="str">
        <f>IF(ISBLANK(Tableau!$AA$93), "LIBRE", "OCCUPÉ")</f>
        <v>LIBRE</v>
      </c>
      <c r="Q93" s="54" t="str">
        <f>IF(ISBLANK(Tableau!$AC$93), "LIBRE", "OCCUPÉ")</f>
        <v>LIBRE</v>
      </c>
      <c r="R93" s="54" t="str">
        <f>IF(ISBLANK(Tableau!$AE$93), "LIBRE", "OCCUPÉ")</f>
        <v>LIBRE</v>
      </c>
      <c r="S93" s="52" t="str">
        <f>IF(ISBLANK(Tableau!$AG$93), "LIBRE", "OCCUPÉ")</f>
        <v>LIBRE</v>
      </c>
      <c r="T93" s="54" t="str">
        <f>IF(ISBLANK(Tableau!$AI$93), "LIBRE", "OCCUPÉ")</f>
        <v>LIBRE</v>
      </c>
      <c r="U93" s="52" t="str">
        <f>IF(ISBLANK(Tableau!$AK$93), "LIBRE", "OCCUPÉ")</f>
        <v>LIBRE</v>
      </c>
      <c r="V93" s="54" t="str">
        <f>IF(ISBLANK(Tableau!$AM$93), "LIBRE", "OCCUPÉ")</f>
        <v>LIBRE</v>
      </c>
      <c r="W93" s="52" t="str">
        <f>IF(ISBLANK(Tableau!$AO$93), "LIBRE", "OCCUPÉ")</f>
        <v>OCCUPÉ</v>
      </c>
      <c r="X93" s="54" t="str">
        <f>IF(ISBLANK(Tableau!$AQ$93), "LIBRE", "OCCUPÉ")</f>
        <v>LIBRE</v>
      </c>
      <c r="Y93" s="52" t="str">
        <f>IF(ISBLANK(Tableau!$AS$93), "LIBRE", "OCCUPÉ")</f>
        <v>LIBRE</v>
      </c>
      <c r="Z93" s="54" t="str">
        <f>IF(ISBLANK(Tableau!$AU$93), "LIBRE", "OCCUPÉ")</f>
        <v>LIBRE</v>
      </c>
      <c r="AA93" s="52" t="str">
        <f>IF(ISBLANK(Tableau!$AW$93), "LIBRE", "OCCUPÉ")</f>
        <v>LIBRE</v>
      </c>
      <c r="AB93" s="69" t="str">
        <f>IF(ISBLANK(Tableau!$AY93), "LIBRE", "OCCUPÉ")</f>
        <v>LIBRE</v>
      </c>
      <c r="AC93" s="70" t="s">
        <v>17</v>
      </c>
    </row>
    <row r="94" ht="21.75" customHeight="1">
      <c r="A94" s="72">
        <f>Tableau!A94</f>
        <v>329</v>
      </c>
      <c r="B94" s="73" t="str">
        <f>VLOOKUP($A94,LocalisationRemorque,2,0)</f>
        <v>Gembloux</v>
      </c>
      <c r="C94" s="74" t="str">
        <f>VLOOKUP($A94,LocalisationRemorque,3,0)</f>
        <v>Ernage/Walhain</v>
      </c>
      <c r="D94" s="75" t="str">
        <f>CONCATENATE(VLOOKUP($A94,LocalisationRemorque,6,0)," ► ",VLOOKUP($A94,LocalisationRemorque,5,0))</f>
        <v>Gembloux ► LLN</v>
      </c>
      <c r="E94" s="54" t="str">
        <f>IF(ISBLANK(Tableau!$E$94), "LIBRE", "OCCUPÉ")</f>
        <v>OCCUPÉ</v>
      </c>
      <c r="F94" s="52" t="str">
        <f>IF(ISBLANK(Tableau!$G$94), "LIBRE", "OCCUPÉ")</f>
        <v>LIBRE</v>
      </c>
      <c r="G94" s="54" t="str">
        <f>IF(ISBLANK(Tableau!$I$94), "LIBRE", "OCCUPÉ")</f>
        <v>LIBRE</v>
      </c>
      <c r="H94" s="52" t="str">
        <f>IF(ISBLANK(Tableau!$K$94), "LIBRE", "OCCUPÉ")</f>
        <v>LIBRE</v>
      </c>
      <c r="I94" s="54" t="str">
        <f>IF(ISBLANK(Tableau!$M$94), "LIBRE", "OCCUPÉ")</f>
        <v>LIBRE</v>
      </c>
      <c r="J94" s="54" t="str">
        <f>IF(ISBLANK(Tableau!$O$94), "LIBRE", "OCCUPÉ")</f>
        <v>LIBRE</v>
      </c>
      <c r="K94" s="54" t="str">
        <f>IF(ISBLANK(Tableau!$Q$94), "LIBRE", "OCCUPÉ")</f>
        <v>OCCUPÉ</v>
      </c>
      <c r="L94" s="54" t="str">
        <f>IF(ISBLANK(Tableau!$S$94), "LIBRE", "OCCUPÉ")</f>
        <v>LIBRE</v>
      </c>
      <c r="M94" s="54" t="str">
        <f>IF(ISBLANK(Tableau!$U$94), "LIBRE", "OCCUPÉ")</f>
        <v>LIBRE</v>
      </c>
      <c r="N94" s="54" t="str">
        <f>IF(ISBLANK(Tableau!$W$94), "LIBRE", "OCCUPÉ")</f>
        <v>LIBRE</v>
      </c>
      <c r="O94" s="54" t="str">
        <f>IF(ISBLANK(Tableau!$Y$94), "LIBRE", "OCCUPÉ")</f>
        <v>LIBRE</v>
      </c>
      <c r="P94" s="54" t="str">
        <f>IF(ISBLANK(Tableau!$AA$94), "LIBRE", "OCCUPÉ")</f>
        <v>LIBRE</v>
      </c>
      <c r="Q94" s="54" t="str">
        <f>IF(ISBLANK(Tableau!$AC$94), "LIBRE", "OCCUPÉ")</f>
        <v>LIBRE</v>
      </c>
      <c r="R94" s="54" t="str">
        <f>IF(ISBLANK(Tableau!$AE$94), "LIBRE", "OCCUPÉ")</f>
        <v>OCCUPÉ</v>
      </c>
      <c r="S94" s="54" t="str">
        <f>IF(ISBLANK(Tableau!$AG$94), "LIBRE", "OCCUPÉ")</f>
        <v>LIBRE</v>
      </c>
      <c r="T94" s="52" t="str">
        <f>IF(ISBLANK(Tableau!$AI$94), "LIBRE", "OCCUPÉ")</f>
        <v>LIBRE</v>
      </c>
      <c r="U94" s="54" t="str">
        <f>IF(ISBLANK(Tableau!$AK$94), "LIBRE", "OCCUPÉ")</f>
        <v>LIBRE</v>
      </c>
      <c r="V94" s="54" t="str">
        <f>IF(ISBLANK(Tableau!$AM$94), "LIBRE", "OCCUPÉ")</f>
        <v>LIBRE</v>
      </c>
      <c r="W94" s="54" t="str">
        <f>IF(ISBLANK(Tableau!$AO$94), "LIBRE", "OCCUPÉ")</f>
        <v>LIBRE</v>
      </c>
      <c r="X94" s="52" t="str">
        <f>IF(ISBLANK(Tableau!$AQ$94), "LIBRE", "OCCUPÉ")</f>
        <v>LIBRE</v>
      </c>
      <c r="Y94" s="54" t="str">
        <f>IF(ISBLANK(Tableau!$AS$94), "LIBRE", "OCCUPÉ")</f>
        <v>OCCUPÉ</v>
      </c>
      <c r="Z94" s="52" t="str">
        <f>IF(ISBLANK(Tableau!$AU$94), "LIBRE", "OCCUPÉ")</f>
        <v>LIBRE</v>
      </c>
      <c r="AA94" s="52" t="str">
        <f>IF(ISBLANK(Tableau!$AW$94), "LIBRE", "OCCUPÉ")</f>
        <v>OCCUPÉ</v>
      </c>
      <c r="AB94" s="76" t="str">
        <f>IF(ISBLANK(Tableau!$AY94), "LIBRE", "OCCUPÉ")</f>
        <v>LIBRE</v>
      </c>
      <c r="AC94" s="77"/>
    </row>
    <row r="95" ht="21.75" customHeight="1">
      <c r="A95" s="40">
        <f>Tableau!A95</f>
        <v>330</v>
      </c>
      <c r="B95" s="46" t="str">
        <f>VLOOKUP($A95,LocalisationRemorque,2,0)</f>
        <v>Namur</v>
      </c>
      <c r="C95" s="47" t="str">
        <f>VLOOKUP($A95,LocalisationRemorque,3,0)</f>
        <v>Waret-La-Chée - Leuze</v>
      </c>
      <c r="D95" s="49" t="str">
        <f>CONCATENATE(VLOOKUP($A95,LocalisationRemorque,6,0)," ► ",VLOOKUP($A95,LocalisationRemorque,5,0))</f>
        <v>E411 (Champion) ► Eghezee</v>
      </c>
      <c r="E95" s="52" t="str">
        <f>IF(ISBLANK(Tableau!$E$95), "LIBRE", "OCCUPÉ")</f>
        <v>LIBRE</v>
      </c>
      <c r="F95" s="52" t="str">
        <f>IF(ISBLANK(Tableau!$G$95), "LIBRE", "OCCUPÉ")</f>
        <v>OCCUPÉ</v>
      </c>
      <c r="G95" s="54" t="str">
        <f>IF(ISBLANK(Tableau!$I$95), "LIBRE", "OCCUPÉ")</f>
        <v>LIBRE</v>
      </c>
      <c r="H95" s="52" t="str">
        <f>IF(ISBLANK(Tableau!$K$95), "LIBRE", "OCCUPÉ")</f>
        <v>LIBRE</v>
      </c>
      <c r="I95" s="54" t="str">
        <f>IF(ISBLANK(Tableau!$M$95), "LIBRE", "OCCUPÉ")</f>
        <v>LIBRE</v>
      </c>
      <c r="J95" s="54" t="str">
        <f>IF(ISBLANK(Tableau!$O$95), "LIBRE", "OCCUPÉ")</f>
        <v>LIBRE</v>
      </c>
      <c r="K95" s="54" t="str">
        <f>IF(ISBLANK(Tableau!$Q$95), "LIBRE", "OCCUPÉ")</f>
        <v>LIBRE</v>
      </c>
      <c r="L95" s="54" t="str">
        <f>IF(ISBLANK(Tableau!$S$95), "LIBRE", "OCCUPÉ")</f>
        <v>LIBRE</v>
      </c>
      <c r="M95" s="54" t="str">
        <f>IF(ISBLANK(Tableau!$U$95), "LIBRE", "OCCUPÉ")</f>
        <v>LIBRE</v>
      </c>
      <c r="N95" s="54" t="str">
        <f>IF(ISBLANK(Tableau!$W$95), "LIBRE", "OCCUPÉ")</f>
        <v>OCCUPÉ</v>
      </c>
      <c r="O95" s="54" t="str">
        <f>IF(ISBLANK(Tableau!$Y$95), "LIBRE", "OCCUPÉ")</f>
        <v>LIBRE</v>
      </c>
      <c r="P95" s="52" t="str">
        <f>IF(ISBLANK(Tableau!$AA$95), "LIBRE", "OCCUPÉ")</f>
        <v>OCCUPÉ</v>
      </c>
      <c r="Q95" s="52" t="str">
        <f>IF(ISBLANK(Tableau!$AC$95), "LIBRE", "OCCUPÉ")</f>
        <v>LIBRE</v>
      </c>
      <c r="R95" s="54" t="str">
        <f>IF(ISBLANK(Tableau!$AE$95), "LIBRE", "OCCUPÉ")</f>
        <v>OCCUPÉ</v>
      </c>
      <c r="S95" s="52" t="str">
        <f>IF(ISBLANK(Tableau!$AG$95), "LIBRE", "OCCUPÉ")</f>
        <v>LIBRE</v>
      </c>
      <c r="T95" s="52" t="str">
        <f>IF(ISBLANK(Tableau!$AI$95), "LIBRE", "OCCUPÉ")</f>
        <v>LIBRE</v>
      </c>
      <c r="U95" s="54" t="str">
        <f>IF(ISBLANK(Tableau!$AK$95), "LIBRE", "OCCUPÉ")</f>
        <v>LIBRE</v>
      </c>
      <c r="V95" s="52" t="str">
        <f>IF(ISBLANK(Tableau!$AM$95), "LIBRE", "OCCUPÉ")</f>
        <v>OCCUPÉ</v>
      </c>
      <c r="W95" s="52" t="str">
        <f>IF(ISBLANK(Tableau!$AO$95), "LIBRE", "OCCUPÉ")</f>
        <v>LIBRE</v>
      </c>
      <c r="X95" s="52" t="str">
        <f>IF(ISBLANK(Tableau!$AQ$95), "LIBRE", "OCCUPÉ")</f>
        <v>LIBRE</v>
      </c>
      <c r="Y95" s="52" t="str">
        <f>IF(ISBLANK(Tableau!$AS$95), "LIBRE", "OCCUPÉ")</f>
        <v>LIBRE</v>
      </c>
      <c r="Z95" s="52" t="str">
        <f>IF(ISBLANK(Tableau!$AU$95), "LIBRE", "OCCUPÉ")</f>
        <v>LIBRE</v>
      </c>
      <c r="AA95" s="52" t="str">
        <f>IF(ISBLANK(Tableau!$AW$95), "LIBRE", "OCCUPÉ")</f>
        <v>LIBRE</v>
      </c>
      <c r="AB95" s="69" t="str">
        <f>IF(ISBLANK(Tableau!$AY95), "LIBRE", "OCCUPÉ")</f>
        <v>LIBRE</v>
      </c>
      <c r="AC95" s="70"/>
    </row>
    <row r="96" ht="21.75" customHeight="1">
      <c r="A96" s="72">
        <f>Tableau!A96</f>
        <v>331</v>
      </c>
      <c r="B96" s="73" t="str">
        <f>VLOOKUP($A96,LocalisationRemorque,2,0)</f>
        <v>Namur</v>
      </c>
      <c r="C96" s="74" t="str">
        <f>VLOOKUP($A96,LocalisationRemorque,3,0)</f>
        <v>Bouge</v>
      </c>
      <c r="D96" s="75" t="str">
        <f>CONCATENATE(VLOOKUP($A96,LocalisationRemorque,6,0)," ► ",VLOOKUP($A96,LocalisationRemorque,5,0))</f>
        <v>Namur ► Hannut</v>
      </c>
      <c r="E96" s="54" t="str">
        <f>IF(ISBLANK(Tableau!$E$96), "LIBRE", "OCCUPÉ")</f>
        <v>OCCUPÉ</v>
      </c>
      <c r="F96" s="54" t="str">
        <f>IF(ISBLANK(Tableau!$G$96), "LIBRE", "OCCUPÉ")</f>
        <v>OCCUPÉ</v>
      </c>
      <c r="G96" s="54" t="str">
        <f>IF(ISBLANK(Tableau!$I$96), "LIBRE", "OCCUPÉ")</f>
        <v>OCCUPÉ</v>
      </c>
      <c r="H96" s="52" t="str">
        <f>IF(ISBLANK(Tableau!$K$96), "LIBRE", "OCCUPÉ")</f>
        <v>LIBRE</v>
      </c>
      <c r="I96" s="54" t="str">
        <f>IF(ISBLANK(Tableau!$M$96), "LIBRE", "OCCUPÉ")</f>
        <v>OCCUPÉ</v>
      </c>
      <c r="J96" s="54" t="str">
        <f>IF(ISBLANK(Tableau!$O$96), "LIBRE", "OCCUPÉ")</f>
        <v>LIBRE</v>
      </c>
      <c r="K96" s="54" t="str">
        <f>IF(ISBLANK(Tableau!$Q$96), "LIBRE", "OCCUPÉ")</f>
        <v>OCCUPÉ</v>
      </c>
      <c r="L96" s="54" t="str">
        <f>IF(ISBLANK(Tableau!$S$96), "LIBRE", "OCCUPÉ")</f>
        <v>LIBRE</v>
      </c>
      <c r="M96" s="54" t="str">
        <f>IF(ISBLANK(Tableau!$U$96), "LIBRE", "OCCUPÉ")</f>
        <v>OCCUPÉ</v>
      </c>
      <c r="N96" s="54" t="str">
        <f>IF(ISBLANK(Tableau!$W$96), "LIBRE", "OCCUPÉ")</f>
        <v>OCCUPÉ</v>
      </c>
      <c r="O96" s="54" t="str">
        <f>IF(ISBLANK(Tableau!$Y$96), "LIBRE", "OCCUPÉ")</f>
        <v>LIBRE</v>
      </c>
      <c r="P96" s="54" t="str">
        <f>IF(ISBLANK(Tableau!$AA$96), "LIBRE", "OCCUPÉ")</f>
        <v>LIBRE</v>
      </c>
      <c r="Q96" s="52" t="str">
        <f>IF(ISBLANK(Tableau!$AC$96), "LIBRE", "OCCUPÉ")</f>
        <v>OCCUPÉ</v>
      </c>
      <c r="R96" s="54" t="str">
        <f>IF(ISBLANK(Tableau!$AE$96), "LIBRE", "OCCUPÉ")</f>
        <v>LIBRE</v>
      </c>
      <c r="S96" s="54" t="str">
        <f>IF(ISBLANK(Tableau!$AG$96), "LIBRE", "OCCUPÉ")</f>
        <v>LIBRE</v>
      </c>
      <c r="T96" s="52" t="str">
        <f>IF(ISBLANK(Tableau!$AI$96), "LIBRE", "OCCUPÉ")</f>
        <v>LIBRE</v>
      </c>
      <c r="U96" s="54" t="str">
        <f>IF(ISBLANK(Tableau!$AK$96), "LIBRE", "OCCUPÉ")</f>
        <v>LIBRE</v>
      </c>
      <c r="V96" s="54" t="str">
        <f>IF(ISBLANK(Tableau!$AM$96), "LIBRE", "OCCUPÉ")</f>
        <v>OCCUPÉ</v>
      </c>
      <c r="W96" s="52" t="str">
        <f>IF(ISBLANK(Tableau!$AO$96), "LIBRE", "OCCUPÉ")</f>
        <v>LIBRE</v>
      </c>
      <c r="X96" s="54" t="str">
        <f>IF(ISBLANK(Tableau!$AQ$96), "LIBRE", "OCCUPÉ")</f>
        <v>LIBRE</v>
      </c>
      <c r="Y96" s="54" t="str">
        <f>IF(ISBLANK(Tableau!$AS$96), "LIBRE", "OCCUPÉ")</f>
        <v>LIBRE</v>
      </c>
      <c r="Z96" s="54" t="str">
        <f>IF(ISBLANK(Tableau!$AU$96), "LIBRE", "OCCUPÉ")</f>
        <v>LIBRE</v>
      </c>
      <c r="AA96" s="52" t="str">
        <f>IF(ISBLANK(Tableau!$AW$96), "LIBRE", "OCCUPÉ")</f>
        <v>LIBRE</v>
      </c>
      <c r="AB96" s="76" t="str">
        <f>IF(ISBLANK(Tableau!$AY96), "LIBRE", "OCCUPÉ")</f>
        <v>LIBRE</v>
      </c>
      <c r="AC96" s="155"/>
    </row>
    <row r="97" ht="21.75" customHeight="1">
      <c r="A97" s="40">
        <f>Tableau!A97</f>
        <v>332</v>
      </c>
      <c r="B97" s="46" t="str">
        <f>VLOOKUP($A97,LocalisationRemorque,2,0)</f>
        <v>Namur</v>
      </c>
      <c r="C97" s="47" t="str">
        <f>VLOOKUP($A97,LocalisationRemorque,3,0)</f>
        <v>Flawinne</v>
      </c>
      <c r="D97" s="49" t="str">
        <f>CONCATENATE(VLOOKUP($A97,LocalisationRemorque,6,0)," ► ",VLOOKUP($A97,LocalisationRemorque,5,0))</f>
        <v>Floreffe ► Namur</v>
      </c>
      <c r="E97" s="54" t="str">
        <f>IF(ISBLANK(Tableau!$E$97), "LIBRE", "OCCUPÉ")</f>
        <v>OCCUPÉ</v>
      </c>
      <c r="F97" s="54" t="str">
        <f>IF(ISBLANK(Tableau!$G$97), "LIBRE", "OCCUPÉ")</f>
        <v>LIBRE</v>
      </c>
      <c r="G97" s="54" t="str">
        <f>IF(ISBLANK(Tableau!$I$97), "LIBRE", "OCCUPÉ")</f>
        <v>OCCUPÉ</v>
      </c>
      <c r="H97" s="52" t="str">
        <f>IF(ISBLANK(Tableau!$K$97), "LIBRE", "OCCUPÉ")</f>
        <v>LIBRE</v>
      </c>
      <c r="I97" s="54" t="str">
        <f>IF(ISBLANK(Tableau!$M$97), "LIBRE", "OCCUPÉ")</f>
        <v>OCCUPÉ</v>
      </c>
      <c r="J97" s="52" t="str">
        <f>IF(ISBLANK(Tableau!$O$97), "LIBRE", "OCCUPÉ")</f>
        <v>LIBRE</v>
      </c>
      <c r="K97" s="54" t="str">
        <f>IF(ISBLANK(Tableau!$Q$97), "LIBRE", "OCCUPÉ")</f>
        <v>OCCUPÉ</v>
      </c>
      <c r="L97" s="54" t="str">
        <f>IF(ISBLANK(Tableau!$S$97), "LIBRE", "OCCUPÉ")</f>
        <v>LIBRE</v>
      </c>
      <c r="M97" s="54" t="str">
        <f>IF(ISBLANK(Tableau!$U$97), "LIBRE", "OCCUPÉ")</f>
        <v>OCCUPÉ</v>
      </c>
      <c r="N97" s="52" t="str">
        <f>IF(ISBLANK(Tableau!$W$97), "LIBRE", "OCCUPÉ")</f>
        <v>LIBRE</v>
      </c>
      <c r="O97" s="54" t="str">
        <f>IF(ISBLANK(Tableau!$Y$97), "LIBRE", "OCCUPÉ")</f>
        <v>LIBRE</v>
      </c>
      <c r="P97" s="54" t="str">
        <f>IF(ISBLANK(Tableau!$AA$97), "LIBRE", "OCCUPÉ")</f>
        <v>LIBRE</v>
      </c>
      <c r="Q97" s="52" t="str">
        <f>IF(ISBLANK(Tableau!$AC$97), "LIBRE", "OCCUPÉ")</f>
        <v>LIBRE</v>
      </c>
      <c r="R97" s="52" t="str">
        <f>IF(ISBLANK(Tableau!$AE$97), "LIBRE", "OCCUPÉ")</f>
        <v>LIBRE</v>
      </c>
      <c r="S97" s="52" t="str">
        <f>IF(ISBLANK(Tableau!$AG$97), "LIBRE", "OCCUPÉ")</f>
        <v>OCCUPÉ</v>
      </c>
      <c r="T97" s="52" t="str">
        <f>IF(ISBLANK(Tableau!$AI$97), "LIBRE", "OCCUPÉ")</f>
        <v>LIBRE</v>
      </c>
      <c r="U97" s="52" t="str">
        <f>IF(ISBLANK(Tableau!$AK$97), "LIBRE", "OCCUPÉ")</f>
        <v>LIBRE</v>
      </c>
      <c r="V97" s="52" t="str">
        <f>IF(ISBLANK(Tableau!$AM$97), "LIBRE", "OCCUPÉ")</f>
        <v>LIBRE</v>
      </c>
      <c r="W97" s="52" t="str">
        <f>IF(ISBLANK(Tableau!$AO$97), "LIBRE", "OCCUPÉ")</f>
        <v>LIBRE</v>
      </c>
      <c r="X97" s="52" t="str">
        <f>IF(ISBLANK(Tableau!$AQ$97), "LIBRE", "OCCUPÉ")</f>
        <v>LIBRE</v>
      </c>
      <c r="Y97" s="54" t="str">
        <f>IF(ISBLANK(Tableau!$AS$97), "LIBRE", "OCCUPÉ")</f>
        <v>LIBRE</v>
      </c>
      <c r="Z97" s="52" t="str">
        <f>IF(ISBLANK(Tableau!$AU$97), "LIBRE", "OCCUPÉ")</f>
        <v>LIBRE</v>
      </c>
      <c r="AA97" s="52" t="str">
        <f>IF(ISBLANK(Tableau!$AW$97), "LIBRE", "OCCUPÉ")</f>
        <v>LIBRE</v>
      </c>
      <c r="AB97" s="76" t="str">
        <f>IF(ISBLANK(Tableau!$AY97), "LIBRE", "OCCUPÉ")</f>
        <v>LIBRE</v>
      </c>
      <c r="AC97" s="88"/>
    </row>
    <row r="98" ht="21.75" customHeight="1">
      <c r="A98" s="72">
        <f>Tableau!A98</f>
        <v>333</v>
      </c>
      <c r="B98" s="73" t="str">
        <f>VLOOKUP($A98,LocalisationRemorque,2,0)</f>
        <v>Namur</v>
      </c>
      <c r="C98" s="74" t="str">
        <f>VLOOKUP($A98,LocalisationRemorque,3,0)</f>
        <v>Malonne - Tonton Tapis</v>
      </c>
      <c r="D98" s="75" t="str">
        <f>CONCATENATE(VLOOKUP($A98,LocalisationRemorque,6,0)," ► ",VLOOKUP($A98,LocalisationRemorque,5,0))</f>
        <v>Namur ► Floreffe</v>
      </c>
      <c r="E98" s="54" t="str">
        <f>IF(ISBLANK(Tableau!$E$98), "LIBRE", "OCCUPÉ")</f>
        <v>LIBRE</v>
      </c>
      <c r="F98" s="52" t="str">
        <f>IF(ISBLANK(Tableau!$G$98), "LIBRE", "OCCUPÉ")</f>
        <v>OCCUPÉ</v>
      </c>
      <c r="G98" s="54" t="str">
        <f>IF(ISBLANK(Tableau!$I$98), "LIBRE", "OCCUPÉ")</f>
        <v>LIBRE</v>
      </c>
      <c r="H98" s="52" t="str">
        <f>IF(ISBLANK(Tableau!$K$98), "LIBRE", "OCCUPÉ")</f>
        <v>LIBRE</v>
      </c>
      <c r="I98" s="54" t="str">
        <f>IF(ISBLANK(Tableau!$M$98), "LIBRE", "OCCUPÉ")</f>
        <v>LIBRE</v>
      </c>
      <c r="J98" s="54" t="str">
        <f>IF(ISBLANK(Tableau!$O$98), "LIBRE", "OCCUPÉ")</f>
        <v>LIBRE</v>
      </c>
      <c r="K98" s="54" t="str">
        <f>IF(ISBLANK(Tableau!$Q$98), "LIBRE", "OCCUPÉ")</f>
        <v>OCCUPÉ</v>
      </c>
      <c r="L98" s="54" t="str">
        <f>IF(ISBLANK(Tableau!$S$98), "LIBRE", "OCCUPÉ")</f>
        <v>OCCUPÉ</v>
      </c>
      <c r="M98" s="54" t="str">
        <f>IF(ISBLANK(Tableau!$U$98), "LIBRE", "OCCUPÉ")</f>
        <v>LIBRE</v>
      </c>
      <c r="N98" s="54" t="str">
        <f>IF(ISBLANK(Tableau!$W$98), "LIBRE", "OCCUPÉ")</f>
        <v>LIBRE</v>
      </c>
      <c r="O98" s="54" t="str">
        <f>IF(ISBLANK(Tableau!$Y$98), "LIBRE", "OCCUPÉ")</f>
        <v>LIBRE</v>
      </c>
      <c r="P98" s="54" t="str">
        <f>IF(ISBLANK(Tableau!$AA$98), "LIBRE", "OCCUPÉ")</f>
        <v>OCCUPÉ</v>
      </c>
      <c r="Q98" s="52" t="str">
        <f>IF(ISBLANK(Tableau!$AC$98), "LIBRE", "OCCUPÉ")</f>
        <v>LIBRE</v>
      </c>
      <c r="R98" s="52" t="str">
        <f>IF(ISBLANK(Tableau!$AE$98), "LIBRE", "OCCUPÉ")</f>
        <v>OCCUPÉ</v>
      </c>
      <c r="S98" s="54" t="str">
        <f>IF(ISBLANK(Tableau!$AG$98), "LIBRE", "OCCUPÉ")</f>
        <v>LIBRE</v>
      </c>
      <c r="T98" s="52" t="str">
        <f>IF(ISBLANK(Tableau!$AI$98), "LIBRE", "OCCUPÉ")</f>
        <v>LIBRE</v>
      </c>
      <c r="U98" s="52" t="str">
        <f>IF(ISBLANK(Tableau!$AK$98), "LIBRE", "OCCUPÉ")</f>
        <v>OCCUPÉ</v>
      </c>
      <c r="V98" s="52" t="str">
        <f>IF(ISBLANK(Tableau!$AM$98), "LIBRE", "OCCUPÉ")</f>
        <v>LIBRE</v>
      </c>
      <c r="W98" s="54" t="str">
        <f>IF(ISBLANK(Tableau!$AO$98), "LIBRE", "OCCUPÉ")</f>
        <v>LIBRE</v>
      </c>
      <c r="X98" s="52" t="str">
        <f>IF(ISBLANK(Tableau!$AQ$98), "LIBRE", "OCCUPÉ")</f>
        <v>LIBRE</v>
      </c>
      <c r="Y98" s="52" t="str">
        <f>IF(ISBLANK(Tableau!$AS$98), "LIBRE", "OCCUPÉ")</f>
        <v>LIBRE</v>
      </c>
      <c r="Z98" s="52" t="str">
        <f>IF(ISBLANK(Tableau!$AU$98), "LIBRE", "OCCUPÉ")</f>
        <v>LIBRE</v>
      </c>
      <c r="AA98" s="52" t="str">
        <f>IF(ISBLANK(Tableau!$AW$98), "LIBRE", "OCCUPÉ")</f>
        <v>LIBRE</v>
      </c>
      <c r="AB98" s="69" t="str">
        <f>IF(ISBLANK(Tableau!$AY98), "LIBRE", "OCCUPÉ")</f>
        <v>LIBRE</v>
      </c>
      <c r="AC98" s="155"/>
    </row>
    <row r="99" ht="21.75" customHeight="1">
      <c r="A99" s="40">
        <f>Tableau!A99</f>
        <v>334</v>
      </c>
      <c r="B99" s="46" t="str">
        <f>VLOOKUP($A99,LocalisationRemorque,2,0)</f>
        <v>Namur</v>
      </c>
      <c r="C99" s="47" t="str">
        <f>VLOOKUP($A99,LocalisationRemorque,3,0)</f>
        <v>Rhisnes</v>
      </c>
      <c r="D99" s="49" t="str">
        <f>CONCATENATE(VLOOKUP($A99,LocalisationRemorque,6,0)," ► ",VLOOKUP($A99,LocalisationRemorque,5,0))</f>
        <v>Gembloux ► Namur</v>
      </c>
      <c r="E99" s="54" t="str">
        <f>IF(ISBLANK(Tableau!$E$99), "LIBRE", "OCCUPÉ")</f>
        <v>LIBRE</v>
      </c>
      <c r="F99" s="54" t="str">
        <f>IF(ISBLANK(Tableau!$G$99), "LIBRE", "OCCUPÉ")</f>
        <v>OCCUPÉ</v>
      </c>
      <c r="G99" s="54" t="str">
        <f>IF(ISBLANK(Tableau!$I$99), "LIBRE", "OCCUPÉ")</f>
        <v>LIBRE</v>
      </c>
      <c r="H99" s="54" t="str">
        <f>IF(ISBLANK(Tableau!$K$99), "LIBRE", "OCCUPÉ")</f>
        <v>OCCUPÉ</v>
      </c>
      <c r="I99" s="54" t="str">
        <f>IF(ISBLANK(Tableau!$M$99), "LIBRE", "OCCUPÉ")</f>
        <v>LIBRE</v>
      </c>
      <c r="J99" s="54" t="str">
        <f>IF(ISBLANK(Tableau!$O$99), "LIBRE", "OCCUPÉ")</f>
        <v>OCCUPÉ</v>
      </c>
      <c r="K99" s="54" t="str">
        <f>IF(ISBLANK(Tableau!$Q$99), "LIBRE", "OCCUPÉ")</f>
        <v>LIBRE</v>
      </c>
      <c r="L99" s="54" t="str">
        <f>IF(ISBLANK(Tableau!$S$99), "LIBRE", "OCCUPÉ")</f>
        <v>OCCUPÉ</v>
      </c>
      <c r="M99" s="54" t="str">
        <f>IF(ISBLANK(Tableau!$U$99), "LIBRE", "OCCUPÉ")</f>
        <v>LIBRE</v>
      </c>
      <c r="N99" s="54" t="str">
        <f>IF(ISBLANK(Tableau!$W$99), "LIBRE", "OCCUPÉ")</f>
        <v>OCCUPÉ</v>
      </c>
      <c r="O99" s="54" t="str">
        <f>IF(ISBLANK(Tableau!$Y$99), "LIBRE", "OCCUPÉ")</f>
        <v>OCCUPÉ</v>
      </c>
      <c r="P99" s="54" t="str">
        <f>IF(ISBLANK(Tableau!$AA$99), "LIBRE", "OCCUPÉ")</f>
        <v>OCCUPÉ</v>
      </c>
      <c r="Q99" s="54" t="str">
        <f>IF(ISBLANK(Tableau!$AC$99), "LIBRE", "OCCUPÉ")</f>
        <v>LIBRE</v>
      </c>
      <c r="R99" s="54" t="str">
        <f>IF(ISBLANK(Tableau!$AE$99), "LIBRE", "OCCUPÉ")</f>
        <v>OCCUPÉ</v>
      </c>
      <c r="S99" s="54" t="str">
        <f>IF(ISBLANK(Tableau!$AG$99), "LIBRE", "OCCUPÉ")</f>
        <v>LIBRE</v>
      </c>
      <c r="T99" s="54" t="str">
        <f>IF(ISBLANK(Tableau!$AI$99), "LIBRE", "OCCUPÉ")</f>
        <v>OCCUPÉ</v>
      </c>
      <c r="U99" s="54" t="str">
        <f>IF(ISBLANK(Tableau!$AK$99), "LIBRE", "OCCUPÉ")</f>
        <v>LIBRE</v>
      </c>
      <c r="V99" s="54" t="str">
        <f>IF(ISBLANK(Tableau!$AM$99), "LIBRE", "OCCUPÉ")</f>
        <v>OCCUPÉ</v>
      </c>
      <c r="W99" s="54" t="str">
        <f>IF(ISBLANK(Tableau!$AO$99), "LIBRE", "OCCUPÉ")</f>
        <v>LIBRE</v>
      </c>
      <c r="X99" s="54" t="str">
        <f>IF(ISBLANK(Tableau!$AQ$99), "LIBRE", "OCCUPÉ")</f>
        <v>OCCUPÉ</v>
      </c>
      <c r="Y99" s="54" t="str">
        <f>IF(ISBLANK(Tableau!$AS$99), "LIBRE", "OCCUPÉ")</f>
        <v>LIBRE</v>
      </c>
      <c r="Z99" s="54" t="str">
        <f>IF(ISBLANK(Tableau!$AU$99), "LIBRE", "OCCUPÉ")</f>
        <v>OCCUPÉ</v>
      </c>
      <c r="AA99" s="54" t="str">
        <f>IF(ISBLANK(Tableau!$AW$99), "LIBRE", "OCCUPÉ")</f>
        <v>LIBRE</v>
      </c>
      <c r="AB99" s="69" t="str">
        <f>IF(ISBLANK(Tableau!$AY99), "LIBRE", "OCCUPÉ")</f>
        <v>OCCUPÉ</v>
      </c>
      <c r="AC99" s="335"/>
    </row>
    <row r="100" ht="21.75" customHeight="1">
      <c r="A100" s="72">
        <f>Tableau!A100</f>
        <v>335</v>
      </c>
      <c r="B100" s="73" t="str">
        <f>VLOOKUP($A100,LocalisationRemorque,2,0)</f>
        <v>Namur</v>
      </c>
      <c r="C100" s="74" t="str">
        <f>VLOOKUP($A100,LocalisationRemorque,3,0)</f>
        <v>Temploux</v>
      </c>
      <c r="D100" s="75" t="str">
        <f>CONCATENATE(VLOOKUP($A100,LocalisationRemorque,6,0)," ► ",VLOOKUP($A100,LocalisationRemorque,5,0))</f>
        <v>Nivelles ► Namur</v>
      </c>
      <c r="E100" s="54" t="str">
        <f>IF(ISBLANK(Tableau!$E$100), "LIBRE", "OCCUPÉ")</f>
        <v>OCCUPÉ</v>
      </c>
      <c r="F100" s="54" t="str">
        <f>IF(ISBLANK(Tableau!$G$100), "LIBRE", "OCCUPÉ")</f>
        <v>OCCUPÉ</v>
      </c>
      <c r="G100" s="54" t="str">
        <f>IF(ISBLANK(Tableau!$I$100), "LIBRE", "OCCUPÉ")</f>
        <v>OCCUPÉ</v>
      </c>
      <c r="H100" s="52" t="str">
        <f>IF(ISBLANK(Tableau!$K$100), "LIBRE", "OCCUPÉ")</f>
        <v>LIBRE</v>
      </c>
      <c r="I100" s="54" t="str">
        <f>IF(ISBLANK(Tableau!$M$100), "LIBRE", "OCCUPÉ")</f>
        <v>OCCUPÉ</v>
      </c>
      <c r="J100" s="52" t="str">
        <f>IF(ISBLANK(Tableau!$O$100), "LIBRE", "OCCUPÉ")</f>
        <v>LIBRE</v>
      </c>
      <c r="K100" s="54" t="str">
        <f>IF(ISBLANK(Tableau!$Q$100), "LIBRE", "OCCUPÉ")</f>
        <v>OCCUPÉ</v>
      </c>
      <c r="L100" s="52" t="str">
        <f>IF(ISBLANK(Tableau!$S$100), "LIBRE", "OCCUPÉ")</f>
        <v>LIBRE</v>
      </c>
      <c r="M100" s="54" t="str">
        <f>IF(ISBLANK(Tableau!$U$100), "LIBRE", "OCCUPÉ")</f>
        <v>OCCUPÉ</v>
      </c>
      <c r="N100" s="54" t="str">
        <f>IF(ISBLANK(Tableau!$W$100), "LIBRE", "OCCUPÉ")</f>
        <v>LIBRE</v>
      </c>
      <c r="O100" s="54" t="str">
        <f>IF(ISBLANK(Tableau!$Y$100), "LIBRE", "OCCUPÉ")</f>
        <v>LIBRE</v>
      </c>
      <c r="P100" s="54" t="str">
        <f>IF(ISBLANK(Tableau!$AA$100), "LIBRE", "OCCUPÉ")</f>
        <v>LIBRE</v>
      </c>
      <c r="Q100" s="54" t="str">
        <f>IF(ISBLANK(Tableau!$AC$100), "LIBRE", "OCCUPÉ")</f>
        <v>OCCUPÉ</v>
      </c>
      <c r="R100" s="54" t="str">
        <f>IF(ISBLANK(Tableau!$AE$100), "LIBRE", "OCCUPÉ")</f>
        <v>LIBRE</v>
      </c>
      <c r="S100" s="52" t="str">
        <f>IF(ISBLANK(Tableau!$AG$100), "LIBRE", "OCCUPÉ")</f>
        <v>LIBRE</v>
      </c>
      <c r="T100" s="52" t="str">
        <f>IF(ISBLANK(Tableau!$AI$100), "LIBRE", "OCCUPÉ")</f>
        <v>LIBRE</v>
      </c>
      <c r="U100" s="54" t="str">
        <f>IF(ISBLANK(Tableau!$AK$100), "LIBRE", "OCCUPÉ")</f>
        <v>LIBRE</v>
      </c>
      <c r="V100" s="52" t="str">
        <f>IF(ISBLANK(Tableau!$AM$100), "LIBRE", "OCCUPÉ")</f>
        <v>LIBRE</v>
      </c>
      <c r="W100" s="54" t="str">
        <f>IF(ISBLANK(Tableau!$AO$100), "LIBRE", "OCCUPÉ")</f>
        <v>LIBRE</v>
      </c>
      <c r="X100" s="54" t="str">
        <f>IF(ISBLANK(Tableau!$AQ$100), "LIBRE", "OCCUPÉ")</f>
        <v>LIBRE</v>
      </c>
      <c r="Y100" s="52" t="str">
        <f>IF(ISBLANK(Tableau!$AS$100), "LIBRE", "OCCUPÉ")</f>
        <v>LIBRE</v>
      </c>
      <c r="Z100" s="52" t="str">
        <f>IF(ISBLANK(Tableau!$AU$100), "LIBRE", "OCCUPÉ")</f>
        <v>LIBRE</v>
      </c>
      <c r="AA100" s="54" t="str">
        <f>IF(ISBLANK(Tableau!$AW$100), "LIBRE", "OCCUPÉ")</f>
        <v>LIBRE</v>
      </c>
      <c r="AB100" s="76" t="str">
        <f>IF(ISBLANK(Tableau!$AY100), "LIBRE", "OCCUPÉ")</f>
        <v>LIBRE</v>
      </c>
      <c r="AC100" s="155"/>
    </row>
    <row r="101" ht="21.75" customHeight="1">
      <c r="A101" s="40">
        <f>Tableau!A101</f>
        <v>336</v>
      </c>
      <c r="B101" s="46" t="str">
        <f>VLOOKUP($A101,LocalisationRemorque,2,0)</f>
        <v>Namur</v>
      </c>
      <c r="C101" s="47" t="str">
        <f>VLOOKUP($A101,LocalisationRemorque,3,0)</f>
        <v>Bois de villers</v>
      </c>
      <c r="D101" s="49" t="str">
        <f>CONCATENATE(VLOOKUP($A101,LocalisationRemorque,6,0)," ► ",VLOOKUP($A101,LocalisationRemorque,5,0))</f>
        <v>Floreffe ► Bois de Villers</v>
      </c>
      <c r="E101" s="52" t="str">
        <f>IF(ISBLANK(Tableau!$E$101), "LIBRE", "OCCUPÉ")</f>
        <v>LIBRE</v>
      </c>
      <c r="F101" s="52" t="str">
        <f>IF(ISBLANK(Tableau!$G$101), "LIBRE", "OCCUPÉ")</f>
        <v>LIBRE</v>
      </c>
      <c r="G101" s="52" t="str">
        <f>IF(ISBLANK(Tableau!$I$101), "LIBRE", "OCCUPÉ")</f>
        <v>LIBRE</v>
      </c>
      <c r="H101" s="52" t="str">
        <f>IF(ISBLANK(Tableau!$K$101), "LIBRE", "OCCUPÉ")</f>
        <v>LIBRE</v>
      </c>
      <c r="I101" s="54" t="str">
        <f>IF(ISBLANK(Tableau!$M$101), "LIBRE", "OCCUPÉ")</f>
        <v>OCCUPÉ</v>
      </c>
      <c r="J101" s="54" t="str">
        <f>IF(ISBLANK(Tableau!$O$101), "LIBRE", "OCCUPÉ")</f>
        <v>LIBRE</v>
      </c>
      <c r="K101" s="54" t="str">
        <f>IF(ISBLANK(Tableau!$Q$101), "LIBRE", "OCCUPÉ")</f>
        <v>LIBRE</v>
      </c>
      <c r="L101" s="54" t="str">
        <f>IF(ISBLANK(Tableau!$S$101), "LIBRE", "OCCUPÉ")</f>
        <v>LIBRE</v>
      </c>
      <c r="M101" s="54" t="str">
        <f>IF(ISBLANK(Tableau!$U$101), "LIBRE", "OCCUPÉ")</f>
        <v>OCCUPÉ</v>
      </c>
      <c r="N101" s="52" t="str">
        <f>IF(ISBLANK(Tableau!$W$101), "LIBRE", "OCCUPÉ")</f>
        <v>LIBRE</v>
      </c>
      <c r="O101" s="54" t="str">
        <f>IF(ISBLANK(Tableau!$Y$101), "LIBRE", "OCCUPÉ")</f>
        <v>LIBRE</v>
      </c>
      <c r="P101" s="54" t="str">
        <f>IF(ISBLANK(Tableau!$AA$101), "LIBRE", "OCCUPÉ")</f>
        <v>LIBRE</v>
      </c>
      <c r="Q101" s="52" t="str">
        <f>IF(ISBLANK(Tableau!$AC$101), "LIBRE", "OCCUPÉ")</f>
        <v>LIBRE</v>
      </c>
      <c r="R101" s="52" t="str">
        <f>IF(ISBLANK(Tableau!$AE$101), "LIBRE", "OCCUPÉ")</f>
        <v>LIBRE</v>
      </c>
      <c r="S101" s="52" t="str">
        <f>IF(ISBLANK(Tableau!$AG$101), "LIBRE", "OCCUPÉ")</f>
        <v>LIBRE</v>
      </c>
      <c r="T101" s="52" t="str">
        <f>IF(ISBLANK(Tableau!$AI$101), "LIBRE", "OCCUPÉ")</f>
        <v>LIBRE</v>
      </c>
      <c r="U101" s="52" t="str">
        <f>IF(ISBLANK(Tableau!$AK$101), "LIBRE", "OCCUPÉ")</f>
        <v>LIBRE</v>
      </c>
      <c r="V101" s="52" t="str">
        <f>IF(ISBLANK(Tableau!$AM$101), "LIBRE", "OCCUPÉ")</f>
        <v>LIBRE</v>
      </c>
      <c r="W101" s="54" t="str">
        <f>IF(ISBLANK(Tableau!$AO$101), "LIBRE", "OCCUPÉ")</f>
        <v>LIBRE</v>
      </c>
      <c r="X101" s="52" t="str">
        <f>IF(ISBLANK(Tableau!$AQ$101), "LIBRE", "OCCUPÉ")</f>
        <v>LIBRE</v>
      </c>
      <c r="Y101" s="52" t="str">
        <f>IF(ISBLANK(Tableau!$AS$101), "LIBRE", "OCCUPÉ")</f>
        <v>LIBRE</v>
      </c>
      <c r="Z101" s="52" t="str">
        <f>IF(ISBLANK(Tableau!$AU$101), "LIBRE", "OCCUPÉ")</f>
        <v>LIBRE</v>
      </c>
      <c r="AA101" s="52" t="str">
        <f>IF(ISBLANK(Tableau!$AW$101), "LIBRE", "OCCUPÉ")</f>
        <v>LIBRE</v>
      </c>
      <c r="AB101" s="76" t="str">
        <f>IF(ISBLANK(Tableau!$AY101), "LIBRE", "OCCUPÉ")</f>
        <v>LIBRE</v>
      </c>
      <c r="AC101" s="88"/>
    </row>
    <row r="102" ht="21.75" customHeight="1">
      <c r="A102" s="72">
        <f>Tableau!A102</f>
        <v>337</v>
      </c>
      <c r="B102" s="73" t="str">
        <f>VLOOKUP($A102,LocalisationRemorque,2,0)</f>
        <v>Namur</v>
      </c>
      <c r="C102" s="74" t="str">
        <f>VLOOKUP($A102,LocalisationRemorque,3,0)</f>
        <v>Wépion Criée</v>
      </c>
      <c r="D102" s="75" t="str">
        <f>CONCATENATE(VLOOKUP($A102,LocalisationRemorque,6,0)," ► ",VLOOKUP($A102,LocalisationRemorque,5,0))</f>
        <v>Bois de Villers ► Wépion</v>
      </c>
      <c r="E102" s="52" t="str">
        <f>IF(ISBLANK(Tableau!$E$102), "LIBRE", "OCCUPÉ")</f>
        <v>OCCUPÉ</v>
      </c>
      <c r="F102" s="52" t="str">
        <f>IF(ISBLANK(Tableau!$G$102), "LIBRE", "OCCUPÉ")</f>
        <v>OCCUPÉ</v>
      </c>
      <c r="G102" s="52" t="str">
        <f>IF(ISBLANK(Tableau!$I$102), "LIBRE", "OCCUPÉ")</f>
        <v>LIBRE</v>
      </c>
      <c r="H102" s="54" t="str">
        <f>IF(ISBLANK(Tableau!$K$102), "LIBRE", "OCCUPÉ")</f>
        <v>OCCUPÉ</v>
      </c>
      <c r="I102" s="54" t="str">
        <f>IF(ISBLANK(Tableau!$M$102), "LIBRE", "OCCUPÉ")</f>
        <v>OCCUPÉ</v>
      </c>
      <c r="J102" s="54" t="str">
        <f>IF(ISBLANK(Tableau!$O$102), "LIBRE", "OCCUPÉ")</f>
        <v>LIBRE</v>
      </c>
      <c r="K102" s="54" t="str">
        <f>IF(ISBLANK(Tableau!$Q$102), "LIBRE", "OCCUPÉ")</f>
        <v>OCCUPÉ</v>
      </c>
      <c r="L102" s="52" t="str">
        <f>IF(ISBLANK(Tableau!$S$102), "LIBRE", "OCCUPÉ")</f>
        <v>LIBRE</v>
      </c>
      <c r="M102" s="54" t="str">
        <f>IF(ISBLANK(Tableau!$U$102), "LIBRE", "OCCUPÉ")</f>
        <v>OCCUPÉ</v>
      </c>
      <c r="N102" s="52" t="str">
        <f>IF(ISBLANK(Tableau!$W$102), "LIBRE", "OCCUPÉ")</f>
        <v>LIBRE</v>
      </c>
      <c r="O102" s="54" t="str">
        <f>IF(ISBLANK(Tableau!$Y$102), "LIBRE", "OCCUPÉ")</f>
        <v>LIBRE</v>
      </c>
      <c r="P102" s="52" t="str">
        <f>IF(ISBLANK(Tableau!$AA$102), "LIBRE", "OCCUPÉ")</f>
        <v>LIBRE</v>
      </c>
      <c r="Q102" s="54" t="str">
        <f>IF(ISBLANK(Tableau!$AC$102), "LIBRE", "OCCUPÉ")</f>
        <v>OCCUPÉ</v>
      </c>
      <c r="R102" s="52" t="str">
        <f>IF(ISBLANK(Tableau!$AE$102), "LIBRE", "OCCUPÉ")</f>
        <v>LIBRE</v>
      </c>
      <c r="S102" s="54" t="str">
        <f>IF(ISBLANK(Tableau!$AG$102), "LIBRE", "OCCUPÉ")</f>
        <v>LIBRE</v>
      </c>
      <c r="T102" s="52" t="str">
        <f>IF(ISBLANK(Tableau!$AI$102), "LIBRE", "OCCUPÉ")</f>
        <v>LIBRE</v>
      </c>
      <c r="U102" s="52" t="str">
        <f>IF(ISBLANK(Tableau!$AK$102), "LIBRE", "OCCUPÉ")</f>
        <v>LIBRE</v>
      </c>
      <c r="V102" s="54" t="str">
        <f>IF(ISBLANK(Tableau!$AM$102), "LIBRE", "OCCUPÉ")</f>
        <v>LIBRE</v>
      </c>
      <c r="W102" s="54" t="str">
        <f>IF(ISBLANK(Tableau!$AO$102), "LIBRE", "OCCUPÉ")</f>
        <v>LIBRE</v>
      </c>
      <c r="X102" s="52" t="str">
        <f>IF(ISBLANK(Tableau!$AQ$102), "LIBRE", "OCCUPÉ")</f>
        <v>LIBRE</v>
      </c>
      <c r="Y102" s="52" t="str">
        <f>IF(ISBLANK(Tableau!$AS$102), "LIBRE", "OCCUPÉ")</f>
        <v>LIBRE</v>
      </c>
      <c r="Z102" s="54" t="str">
        <f>IF(ISBLANK(Tableau!$AU$102), "LIBRE", "OCCUPÉ")</f>
        <v>LIBRE</v>
      </c>
      <c r="AA102" s="52" t="str">
        <f>IF(ISBLANK(Tableau!$AW$102), "LIBRE", "OCCUPÉ")</f>
        <v>LIBRE</v>
      </c>
      <c r="AB102" s="76" t="str">
        <f>IF(ISBLANK(Tableau!$AY102), "LIBRE", "OCCUPÉ")</f>
        <v>LIBRE</v>
      </c>
      <c r="AC102" s="155"/>
    </row>
    <row r="103" ht="21.75" customHeight="1">
      <c r="A103" s="40">
        <f>Tableau!A103</f>
        <v>338</v>
      </c>
      <c r="B103" s="46" t="str">
        <f>VLOOKUP($A103,LocalisationRemorque,2,0)</f>
        <v>Namur</v>
      </c>
      <c r="C103" s="47" t="str">
        <f>VLOOKUP($A103,LocalisationRemorque,3,0)</f>
        <v>Floriffoux</v>
      </c>
      <c r="D103" s="49" t="str">
        <f>CONCATENATE(VLOOKUP($A103,LocalisationRemorque,6,0)," ► ",VLOOKUP($A103,LocalisationRemorque,5,0))</f>
        <v>Suarlée ► Floreffe</v>
      </c>
      <c r="E103" s="54" t="str">
        <f>IF(ISBLANK(Tableau!$E$103), "LIBRE", "OCCUPÉ")</f>
        <v>LIBRE</v>
      </c>
      <c r="F103" s="52" t="str">
        <f>IF(ISBLANK(Tableau!$G$103), "LIBRE", "OCCUPÉ")</f>
        <v>LIBRE</v>
      </c>
      <c r="G103" s="52" t="str">
        <f>IF(ISBLANK(Tableau!$I$103), "LIBRE", "OCCUPÉ")</f>
        <v>OCCUPÉ</v>
      </c>
      <c r="H103" s="52" t="str">
        <f>IF(ISBLANK(Tableau!$K$103), "LIBRE", "OCCUPÉ")</f>
        <v>LIBRE</v>
      </c>
      <c r="I103" s="54" t="str">
        <f>IF(ISBLANK(Tableau!$M$103), "LIBRE", "OCCUPÉ")</f>
        <v>LIBRE</v>
      </c>
      <c r="J103" s="54" t="str">
        <f>IF(ISBLANK(Tableau!$O$103), "LIBRE", "OCCUPÉ")</f>
        <v>LIBRE</v>
      </c>
      <c r="K103" s="54" t="str">
        <f>IF(ISBLANK(Tableau!$Q$103), "LIBRE", "OCCUPÉ")</f>
        <v>LIBRE</v>
      </c>
      <c r="L103" s="52" t="str">
        <f>IF(ISBLANK(Tableau!$S$103), "LIBRE", "OCCUPÉ")</f>
        <v>LIBRE</v>
      </c>
      <c r="M103" s="54" t="str">
        <f>IF(ISBLANK(Tableau!$U$103), "LIBRE", "OCCUPÉ")</f>
        <v>LIBRE</v>
      </c>
      <c r="N103" s="54" t="str">
        <f>IF(ISBLANK(Tableau!$W$103), "LIBRE", "OCCUPÉ")</f>
        <v>LIBRE</v>
      </c>
      <c r="O103" s="54" t="str">
        <f>IF(ISBLANK(Tableau!$Y$103), "LIBRE", "OCCUPÉ")</f>
        <v>OCCUPÉ</v>
      </c>
      <c r="P103" s="54" t="str">
        <f>IF(ISBLANK(Tableau!$AA$103), "LIBRE", "OCCUPÉ")</f>
        <v>LIBRE</v>
      </c>
      <c r="Q103" s="52" t="str">
        <f>IF(ISBLANK(Tableau!$AC$103), "LIBRE", "OCCUPÉ")</f>
        <v>LIBRE</v>
      </c>
      <c r="R103" s="52" t="str">
        <f>IF(ISBLANK(Tableau!$AE$103), "LIBRE", "OCCUPÉ")</f>
        <v>LIBRE</v>
      </c>
      <c r="S103" s="52" t="str">
        <f>IF(ISBLANK(Tableau!$AG$103), "LIBRE", "OCCUPÉ")</f>
        <v>LIBRE</v>
      </c>
      <c r="T103" s="52" t="str">
        <f>IF(ISBLANK(Tableau!$AI$103), "LIBRE", "OCCUPÉ")</f>
        <v>LIBRE</v>
      </c>
      <c r="U103" s="54" t="str">
        <f>IF(ISBLANK(Tableau!$AK$103), "LIBRE", "OCCUPÉ")</f>
        <v>OCCUPÉ</v>
      </c>
      <c r="V103" s="52" t="str">
        <f>IF(ISBLANK(Tableau!$AM$103), "LIBRE", "OCCUPÉ")</f>
        <v>LIBRE</v>
      </c>
      <c r="W103" s="54" t="str">
        <f>IF(ISBLANK(Tableau!$AO$103), "LIBRE", "OCCUPÉ")</f>
        <v>LIBRE</v>
      </c>
      <c r="X103" s="52" t="str">
        <f>IF(ISBLANK(Tableau!$AQ$103), "LIBRE", "OCCUPÉ")</f>
        <v>LIBRE</v>
      </c>
      <c r="Y103" s="52" t="str">
        <f>IF(ISBLANK(Tableau!$AS$103), "LIBRE", "OCCUPÉ")</f>
        <v>LIBRE</v>
      </c>
      <c r="Z103" s="52" t="str">
        <f>IF(ISBLANK(Tableau!$AU$103), "LIBRE", "OCCUPÉ")</f>
        <v>LIBRE</v>
      </c>
      <c r="AA103" s="54" t="str">
        <f>IF(ISBLANK(Tableau!$AW$103), "LIBRE", "OCCUPÉ")</f>
        <v>LIBRE</v>
      </c>
      <c r="AB103" s="76" t="str">
        <f>IF(ISBLANK(Tableau!$AY103), "LIBRE", "OCCUPÉ")</f>
        <v>LIBRE</v>
      </c>
      <c r="AC103" s="88"/>
    </row>
    <row r="104" ht="21.75" customHeight="1">
      <c r="A104" s="72">
        <f>Tableau!A104</f>
        <v>339</v>
      </c>
      <c r="B104" s="73" t="str">
        <f>VLOOKUP($A104,LocalisationRemorque,2,0)</f>
        <v>Namur</v>
      </c>
      <c r="C104" s="74" t="str">
        <f>VLOOKUP($A104,LocalisationRemorque,3,0)</f>
        <v>Fosses la Ville</v>
      </c>
      <c r="D104" s="75" t="str">
        <f>CONCATENATE(VLOOKUP($A104,LocalisationRemorque,6,0)," ► ",VLOOKUP($A104,LocalisationRemorque,5,0))</f>
        <v>Floreffe ► Fosses</v>
      </c>
      <c r="E104" s="54" t="str">
        <f>IF(ISBLANK(Tableau!$E$104), "LIBRE", "OCCUPÉ")</f>
        <v>LIBRE</v>
      </c>
      <c r="F104" s="52" t="str">
        <f>IF(ISBLANK(Tableau!$G$104), "LIBRE", "OCCUPÉ")</f>
        <v>LIBRE</v>
      </c>
      <c r="G104" s="54" t="str">
        <f>IF(ISBLANK(Tableau!$I$104), "LIBRE", "OCCUPÉ")</f>
        <v>LIBRE</v>
      </c>
      <c r="H104" s="52" t="str">
        <f>IF(ISBLANK(Tableau!$K$104), "LIBRE", "OCCUPÉ")</f>
        <v>LIBRE</v>
      </c>
      <c r="I104" s="54" t="str">
        <f>IF(ISBLANK(Tableau!$M$104), "LIBRE", "OCCUPÉ")</f>
        <v>OCCUPÉ</v>
      </c>
      <c r="J104" s="54" t="str">
        <f>IF(ISBLANK(Tableau!$O$104), "LIBRE", "OCCUPÉ")</f>
        <v>LIBRE</v>
      </c>
      <c r="K104" s="54" t="str">
        <f>IF(ISBLANK(Tableau!$Q$104), "LIBRE", "OCCUPÉ")</f>
        <v>LIBRE</v>
      </c>
      <c r="L104" s="54" t="str">
        <f>IF(ISBLANK(Tableau!$S$104), "LIBRE", "OCCUPÉ")</f>
        <v>LIBRE</v>
      </c>
      <c r="M104" s="54" t="str">
        <f>IF(ISBLANK(Tableau!$U$104), "LIBRE", "OCCUPÉ")</f>
        <v>LIBRE</v>
      </c>
      <c r="N104" s="52" t="str">
        <f>IF(ISBLANK(Tableau!$W$104), "LIBRE", "OCCUPÉ")</f>
        <v>LIBRE</v>
      </c>
      <c r="O104" s="52" t="str">
        <f>IF(ISBLANK(Tableau!$Y$104), "LIBRE", "OCCUPÉ")</f>
        <v>LIBRE</v>
      </c>
      <c r="P104" s="52" t="str">
        <f>IF(ISBLANK(Tableau!$AA$104), "LIBRE", "OCCUPÉ")</f>
        <v>LIBRE</v>
      </c>
      <c r="Q104" s="52" t="str">
        <f>IF(ISBLANK(Tableau!$AC$104), "LIBRE", "OCCUPÉ")</f>
        <v>OCCUPÉ</v>
      </c>
      <c r="R104" s="52" t="str">
        <f>IF(ISBLANK(Tableau!$AE$104), "LIBRE", "OCCUPÉ")</f>
        <v>LIBRE</v>
      </c>
      <c r="S104" s="54" t="str">
        <f>IF(ISBLANK(Tableau!$AG$104), "LIBRE", "OCCUPÉ")</f>
        <v>LIBRE</v>
      </c>
      <c r="T104" s="52" t="str">
        <f>IF(ISBLANK(Tableau!$AI$104), "LIBRE", "OCCUPÉ")</f>
        <v>LIBRE</v>
      </c>
      <c r="U104" s="52" t="str">
        <f>IF(ISBLANK(Tableau!$AK$104), "LIBRE", "OCCUPÉ")</f>
        <v>OCCUPÉ</v>
      </c>
      <c r="V104" s="52" t="str">
        <f>IF(ISBLANK(Tableau!$AM$104), "LIBRE", "OCCUPÉ")</f>
        <v>LIBRE</v>
      </c>
      <c r="W104" s="54" t="str">
        <f>IF(ISBLANK(Tableau!$AO$104), "LIBRE", "OCCUPÉ")</f>
        <v>LIBRE</v>
      </c>
      <c r="X104" s="52" t="str">
        <f>IF(ISBLANK(Tableau!$AQ$104), "LIBRE", "OCCUPÉ")</f>
        <v>LIBRE</v>
      </c>
      <c r="Y104" s="52" t="str">
        <f>IF(ISBLANK(Tableau!$AS$104), "LIBRE", "OCCUPÉ")</f>
        <v>LIBRE</v>
      </c>
      <c r="Z104" s="52" t="str">
        <f>IF(ISBLANK(Tableau!$AU$104), "LIBRE", "OCCUPÉ")</f>
        <v>LIBRE</v>
      </c>
      <c r="AA104" s="52" t="str">
        <f>IF(ISBLANK(Tableau!$AW$104), "LIBRE", "OCCUPÉ")</f>
        <v>LIBRE</v>
      </c>
      <c r="AB104" s="76" t="str">
        <f>IF(ISBLANK(Tableau!$AY104), "LIBRE", "OCCUPÉ")</f>
        <v>LIBRE</v>
      </c>
      <c r="AC104" s="77"/>
    </row>
    <row r="105" ht="21.75" customHeight="1">
      <c r="A105" s="40">
        <f>Tableau!A105</f>
        <v>340</v>
      </c>
      <c r="B105" s="46" t="str">
        <f>VLOOKUP($A105,LocalisationRemorque,2,0)</f>
        <v>Namur</v>
      </c>
      <c r="C105" s="47" t="str">
        <f>VLOOKUP($A105,LocalisationRemorque,3,0)</f>
        <v>Naninne</v>
      </c>
      <c r="D105" s="49" t="str">
        <f>CONCATENATE(VLOOKUP($A105,LocalisationRemorque,6,0)," ► ",VLOOKUP($A105,LocalisationRemorque,5,0))</f>
        <v>Namur ► Ciney</v>
      </c>
      <c r="E105" s="54" t="str">
        <f>IF(ISBLANK(Tableau!$E$105), "LIBRE", "OCCUPÉ")</f>
        <v>OCCUPÉ</v>
      </c>
      <c r="F105" s="52" t="str">
        <f>IF(ISBLANK(Tableau!$G$105), "LIBRE", "OCCUPÉ")</f>
        <v>LIBRE</v>
      </c>
      <c r="G105" s="54" t="str">
        <f>IF(ISBLANK(Tableau!$I$105), "LIBRE", "OCCUPÉ")</f>
        <v>OCCUPÉ</v>
      </c>
      <c r="H105" s="54" t="str">
        <f>IF(ISBLANK(Tableau!$K$105), "LIBRE", "OCCUPÉ")</f>
        <v>LIBRE</v>
      </c>
      <c r="I105" s="54" t="str">
        <f>IF(ISBLANK(Tableau!$M$105), "LIBRE", "OCCUPÉ")</f>
        <v>OCCUPÉ</v>
      </c>
      <c r="J105" s="54" t="str">
        <f>IF(ISBLANK(Tableau!$O$105), "LIBRE", "OCCUPÉ")</f>
        <v>LIBRE</v>
      </c>
      <c r="K105" s="54" t="str">
        <f>IF(ISBLANK(Tableau!$Q$105), "LIBRE", "OCCUPÉ")</f>
        <v>OCCUPÉ</v>
      </c>
      <c r="L105" s="54" t="str">
        <f>IF(ISBLANK(Tableau!$S$105), "LIBRE", "OCCUPÉ")</f>
        <v>LIBRE</v>
      </c>
      <c r="M105" s="54" t="str">
        <f>IF(ISBLANK(Tableau!$U$105), "LIBRE", "OCCUPÉ")</f>
        <v>OCCUPÉ</v>
      </c>
      <c r="N105" s="54" t="str">
        <f>IF(ISBLANK(Tableau!$W$105), "LIBRE", "OCCUPÉ")</f>
        <v>LIBRE</v>
      </c>
      <c r="O105" s="54" t="str">
        <f>IF(ISBLANK(Tableau!$Y$105), "LIBRE", "OCCUPÉ")</f>
        <v>LIBRE</v>
      </c>
      <c r="P105" s="54" t="str">
        <f>IF(ISBLANK(Tableau!$AA$105), "LIBRE", "OCCUPÉ")</f>
        <v>LIBRE</v>
      </c>
      <c r="Q105" s="54" t="str">
        <f>IF(ISBLANK(Tableau!$AC$105), "LIBRE", "OCCUPÉ")</f>
        <v>LIBRE</v>
      </c>
      <c r="R105" s="52" t="str">
        <f>IF(ISBLANK(Tableau!$AE$105), "LIBRE", "OCCUPÉ")</f>
        <v>LIBRE</v>
      </c>
      <c r="S105" s="54" t="str">
        <f>IF(ISBLANK(Tableau!$AG$105), "LIBRE", "OCCUPÉ")</f>
        <v>LIBRE</v>
      </c>
      <c r="T105" s="52" t="str">
        <f>IF(ISBLANK(Tableau!$AI$105), "LIBRE", "OCCUPÉ")</f>
        <v>LIBRE</v>
      </c>
      <c r="U105" s="54" t="str">
        <f>IF(ISBLANK(Tableau!$AK$105), "LIBRE", "OCCUPÉ")</f>
        <v>LIBRE</v>
      </c>
      <c r="V105" s="54" t="str">
        <f>IF(ISBLANK(Tableau!$AM$105), "LIBRE", "OCCUPÉ")</f>
        <v>LIBRE</v>
      </c>
      <c r="W105" s="54" t="str">
        <f>IF(ISBLANK(Tableau!$AO$105), "LIBRE", "OCCUPÉ")</f>
        <v>OCCUPÉ</v>
      </c>
      <c r="X105" s="52" t="str">
        <f>IF(ISBLANK(Tableau!$AQ$105), "LIBRE", "OCCUPÉ")</f>
        <v>LIBRE</v>
      </c>
      <c r="Y105" s="54" t="str">
        <f>IF(ISBLANK(Tableau!$AS$105), "LIBRE", "OCCUPÉ")</f>
        <v>LIBRE</v>
      </c>
      <c r="Z105" s="54" t="str">
        <f>IF(ISBLANK(Tableau!$AU$105), "LIBRE", "OCCUPÉ")</f>
        <v>LIBRE</v>
      </c>
      <c r="AA105" s="54" t="str">
        <f>IF(ISBLANK(Tableau!$AW$105), "LIBRE", "OCCUPÉ")</f>
        <v>LIBRE</v>
      </c>
      <c r="AB105" s="76" t="str">
        <f>IF(ISBLANK(Tableau!$AY105), "LIBRE", "OCCUPÉ")</f>
        <v>LIBRE</v>
      </c>
      <c r="AC105" s="88"/>
    </row>
    <row r="106" ht="21.75" customHeight="1">
      <c r="A106" s="72">
        <f>Tableau!A106</f>
        <v>341</v>
      </c>
      <c r="B106" s="73" t="str">
        <f>VLOOKUP($A106,LocalisationRemorque,2,0)</f>
        <v>Namur</v>
      </c>
      <c r="C106" s="74" t="str">
        <f>VLOOKUP($A106,LocalisationRemorque,3,0)</f>
        <v>Courrière</v>
      </c>
      <c r="D106" s="75" t="str">
        <f>CONCATENATE(VLOOKUP($A106,LocalisationRemorque,6,0)," ► ",VLOOKUP($A106,LocalisationRemorque,5,0))</f>
        <v>Namur ► Ciney</v>
      </c>
      <c r="E106" s="54" t="str">
        <f>IF(ISBLANK(Tableau!$E$106), "LIBRE", "OCCUPÉ")</f>
        <v>LIBRE</v>
      </c>
      <c r="F106" s="52" t="str">
        <f>IF(ISBLANK(Tableau!$G$106), "LIBRE", "OCCUPÉ")</f>
        <v>LIBRE</v>
      </c>
      <c r="G106" s="54" t="str">
        <f>IF(ISBLANK(Tableau!$I$106), "LIBRE", "OCCUPÉ")</f>
        <v>OCCUPÉ</v>
      </c>
      <c r="H106" s="52" t="str">
        <f>IF(ISBLANK(Tableau!$K$106), "LIBRE", "OCCUPÉ")</f>
        <v>LIBRE</v>
      </c>
      <c r="I106" s="54" t="str">
        <f>IF(ISBLANK(Tableau!$M$106), "LIBRE", "OCCUPÉ")</f>
        <v>OCCUPÉ</v>
      </c>
      <c r="J106" s="54" t="str">
        <f>IF(ISBLANK(Tableau!$O$106), "LIBRE", "OCCUPÉ")</f>
        <v>LIBRE</v>
      </c>
      <c r="K106" s="54" t="str">
        <f>IF(ISBLANK(Tableau!$Q$106), "LIBRE", "OCCUPÉ")</f>
        <v>OCCUPÉ</v>
      </c>
      <c r="L106" s="54" t="str">
        <f>IF(ISBLANK(Tableau!$S$106), "LIBRE", "OCCUPÉ")</f>
        <v>LIBRE</v>
      </c>
      <c r="M106" s="54" t="str">
        <f>IF(ISBLANK(Tableau!$U$106), "LIBRE", "OCCUPÉ")</f>
        <v>OCCUPÉ</v>
      </c>
      <c r="N106" s="52" t="str">
        <f>IF(ISBLANK(Tableau!$W$106), "LIBRE", "OCCUPÉ")</f>
        <v>LIBRE</v>
      </c>
      <c r="O106" s="54" t="str">
        <f>IF(ISBLANK(Tableau!$Y$106), "LIBRE", "OCCUPÉ")</f>
        <v>LIBRE</v>
      </c>
      <c r="P106" s="54" t="str">
        <f>IF(ISBLANK(Tableau!$AA$106), "LIBRE", "OCCUPÉ")</f>
        <v>LIBRE</v>
      </c>
      <c r="Q106" s="54" t="str">
        <f>IF(ISBLANK(Tableau!$AC$106), "LIBRE", "OCCUPÉ")</f>
        <v>OCCUPÉ</v>
      </c>
      <c r="R106" s="52" t="str">
        <f>IF(ISBLANK(Tableau!$AE$106), "LIBRE", "OCCUPÉ")</f>
        <v>LIBRE</v>
      </c>
      <c r="S106" s="54" t="str">
        <f>IF(ISBLANK(Tableau!$AG$106), "LIBRE", "OCCUPÉ")</f>
        <v>LIBRE</v>
      </c>
      <c r="T106" s="54" t="str">
        <f>IF(ISBLANK(Tableau!$AI$106), "LIBRE", "OCCUPÉ")</f>
        <v>LIBRE</v>
      </c>
      <c r="U106" s="54" t="str">
        <f>IF(ISBLANK(Tableau!$AK$106), "LIBRE", "OCCUPÉ")</f>
        <v>LIBRE</v>
      </c>
      <c r="V106" s="52" t="str">
        <f>IF(ISBLANK(Tableau!$AM$106), "LIBRE", "OCCUPÉ")</f>
        <v>LIBRE</v>
      </c>
      <c r="W106" s="54" t="str">
        <f>IF(ISBLANK(Tableau!$AO$106), "LIBRE", "OCCUPÉ")</f>
        <v>OCCUPÉ</v>
      </c>
      <c r="X106" s="52" t="str">
        <f>IF(ISBLANK(Tableau!$AQ$106), "LIBRE", "OCCUPÉ")</f>
        <v>LIBRE</v>
      </c>
      <c r="Y106" s="54" t="str">
        <f>IF(ISBLANK(Tableau!$AS$106), "LIBRE", "OCCUPÉ")</f>
        <v>LIBRE</v>
      </c>
      <c r="Z106" s="52" t="str">
        <f>IF(ISBLANK(Tableau!$AU$106), "LIBRE", "OCCUPÉ")</f>
        <v>LIBRE</v>
      </c>
      <c r="AA106" s="54" t="str">
        <f>IF(ISBLANK(Tableau!$AW$106), "LIBRE", "OCCUPÉ")</f>
        <v>OCCUPÉ</v>
      </c>
      <c r="AB106" s="76" t="str">
        <f>IF(ISBLANK(Tableau!$AY106), "LIBRE", "OCCUPÉ")</f>
        <v>LIBRE</v>
      </c>
      <c r="AC106" s="77"/>
    </row>
    <row r="107" ht="21.75" customHeight="1">
      <c r="A107" s="40">
        <f>Tableau!A107</f>
        <v>365</v>
      </c>
      <c r="B107" s="56" t="str">
        <f>VLOOKUP($A107,LocalisationRemorque,2,0)</f>
        <v>Namur</v>
      </c>
      <c r="C107" s="57" t="str">
        <f>VLOOKUP($A107,LocalisationRemorque,3,0)</f>
        <v>Courrière 2</v>
      </c>
      <c r="D107" s="57" t="str">
        <f>CONCATENATE(VLOOKUP($A107,LocalisationRemorque,6,0)," ► ",VLOOKUP($A107,LocalisationRemorque,5,0))</f>
        <v>Namur ► Ciney</v>
      </c>
      <c r="E107" s="54" t="str">
        <f>IF(ISBLANK(Tableau!$E$107), "LIBRE", "OCCUPÉ")</f>
        <v>LIBRE</v>
      </c>
      <c r="F107" s="54" t="str">
        <f>IF(ISBLANK(Tableau!$G$107), "LIBRE", "OCCUPÉ")</f>
        <v>OCCUPÉ</v>
      </c>
      <c r="G107" s="54" t="str">
        <f>IF(ISBLANK(Tableau!$I$107), "LIBRE", "OCCUPÉ")</f>
        <v>LIBRE</v>
      </c>
      <c r="H107" s="52" t="str">
        <f>IF(ISBLANK(Tableau!$K$107), "LIBRE", "OCCUPÉ")</f>
        <v>LIBRE</v>
      </c>
      <c r="I107" s="54" t="str">
        <f>IF(ISBLANK(Tableau!$M$107), "LIBRE", "OCCUPÉ")</f>
        <v>LIBRE</v>
      </c>
      <c r="J107" s="54" t="str">
        <f>IF(ISBLANK(Tableau!$O$107), "LIBRE", "OCCUPÉ")</f>
        <v>LIBRE</v>
      </c>
      <c r="K107" s="54" t="str">
        <f>IF(ISBLANK(Tableau!$Q$107), "LIBRE", "OCCUPÉ")</f>
        <v>LIBRE</v>
      </c>
      <c r="L107" s="54" t="str">
        <f>IF(ISBLANK(Tableau!$S$107), "LIBRE", "OCCUPÉ")</f>
        <v>LIBRE</v>
      </c>
      <c r="M107" s="54" t="str">
        <f>IF(ISBLANK(Tableau!$U$107), "LIBRE", "OCCUPÉ")</f>
        <v>LIBRE</v>
      </c>
      <c r="N107" s="54" t="str">
        <f>IF(ISBLANK(Tableau!$W$107), "LIBRE", "OCCUPÉ")</f>
        <v>LIBRE</v>
      </c>
      <c r="O107" s="54" t="str">
        <f>IF(ISBLANK(Tableau!$Y$107), "LIBRE", "OCCUPÉ")</f>
        <v>LIBRE</v>
      </c>
      <c r="P107" s="54" t="str">
        <f>IF(ISBLANK(Tableau!$AA$107), "LIBRE", "OCCUPÉ")</f>
        <v>LIBRE</v>
      </c>
      <c r="Q107" s="54" t="str">
        <f>IF(ISBLANK(Tableau!$AC$107), "LIBRE", "OCCUPÉ")</f>
        <v>LIBRE</v>
      </c>
      <c r="R107" s="54" t="str">
        <f>IF(ISBLANK(Tableau!$AE$107), "LIBRE", "OCCUPÉ")</f>
        <v>LIBRE</v>
      </c>
      <c r="S107" s="54" t="str">
        <f>IF(ISBLANK(Tableau!$AG$107), "LIBRE", "OCCUPÉ")</f>
        <v>OCCUPÉ</v>
      </c>
      <c r="T107" s="54" t="str">
        <f>IF(ISBLANK(Tableau!$AI$107), "LIBRE", "OCCUPÉ")</f>
        <v>LIBRE</v>
      </c>
      <c r="U107" s="54" t="str">
        <f>IF(ISBLANK(Tableau!$AK$107), "LIBRE", "OCCUPÉ")</f>
        <v>LIBRE</v>
      </c>
      <c r="V107" s="52" t="str">
        <f>IF(ISBLANK(Tableau!$AM$107), "LIBRE", "OCCUPÉ")</f>
        <v>LIBRE</v>
      </c>
      <c r="W107" s="52" t="str">
        <f>IF(ISBLANK(Tableau!$AO$107), "LIBRE", "OCCUPÉ")</f>
        <v>LIBRE</v>
      </c>
      <c r="X107" s="52" t="str">
        <f>IF(ISBLANK(Tableau!$AQ$107), "LIBRE", "OCCUPÉ")</f>
        <v>LIBRE</v>
      </c>
      <c r="Y107" s="54" t="str">
        <f>IF(ISBLANK(Tableau!$AS$107), "LIBRE", "OCCUPÉ")</f>
        <v>LIBRE</v>
      </c>
      <c r="Z107" s="52" t="str">
        <f>IF(ISBLANK(Tableau!$AU$107), "LIBRE", "OCCUPÉ")</f>
        <v>LIBRE</v>
      </c>
      <c r="AA107" s="52" t="str">
        <f>IF(ISBLANK(Tableau!$AW$107), "LIBRE", "OCCUPÉ")</f>
        <v>LIBRE</v>
      </c>
      <c r="AB107" s="76" t="str">
        <f>IF(ISBLANK(Tableau!$AY107), "LIBRE", "OCCUPÉ")</f>
        <v>LIBRE</v>
      </c>
      <c r="AC107" s="70"/>
    </row>
    <row r="108" ht="21.75" customHeight="1">
      <c r="A108" s="72">
        <f>Tableau!A108</f>
        <v>342</v>
      </c>
      <c r="B108" s="73" t="str">
        <f>VLOOKUP($A108,LocalisationRemorque,2,0)</f>
        <v>Namur</v>
      </c>
      <c r="C108" s="74" t="str">
        <f>VLOOKUP($A108,LocalisationRemorque,3,0)</f>
        <v>Arville/Sart Bernard</v>
      </c>
      <c r="D108" s="75" t="str">
        <f>CONCATENATE(VLOOKUP($A108,LocalisationRemorque,6,0)," ► ",VLOOKUP($A108,LocalisationRemorque,5,0))</f>
        <v>Ciney ► Namur</v>
      </c>
      <c r="E108" s="54" t="str">
        <f>IF(ISBLANK(Tableau!$E$108), "LIBRE", "OCCUPÉ")</f>
        <v>OCCUPÉ</v>
      </c>
      <c r="F108" s="54" t="str">
        <f>IF(ISBLANK(Tableau!$G$108), "LIBRE", "OCCUPÉ")</f>
        <v>LIBRE</v>
      </c>
      <c r="G108" s="54" t="str">
        <f>IF(ISBLANK(Tableau!$I$108), "LIBRE", "OCCUPÉ")</f>
        <v>OCCUPÉ</v>
      </c>
      <c r="H108" s="52" t="str">
        <f>IF(ISBLANK(Tableau!$K$108), "LIBRE", "OCCUPÉ")</f>
        <v>LIBRE</v>
      </c>
      <c r="I108" s="54" t="str">
        <f>IF(ISBLANK(Tableau!$M$108), "LIBRE", "OCCUPÉ")</f>
        <v>OCCUPÉ</v>
      </c>
      <c r="J108" s="54" t="str">
        <f>IF(ISBLANK(Tableau!$O$108), "LIBRE", "OCCUPÉ")</f>
        <v>OCCUPÉ</v>
      </c>
      <c r="K108" s="54" t="str">
        <f>IF(ISBLANK(Tableau!$Q$108), "LIBRE", "OCCUPÉ")</f>
        <v>OCCUPÉ</v>
      </c>
      <c r="L108" s="54" t="str">
        <f>IF(ISBLANK(Tableau!$S$108), "LIBRE", "OCCUPÉ")</f>
        <v>LIBRE</v>
      </c>
      <c r="M108" s="54" t="str">
        <f>IF(ISBLANK(Tableau!$U$108), "LIBRE", "OCCUPÉ")</f>
        <v>OCCUPÉ</v>
      </c>
      <c r="N108" s="54" t="str">
        <f>IF(ISBLANK(Tableau!$W$108), "LIBRE", "OCCUPÉ")</f>
        <v>LIBRE</v>
      </c>
      <c r="O108" s="54" t="str">
        <f>IF(ISBLANK(Tableau!$Y$108), "LIBRE", "OCCUPÉ")</f>
        <v>OCCUPÉ</v>
      </c>
      <c r="P108" s="54" t="str">
        <f>IF(ISBLANK(Tableau!$AA$108), "LIBRE", "OCCUPÉ")</f>
        <v>LIBRE</v>
      </c>
      <c r="Q108" s="54" t="str">
        <f>IF(ISBLANK(Tableau!$AC$108), "LIBRE", "OCCUPÉ")</f>
        <v>OCCUPÉ</v>
      </c>
      <c r="R108" s="54" t="str">
        <f>IF(ISBLANK(Tableau!$AE$108), "LIBRE", "OCCUPÉ")</f>
        <v>LIBRE</v>
      </c>
      <c r="S108" s="54" t="str">
        <f>IF(ISBLANK(Tableau!$AG$108), "LIBRE", "OCCUPÉ")</f>
        <v>LIBRE</v>
      </c>
      <c r="T108" s="54" t="str">
        <f>IF(ISBLANK(Tableau!$AI$108), "LIBRE", "OCCUPÉ")</f>
        <v>OCCUPÉ</v>
      </c>
      <c r="U108" s="54" t="str">
        <f>IF(ISBLANK(Tableau!$AK$108), "LIBRE", "OCCUPÉ")</f>
        <v>LIBRE</v>
      </c>
      <c r="V108" s="52" t="str">
        <f>IF(ISBLANK(Tableau!$AM$108), "LIBRE", "OCCUPÉ")</f>
        <v>LIBRE</v>
      </c>
      <c r="W108" s="52" t="str">
        <f>IF(ISBLANK(Tableau!$AO$108), "LIBRE", "OCCUPÉ")</f>
        <v>LIBRE</v>
      </c>
      <c r="X108" s="52" t="str">
        <f>IF(ISBLANK(Tableau!$AQ$108), "LIBRE", "OCCUPÉ")</f>
        <v>LIBRE</v>
      </c>
      <c r="Y108" s="54" t="str">
        <f>IF(ISBLANK(Tableau!$AS$108), "LIBRE", "OCCUPÉ")</f>
        <v>LIBRE</v>
      </c>
      <c r="Z108" s="52" t="str">
        <f>IF(ISBLANK(Tableau!$AU$108), "LIBRE", "OCCUPÉ")</f>
        <v>LIBRE</v>
      </c>
      <c r="AA108" s="52" t="str">
        <f>IF(ISBLANK(Tableau!$AW$108), "LIBRE", "OCCUPÉ")</f>
        <v>LIBRE</v>
      </c>
      <c r="AB108" s="76" t="str">
        <f>IF(ISBLANK(Tableau!$AY108), "LIBRE", "OCCUPÉ")</f>
        <v>LIBRE</v>
      </c>
      <c r="AC108" s="155"/>
    </row>
    <row r="109" ht="21.75" customHeight="1">
      <c r="A109" s="40">
        <f>Tableau!A109</f>
        <v>343</v>
      </c>
      <c r="B109" s="46" t="str">
        <f>VLOOKUP($A109,LocalisationRemorque,2,0)</f>
        <v>Namur</v>
      </c>
      <c r="C109" s="47" t="str">
        <f>VLOOKUP($A109,LocalisationRemorque,3,0)</f>
        <v>Wierde</v>
      </c>
      <c r="D109" s="49" t="str">
        <f>CONCATENATE(VLOOKUP($A109,LocalisationRemorque,6,0)," ► ",VLOOKUP($A109,LocalisationRemorque,5,0))</f>
        <v>Naninne ► E411</v>
      </c>
      <c r="E109" s="54" t="str">
        <f>IF(ISBLANK(Tableau!$E$109), "LIBRE", "OCCUPÉ")</f>
        <v>OCCUPÉ</v>
      </c>
      <c r="F109" s="54" t="str">
        <f>IF(ISBLANK(Tableau!$G$109), "LIBRE", "OCCUPÉ")</f>
        <v>LIBRE</v>
      </c>
      <c r="G109" s="54" t="str">
        <f>IF(ISBLANK(Tableau!$I$109), "LIBRE", "OCCUPÉ")</f>
        <v>OCCUPÉ</v>
      </c>
      <c r="H109" s="54" t="str">
        <f>IF(ISBLANK(Tableau!$K$109), "LIBRE", "OCCUPÉ")</f>
        <v>LIBRE</v>
      </c>
      <c r="I109" s="54" t="str">
        <f>IF(ISBLANK(Tableau!$M$109), "LIBRE", "OCCUPÉ")</f>
        <v>OCCUPÉ</v>
      </c>
      <c r="J109" s="54" t="str">
        <f>IF(ISBLANK(Tableau!$O$109), "LIBRE", "OCCUPÉ")</f>
        <v>OCCUPÉ</v>
      </c>
      <c r="K109" s="54" t="str">
        <f>IF(ISBLANK(Tableau!$Q$109), "LIBRE", "OCCUPÉ")</f>
        <v>OCCUPÉ</v>
      </c>
      <c r="L109" s="54" t="str">
        <f>IF(ISBLANK(Tableau!$S$109), "LIBRE", "OCCUPÉ")</f>
        <v>LIBRE</v>
      </c>
      <c r="M109" s="54" t="str">
        <f>IF(ISBLANK(Tableau!$U$109), "LIBRE", "OCCUPÉ")</f>
        <v>OCCUPÉ</v>
      </c>
      <c r="N109" s="54" t="str">
        <f>IF(ISBLANK(Tableau!$W$109), "LIBRE", "OCCUPÉ")</f>
        <v>LIBRE</v>
      </c>
      <c r="O109" s="54" t="str">
        <f>IF(ISBLANK(Tableau!$Y$109), "LIBRE", "OCCUPÉ")</f>
        <v>OCCUPÉ</v>
      </c>
      <c r="P109" s="54" t="str">
        <f>IF(ISBLANK(Tableau!$AA$109), "LIBRE", "OCCUPÉ")</f>
        <v>OCCUPÉ</v>
      </c>
      <c r="Q109" s="52" t="str">
        <f>IF(ISBLANK(Tableau!$AC$109), "LIBRE", "OCCUPÉ")</f>
        <v>OCCUPÉ</v>
      </c>
      <c r="R109" s="54" t="str">
        <f>IF(ISBLANK(Tableau!$AE$109), "LIBRE", "OCCUPÉ")</f>
        <v>LIBRE</v>
      </c>
      <c r="S109" s="54" t="str">
        <f>IF(ISBLANK(Tableau!$AG$109), "LIBRE", "OCCUPÉ")</f>
        <v>OCCUPÉ</v>
      </c>
      <c r="T109" s="54" t="str">
        <f>IF(ISBLANK(Tableau!$AI$109), "LIBRE", "OCCUPÉ")</f>
        <v>LIBRE</v>
      </c>
      <c r="U109" s="54" t="str">
        <f>IF(ISBLANK(Tableau!$AK$109), "LIBRE", "OCCUPÉ")</f>
        <v>LIBRE</v>
      </c>
      <c r="V109" s="54" t="str">
        <f>IF(ISBLANK(Tableau!$AM$109), "LIBRE", "OCCUPÉ")</f>
        <v>LIBRE</v>
      </c>
      <c r="W109" s="54" t="str">
        <f>IF(ISBLANK(Tableau!$AO$109), "LIBRE", "OCCUPÉ")</f>
        <v>OCCUPÉ</v>
      </c>
      <c r="X109" s="54" t="str">
        <f>IF(ISBLANK(Tableau!$AQ$109), "LIBRE", "OCCUPÉ")</f>
        <v>LIBRE</v>
      </c>
      <c r="Y109" s="54" t="str">
        <f>IF(ISBLANK(Tableau!$AS$109), "LIBRE", "OCCUPÉ")</f>
        <v>OCCUPÉ</v>
      </c>
      <c r="Z109" s="52" t="str">
        <f>IF(ISBLANK(Tableau!$AU$109), "LIBRE", "OCCUPÉ")</f>
        <v>OCCUPÉ</v>
      </c>
      <c r="AA109" s="52" t="str">
        <f>IF(ISBLANK(Tableau!$AW$109), "LIBRE", "OCCUPÉ")</f>
        <v>LIBRE</v>
      </c>
      <c r="AB109" s="69" t="str">
        <f>IF(ISBLANK(Tableau!$AY109), "LIBRE", "OCCUPÉ")</f>
        <v>LIBRE</v>
      </c>
      <c r="AC109" s="70"/>
    </row>
    <row r="110" ht="21.75" customHeight="1">
      <c r="A110" s="72">
        <f>Tableau!A110</f>
        <v>344</v>
      </c>
      <c r="B110" s="73" t="str">
        <f>VLOOKUP($A110,LocalisationRemorque,2,0)</f>
        <v>Namur</v>
      </c>
      <c r="C110" s="74" t="str">
        <f>VLOOKUP($A110,LocalisationRemorque,3,0)</f>
        <v>Wierde 2</v>
      </c>
      <c r="D110" s="75" t="str">
        <f>CONCATENATE(VLOOKUP($A110,LocalisationRemorque,6,0)," ► ",VLOOKUP($A110,LocalisationRemorque,5,0))</f>
        <v>Naninne ► E411</v>
      </c>
      <c r="E110" s="54" t="str">
        <f>IF(ISBLANK(Tableau!$E$110), "LIBRE", "OCCUPÉ")</f>
        <v>OCCUPÉ</v>
      </c>
      <c r="F110" s="54" t="str">
        <f>IF(ISBLANK(Tableau!$G$110), "LIBRE", "OCCUPÉ")</f>
        <v>OCCUPÉ</v>
      </c>
      <c r="G110" s="54" t="str">
        <f>IF(ISBLANK(Tableau!$I$110), "LIBRE", "OCCUPÉ")</f>
        <v>LIBRE</v>
      </c>
      <c r="H110" s="54" t="str">
        <f>IF(ISBLANK(Tableau!$K$110), "LIBRE", "OCCUPÉ")</f>
        <v>LIBRE</v>
      </c>
      <c r="I110" s="54" t="str">
        <f>IF(ISBLANK(Tableau!$M$110), "LIBRE", "OCCUPÉ")</f>
        <v>OCCUPÉ</v>
      </c>
      <c r="J110" s="54" t="str">
        <f>IF(ISBLANK(Tableau!$O$110), "LIBRE", "OCCUPÉ")</f>
        <v>OCCUPÉ</v>
      </c>
      <c r="K110" s="54" t="str">
        <f>IF(ISBLANK(Tableau!$Q$110), "LIBRE", "OCCUPÉ")</f>
        <v>OCCUPÉ</v>
      </c>
      <c r="L110" s="54" t="str">
        <f>IF(ISBLANK(Tableau!$S$110), "LIBRE", "OCCUPÉ")</f>
        <v>LIBRE</v>
      </c>
      <c r="M110" s="54" t="str">
        <f>IF(ISBLANK(Tableau!$U$110), "LIBRE", "OCCUPÉ")</f>
        <v>OCCUPÉ</v>
      </c>
      <c r="N110" s="54" t="str">
        <f>IF(ISBLANK(Tableau!$W$110), "LIBRE", "OCCUPÉ")</f>
        <v>LIBRE</v>
      </c>
      <c r="O110" s="54" t="str">
        <f>IF(ISBLANK(Tableau!$Y$110), "LIBRE", "OCCUPÉ")</f>
        <v>LIBRE</v>
      </c>
      <c r="P110" s="54" t="str">
        <f>IF(ISBLANK(Tableau!$AA$110), "LIBRE", "OCCUPÉ")</f>
        <v>LIBRE</v>
      </c>
      <c r="Q110" s="54" t="str">
        <f>IF(ISBLANK(Tableau!$AC$110), "LIBRE", "OCCUPÉ")</f>
        <v>LIBRE</v>
      </c>
      <c r="R110" s="54" t="str">
        <f>IF(ISBLANK(Tableau!$AE$110), "LIBRE", "OCCUPÉ")</f>
        <v>OCCUPÉ</v>
      </c>
      <c r="S110" s="54" t="str">
        <f>IF(ISBLANK(Tableau!$AG$110), "LIBRE", "OCCUPÉ")</f>
        <v>LIBRE</v>
      </c>
      <c r="T110" s="52" t="str">
        <f>IF(ISBLANK(Tableau!$AI$110), "LIBRE", "OCCUPÉ")</f>
        <v>LIBRE</v>
      </c>
      <c r="U110" s="54" t="str">
        <f>IF(ISBLANK(Tableau!$AK$110), "LIBRE", "OCCUPÉ")</f>
        <v>LIBRE</v>
      </c>
      <c r="V110" s="52" t="str">
        <f>IF(ISBLANK(Tableau!$AM$110), "LIBRE", "OCCUPÉ")</f>
        <v>LIBRE</v>
      </c>
      <c r="W110" s="54" t="str">
        <f>IF(ISBLANK(Tableau!$AO$110), "LIBRE", "OCCUPÉ")</f>
        <v>OCCUPÉ</v>
      </c>
      <c r="X110" s="54" t="str">
        <f>IF(ISBLANK(Tableau!$AQ$110), "LIBRE", "OCCUPÉ")</f>
        <v>LIBRE</v>
      </c>
      <c r="Y110" s="52" t="str">
        <f>IF(ISBLANK(Tableau!$AS$110), "LIBRE", "OCCUPÉ")</f>
        <v>LIBRE</v>
      </c>
      <c r="Z110" s="54" t="str">
        <f>IF(ISBLANK(Tableau!$AU$110), "LIBRE", "OCCUPÉ")</f>
        <v>OCCUPÉ</v>
      </c>
      <c r="AA110" s="52" t="str">
        <f>IF(ISBLANK(Tableau!$AW$110), "LIBRE", "OCCUPÉ")</f>
        <v>LIBRE</v>
      </c>
      <c r="AB110" s="76" t="str">
        <f>IF(ISBLANK(Tableau!$AY110), "LIBRE", "OCCUPÉ")</f>
        <v>LIBRE</v>
      </c>
      <c r="AC110" s="77"/>
    </row>
    <row r="111" ht="21.75" customHeight="1">
      <c r="A111" s="40">
        <f>Tableau!A111</f>
        <v>363</v>
      </c>
      <c r="B111" s="46" t="str">
        <f>VLOOKUP($A111,LocalisationRemorque,2,0)</f>
        <v>Namur</v>
      </c>
      <c r="C111" s="47" t="str">
        <f>VLOOKUP($A111,LocalisationRemorque,3,0)</f>
        <v>Erpent</v>
      </c>
      <c r="D111" s="49" t="str">
        <f>CONCATENATE(VLOOKUP($A111,LocalisationRemorque,6,0)," ► ",VLOOKUP($A111,LocalisationRemorque,5,0))</f>
        <v>Marche-en-Famenne ► Namur</v>
      </c>
      <c r="E111" s="54" t="str">
        <f>IF(ISBLANK(Tableau!$E$111), "LIBRE", "OCCUPÉ")</f>
        <v>OCCUPÉ</v>
      </c>
      <c r="F111" s="54" t="str">
        <f>IF(ISBLANK(Tableau!$G$111), "LIBRE", "OCCUPÉ")</f>
        <v>LIBRE</v>
      </c>
      <c r="G111" s="52" t="str">
        <f>IF(ISBLANK(Tableau!$I$111), "LIBRE", "OCCUPÉ")</f>
        <v>LIBRE</v>
      </c>
      <c r="H111" s="54" t="str">
        <f>IF(ISBLANK(Tableau!$K$111), "LIBRE", "OCCUPÉ")</f>
        <v>OCCUPÉ</v>
      </c>
      <c r="I111" s="52" t="str">
        <f>IF(ISBLANK(Tableau!$M$111), "LIBRE", "OCCUPÉ")</f>
        <v>LIBRE</v>
      </c>
      <c r="J111" s="54" t="str">
        <f>IF(ISBLANK(Tableau!$O$111), "LIBRE", "OCCUPÉ")</f>
        <v>LIBRE</v>
      </c>
      <c r="K111" s="54" t="str">
        <f>IF(ISBLANK(Tableau!$Q$111), "LIBRE", "OCCUPÉ")</f>
        <v>OCCUPÉ</v>
      </c>
      <c r="L111" s="54" t="str">
        <f>IF(ISBLANK(Tableau!$S$111), "LIBRE", "OCCUPÉ")</f>
        <v>LIBRE</v>
      </c>
      <c r="M111" s="52" t="str">
        <f>IF(ISBLANK(Tableau!$U$111), "LIBRE", "OCCUPÉ")</f>
        <v>OCCUPÉ</v>
      </c>
      <c r="N111" s="54" t="str">
        <f>IF(ISBLANK(Tableau!$W$111), "LIBRE", "OCCUPÉ")</f>
        <v>OCCUPÉ</v>
      </c>
      <c r="O111" s="52" t="str">
        <f>IF(ISBLANK(Tableau!$Y$111), "LIBRE", "OCCUPÉ")</f>
        <v>LIBRE</v>
      </c>
      <c r="P111" s="54" t="str">
        <f>IF(ISBLANK(Tableau!$AA$111), "LIBRE", "OCCUPÉ")</f>
        <v>OCCUPÉ</v>
      </c>
      <c r="Q111" s="54" t="str">
        <f>IF(ISBLANK(Tableau!$AC$111), "LIBRE", "OCCUPÉ")</f>
        <v>OCCUPÉ</v>
      </c>
      <c r="R111" s="54" t="str">
        <f>IF(ISBLANK(Tableau!$AE$111), "LIBRE", "OCCUPÉ")</f>
        <v>OCCUPÉ</v>
      </c>
      <c r="S111" s="52" t="str">
        <f>IF(ISBLANK(Tableau!$AG$111), "LIBRE", "OCCUPÉ")</f>
        <v>OCCUPÉ</v>
      </c>
      <c r="T111" s="54" t="str">
        <f>IF(ISBLANK(Tableau!$AI$111), "LIBRE", "OCCUPÉ")</f>
        <v>LIBRE</v>
      </c>
      <c r="U111" s="54" t="str">
        <f>IF(ISBLANK(Tableau!$AK$111), "LIBRE", "OCCUPÉ")</f>
        <v>LIBRE</v>
      </c>
      <c r="V111" s="54" t="str">
        <f>IF(ISBLANK(Tableau!$AM$111), "LIBRE", "OCCUPÉ")</f>
        <v>OCCUPÉ</v>
      </c>
      <c r="W111" s="52" t="str">
        <f>IF(ISBLANK(Tableau!$AO$111), "LIBRE", "OCCUPÉ")</f>
        <v>OCCUPÉ</v>
      </c>
      <c r="X111" s="54" t="str">
        <f>IF(ISBLANK(Tableau!$AQ$111), "LIBRE", "OCCUPÉ")</f>
        <v>LIBRE</v>
      </c>
      <c r="Y111" s="52" t="str">
        <f>IF(ISBLANK(Tableau!$AS$111), "LIBRE", "OCCUPÉ")</f>
        <v>OCCUPÉ</v>
      </c>
      <c r="Z111" s="54" t="str">
        <f>IF(ISBLANK(Tableau!$AU$111), "LIBRE", "OCCUPÉ")</f>
        <v>LIBRE</v>
      </c>
      <c r="AA111" s="54" t="str">
        <f>IF(ISBLANK(Tableau!$AW$111), "LIBRE", "OCCUPÉ")</f>
        <v>OCCUPÉ</v>
      </c>
      <c r="AB111" s="69" t="str">
        <f>IF(ISBLANK(Tableau!$AY111), "LIBRE", "OCCUPÉ")</f>
        <v>OCCUPÉ</v>
      </c>
      <c r="AC111" s="88"/>
    </row>
    <row r="112" ht="21.75" customHeight="1">
      <c r="A112" s="72">
        <f>Tableau!A112</f>
        <v>345</v>
      </c>
      <c r="B112" s="73" t="str">
        <f>VLOOKUP($A112,LocalisationRemorque,2,0)</f>
        <v>Philippeville</v>
      </c>
      <c r="C112" s="74" t="str">
        <f>VLOOKUP($A112,LocalisationRemorque,3,0)</f>
        <v>Philippeville</v>
      </c>
      <c r="D112" s="75" t="str">
        <f>CONCATENATE(VLOOKUP($A112,LocalisationRemorque,6,0)," ► ",VLOOKUP($A112,LocalisationRemorque,5,0))</f>
        <v>Philippeville ► Dinant</v>
      </c>
      <c r="E112" s="52" t="str">
        <f>IF(ISBLANK(Tableau!$E$112), "LIBRE", "OCCUPÉ")</f>
        <v>LIBRE</v>
      </c>
      <c r="F112" s="52" t="str">
        <f>IF(ISBLANK(Tableau!$G$112), "LIBRE", "OCCUPÉ")</f>
        <v>LIBRE</v>
      </c>
      <c r="G112" s="54" t="str">
        <f>IF(ISBLANK(Tableau!$I$112), "LIBRE", "OCCUPÉ")</f>
        <v>LIBRE</v>
      </c>
      <c r="H112" s="54" t="str">
        <f>IF(ISBLANK(Tableau!$K$112), "LIBRE", "OCCUPÉ")</f>
        <v>LIBRE</v>
      </c>
      <c r="I112" s="54" t="str">
        <f>IF(ISBLANK(Tableau!$M$112), "LIBRE", "OCCUPÉ")</f>
        <v>LIBRE</v>
      </c>
      <c r="J112" s="52" t="str">
        <f>IF(ISBLANK(Tableau!$O$112), "LIBRE", "OCCUPÉ")</f>
        <v>LIBRE</v>
      </c>
      <c r="K112" s="54" t="str">
        <f>IF(ISBLANK(Tableau!$Q$112), "LIBRE", "OCCUPÉ")</f>
        <v>LIBRE</v>
      </c>
      <c r="L112" s="52" t="str">
        <f>IF(ISBLANK(Tableau!$S$112), "LIBRE", "OCCUPÉ")</f>
        <v>LIBRE</v>
      </c>
      <c r="M112" s="54" t="str">
        <f>IF(ISBLANK(Tableau!$U$112), "LIBRE", "OCCUPÉ")</f>
        <v>LIBRE</v>
      </c>
      <c r="N112" s="52" t="str">
        <f>IF(ISBLANK(Tableau!$W$112), "LIBRE", "OCCUPÉ")</f>
        <v>LIBRE</v>
      </c>
      <c r="O112" s="52" t="str">
        <f>IF(ISBLANK(Tableau!$Y$112), "LIBRE", "OCCUPÉ")</f>
        <v>LIBRE</v>
      </c>
      <c r="P112" s="52" t="str">
        <f>IF(ISBLANK(Tableau!$AA$112), "LIBRE", "OCCUPÉ")</f>
        <v>LIBRE</v>
      </c>
      <c r="Q112" s="52" t="str">
        <f>IF(ISBLANK(Tableau!$AC$112), "LIBRE", "OCCUPÉ")</f>
        <v>LIBRE</v>
      </c>
      <c r="R112" s="52" t="str">
        <f>IF(ISBLANK(Tableau!$AE$112), "LIBRE", "OCCUPÉ")</f>
        <v>LIBRE</v>
      </c>
      <c r="S112" s="52" t="str">
        <f>IF(ISBLANK(Tableau!$AG$112), "LIBRE", "OCCUPÉ")</f>
        <v>LIBRE</v>
      </c>
      <c r="T112" s="52" t="str">
        <f>IF(ISBLANK(Tableau!$AI$112), "LIBRE", "OCCUPÉ")</f>
        <v>LIBRE</v>
      </c>
      <c r="U112" s="54" t="str">
        <f>IF(ISBLANK(Tableau!$AK$112), "LIBRE", "OCCUPÉ")</f>
        <v>LIBRE</v>
      </c>
      <c r="V112" s="52" t="str">
        <f>IF(ISBLANK(Tableau!$AM$112), "LIBRE", "OCCUPÉ")</f>
        <v>LIBRE</v>
      </c>
      <c r="W112" s="54" t="str">
        <f>IF(ISBLANK(Tableau!$AO$112), "LIBRE", "OCCUPÉ")</f>
        <v>LIBRE</v>
      </c>
      <c r="X112" s="52" t="str">
        <f>IF(ISBLANK(Tableau!$AQ$112), "LIBRE", "OCCUPÉ")</f>
        <v>LIBRE</v>
      </c>
      <c r="Y112" s="52" t="str">
        <f>IF(ISBLANK(Tableau!$AS$112), "LIBRE", "OCCUPÉ")</f>
        <v>LIBRE</v>
      </c>
      <c r="Z112" s="52" t="str">
        <f>IF(ISBLANK(Tableau!$AU$112), "LIBRE", "OCCUPÉ")</f>
        <v>LIBRE</v>
      </c>
      <c r="AA112" s="52" t="str">
        <f>IF(ISBLANK(Tableau!$AW$112), "LIBRE", "OCCUPÉ")</f>
        <v>LIBRE</v>
      </c>
      <c r="AB112" s="76" t="str">
        <f>IF(ISBLANK(Tableau!$AY112), "LIBRE", "OCCUPÉ")</f>
        <v>LIBRE</v>
      </c>
      <c r="AC112" s="155"/>
    </row>
    <row r="113" ht="21.75" customHeight="1">
      <c r="A113" s="40">
        <f>Tableau!A113</f>
        <v>346</v>
      </c>
      <c r="B113" s="46" t="str">
        <f>VLOOKUP($A113,LocalisationRemorque,2,0)</f>
        <v>Mettet</v>
      </c>
      <c r="C113" s="47" t="str">
        <f>VLOOKUP($A113,LocalisationRemorque,3,0)</f>
        <v>Rond point circuit</v>
      </c>
      <c r="D113" s="49" t="str">
        <f>CONCATENATE(VLOOKUP($A113,LocalisationRemorque,6,0)," ► ",VLOOKUP($A113,LocalisationRemorque,5,0))</f>
        <v>Annevoie ► Circuit</v>
      </c>
      <c r="E113" s="52" t="str">
        <f>IF(ISBLANK(Tableau!$E$113), "LIBRE", "OCCUPÉ")</f>
        <v>OCCUPÉ</v>
      </c>
      <c r="F113" s="52" t="str">
        <f>IF(ISBLANK(Tableau!$G$113), "LIBRE", "OCCUPÉ")</f>
        <v>LIBRE</v>
      </c>
      <c r="G113" s="54" t="str">
        <f>IF(ISBLANK(Tableau!$I$113), "LIBRE", "OCCUPÉ")</f>
        <v>LIBRE</v>
      </c>
      <c r="H113" s="52" t="str">
        <f>IF(ISBLANK(Tableau!$K$113), "LIBRE", "OCCUPÉ")</f>
        <v>LIBRE</v>
      </c>
      <c r="I113" s="52" t="str">
        <f>IF(ISBLANK(Tableau!$M$113), "LIBRE", "OCCUPÉ")</f>
        <v>LIBRE</v>
      </c>
      <c r="J113" s="54" t="str">
        <f>IF(ISBLANK(Tableau!$O$113), "LIBRE", "OCCUPÉ")</f>
        <v>LIBRE</v>
      </c>
      <c r="K113" s="54" t="str">
        <f>IF(ISBLANK(Tableau!$Q$113), "LIBRE", "OCCUPÉ")</f>
        <v>OCCUPÉ</v>
      </c>
      <c r="L113" s="52" t="str">
        <f>IF(ISBLANK(Tableau!$S$113), "LIBRE", "OCCUPÉ")</f>
        <v>LIBRE</v>
      </c>
      <c r="M113" s="54" t="str">
        <f>IF(ISBLANK(Tableau!$U$113), "LIBRE", "OCCUPÉ")</f>
        <v>LIBRE</v>
      </c>
      <c r="N113" s="54" t="str">
        <f>IF(ISBLANK(Tableau!$W$113), "LIBRE", "OCCUPÉ")</f>
        <v>LIBRE</v>
      </c>
      <c r="O113" s="54" t="str">
        <f>IF(ISBLANK(Tableau!$Y$113), "LIBRE", "OCCUPÉ")</f>
        <v>LIBRE</v>
      </c>
      <c r="P113" s="54" t="str">
        <f>IF(ISBLANK(Tableau!$AA$113), "LIBRE", "OCCUPÉ")</f>
        <v>LIBRE</v>
      </c>
      <c r="Q113" s="54" t="str">
        <f>IF(ISBLANK(Tableau!$AC$113), "LIBRE", "OCCUPÉ")</f>
        <v>OCCUPÉ</v>
      </c>
      <c r="R113" s="52" t="str">
        <f>IF(ISBLANK(Tableau!$AE$113), "LIBRE", "OCCUPÉ")</f>
        <v>LIBRE</v>
      </c>
      <c r="S113" s="54" t="str">
        <f>IF(ISBLANK(Tableau!$AG$113), "LIBRE", "OCCUPÉ")</f>
        <v>LIBRE</v>
      </c>
      <c r="T113" s="52" t="str">
        <f>IF(ISBLANK(Tableau!$AI$113), "LIBRE", "OCCUPÉ")</f>
        <v>LIBRE</v>
      </c>
      <c r="U113" s="54" t="str">
        <f>IF(ISBLANK(Tableau!$AK$113), "LIBRE", "OCCUPÉ")</f>
        <v>OCCUPÉ</v>
      </c>
      <c r="V113" s="54" t="str">
        <f>IF(ISBLANK(Tableau!$AM$113), "LIBRE", "OCCUPÉ")</f>
        <v>LIBRE</v>
      </c>
      <c r="W113" s="52" t="str">
        <f>IF(ISBLANK(Tableau!$AO$113), "LIBRE", "OCCUPÉ")</f>
        <v>LIBRE</v>
      </c>
      <c r="X113" s="52" t="str">
        <f>IF(ISBLANK(Tableau!$AQ$113), "LIBRE", "OCCUPÉ")</f>
        <v>LIBRE</v>
      </c>
      <c r="Y113" s="52" t="str">
        <f>IF(ISBLANK(Tableau!$AS$113), "LIBRE", "OCCUPÉ")</f>
        <v>LIBRE</v>
      </c>
      <c r="Z113" s="52" t="str">
        <f>IF(ISBLANK(Tableau!$AU$113), "LIBRE", "OCCUPÉ")</f>
        <v>LIBRE</v>
      </c>
      <c r="AA113" s="54" t="str">
        <f>IF(ISBLANK(Tableau!$AW$113), "LIBRE", "OCCUPÉ")</f>
        <v>LIBRE</v>
      </c>
      <c r="AB113" s="76" t="str">
        <f>IF(ISBLANK(Tableau!$AY113), "LIBRE", "OCCUPÉ")</f>
        <v>LIBRE</v>
      </c>
      <c r="AC113" s="88"/>
    </row>
    <row r="114" ht="21.75" customHeight="1">
      <c r="A114" s="72">
        <f>Tableau!A114</f>
        <v>359</v>
      </c>
      <c r="B114" s="73" t="str">
        <f>VLOOKUP($A114,LocalisationRemorque,2,0)</f>
        <v>Florenne</v>
      </c>
      <c r="C114" s="74" t="str">
        <f>VLOOKUP($A114,LocalisationRemorque,3,0)</f>
        <v>Mettet</v>
      </c>
      <c r="D114" s="75" t="str">
        <f>CONCATENATE(VLOOKUP($A114,LocalisationRemorque,6,0)," ► ",VLOOKUP($A114,LocalisationRemorque,5,0))</f>
        <v>Mettet ► Florennes</v>
      </c>
      <c r="E114" s="52" t="str">
        <f>IF(ISBLANK(Tableau!$E$114), "LIBRE", "OCCUPÉ")</f>
        <v>LIBRE</v>
      </c>
      <c r="F114" s="52" t="str">
        <f>IF(ISBLANK(Tableau!$G$114), "LIBRE", "OCCUPÉ")</f>
        <v>LIBRE</v>
      </c>
      <c r="G114" s="54" t="str">
        <f>IF(ISBLANK(Tableau!$I$114), "LIBRE", "OCCUPÉ")</f>
        <v>LIBRE</v>
      </c>
      <c r="H114" s="52" t="str">
        <f>IF(ISBLANK(Tableau!$K$114), "LIBRE", "OCCUPÉ")</f>
        <v>LIBRE</v>
      </c>
      <c r="I114" s="54" t="str">
        <f>IF(ISBLANK(Tableau!$M$114), "LIBRE", "OCCUPÉ")</f>
        <v>LIBRE</v>
      </c>
      <c r="J114" s="54" t="str">
        <f>IF(ISBLANK(Tableau!$O$114), "LIBRE", "OCCUPÉ")</f>
        <v>LIBRE</v>
      </c>
      <c r="K114" s="54" t="str">
        <f>IF(ISBLANK(Tableau!$Q$114), "LIBRE", "OCCUPÉ")</f>
        <v>LIBRE</v>
      </c>
      <c r="L114" s="54" t="str">
        <f>IF(ISBLANK(Tableau!$S$114), "LIBRE", "OCCUPÉ")</f>
        <v>LIBRE</v>
      </c>
      <c r="M114" s="54" t="str">
        <f>IF(ISBLANK(Tableau!$U$114), "LIBRE", "OCCUPÉ")</f>
        <v>LIBRE</v>
      </c>
      <c r="N114" s="52" t="str">
        <f>IF(ISBLANK(Tableau!$W$114), "LIBRE", "OCCUPÉ")</f>
        <v>LIBRE</v>
      </c>
      <c r="O114" s="54" t="str">
        <f>IF(ISBLANK(Tableau!$Y$114), "LIBRE", "OCCUPÉ")</f>
        <v>LIBRE</v>
      </c>
      <c r="P114" s="52" t="str">
        <f>IF(ISBLANK(Tableau!$AA$114), "LIBRE", "OCCUPÉ")</f>
        <v>LIBRE</v>
      </c>
      <c r="Q114" s="52" t="str">
        <f>IF(ISBLANK(Tableau!$AC$114), "LIBRE", "OCCUPÉ")</f>
        <v>LIBRE</v>
      </c>
      <c r="R114" s="52" t="str">
        <f>IF(ISBLANK(Tableau!$AE$114), "LIBRE", "OCCUPÉ")</f>
        <v>LIBRE</v>
      </c>
      <c r="S114" s="52" t="str">
        <f>IF(ISBLANK(Tableau!$AG$114), "LIBRE", "OCCUPÉ")</f>
        <v>LIBRE</v>
      </c>
      <c r="T114" s="52" t="str">
        <f>IF(ISBLANK(Tableau!$AI$114), "LIBRE", "OCCUPÉ")</f>
        <v>LIBRE</v>
      </c>
      <c r="U114" s="52" t="str">
        <f>IF(ISBLANK(Tableau!$AK$114), "LIBRE", "OCCUPÉ")</f>
        <v>LIBRE</v>
      </c>
      <c r="V114" s="54" t="str">
        <f>IF(ISBLANK(Tableau!$AM$114), "LIBRE", "OCCUPÉ")</f>
        <v>LIBRE</v>
      </c>
      <c r="W114" s="52" t="str">
        <f>IF(ISBLANK(Tableau!$AO$114), "LIBRE", "OCCUPÉ")</f>
        <v>LIBRE</v>
      </c>
      <c r="X114" s="52" t="str">
        <f>IF(ISBLANK(Tableau!$AQ$114), "LIBRE", "OCCUPÉ")</f>
        <v>LIBRE</v>
      </c>
      <c r="Y114" s="52" t="str">
        <f>IF(ISBLANK(Tableau!$AS$114), "LIBRE", "OCCUPÉ")</f>
        <v>LIBRE</v>
      </c>
      <c r="Z114" s="52" t="str">
        <f>IF(ISBLANK(Tableau!$AU$114), "LIBRE", "OCCUPÉ")</f>
        <v>LIBRE</v>
      </c>
      <c r="AA114" s="52" t="str">
        <f>IF(ISBLANK(Tableau!$AW$114), "LIBRE", "OCCUPÉ")</f>
        <v>LIBRE</v>
      </c>
      <c r="AB114" s="69" t="str">
        <f>IF(ISBLANK(Tableau!$AY114), "LIBRE", "OCCUPÉ")</f>
        <v>LIBRE</v>
      </c>
      <c r="AC114" s="155"/>
    </row>
    <row r="115" ht="21.75" customHeight="1">
      <c r="A115" s="40">
        <f>Tableau!A115</f>
        <v>360</v>
      </c>
      <c r="B115" s="46" t="str">
        <f>VLOOKUP($A115,LocalisationRemorque,2,0)</f>
        <v>Neuville</v>
      </c>
      <c r="C115" s="47" t="str">
        <f>VLOOKUP($A115,LocalisationRemorque,3,0)</f>
        <v>Philippeville-Couvin</v>
      </c>
      <c r="D115" s="49" t="str">
        <f>CONCATENATE(VLOOKUP($A115,LocalisationRemorque,6,0)," ► ",VLOOKUP($A115,LocalisationRemorque,5,0))</f>
        <v>Philippeville ► Couvin</v>
      </c>
      <c r="E115" s="52" t="str">
        <f>IF(ISBLANK(Tableau!$E$115), "LIBRE", "OCCUPÉ")</f>
        <v>LIBRE</v>
      </c>
      <c r="F115" s="52" t="str">
        <f>IF(ISBLANK(Tableau!$G$115), "LIBRE", "OCCUPÉ")</f>
        <v>LIBRE</v>
      </c>
      <c r="G115" s="54" t="str">
        <f>IF(ISBLANK(Tableau!$I$115), "LIBRE", "OCCUPÉ")</f>
        <v>LIBRE</v>
      </c>
      <c r="H115" s="52" t="str">
        <f>IF(ISBLANK(Tableau!$K$115), "LIBRE", "OCCUPÉ")</f>
        <v>LIBRE</v>
      </c>
      <c r="I115" s="54" t="str">
        <f>IF(ISBLANK(Tableau!$M$115), "LIBRE", "OCCUPÉ")</f>
        <v>LIBRE</v>
      </c>
      <c r="J115" s="52" t="str">
        <f>IF(ISBLANK(Tableau!$O$115), "LIBRE", "OCCUPÉ")</f>
        <v>LIBRE</v>
      </c>
      <c r="K115" s="52" t="str">
        <f>IF(ISBLANK(Tableau!$Q$115), "LIBRE", "OCCUPÉ")</f>
        <v>OCCUPÉ</v>
      </c>
      <c r="L115" s="52" t="str">
        <f>IF(ISBLANK(Tableau!$S$115), "LIBRE", "OCCUPÉ")</f>
        <v>LIBRE</v>
      </c>
      <c r="M115" s="54" t="str">
        <f>IF(ISBLANK(Tableau!$U$115), "LIBRE", "OCCUPÉ")</f>
        <v>LIBRE</v>
      </c>
      <c r="N115" s="52" t="str">
        <f>IF(ISBLANK(Tableau!$W$115), "LIBRE", "OCCUPÉ")</f>
        <v>LIBRE</v>
      </c>
      <c r="O115" s="54" t="str">
        <f>IF(ISBLANK(Tableau!$Y$115), "LIBRE", "OCCUPÉ")</f>
        <v>LIBRE</v>
      </c>
      <c r="P115" s="52" t="str">
        <f>IF(ISBLANK(Tableau!$AA$115), "LIBRE", "OCCUPÉ")</f>
        <v>LIBRE</v>
      </c>
      <c r="Q115" s="54" t="str">
        <f>IF(ISBLANK(Tableau!$AC$115), "LIBRE", "OCCUPÉ")</f>
        <v>LIBRE</v>
      </c>
      <c r="R115" s="52" t="str">
        <f>IF(ISBLANK(Tableau!$AE$115), "LIBRE", "OCCUPÉ")</f>
        <v>LIBRE</v>
      </c>
      <c r="S115" s="54" t="str">
        <f>IF(ISBLANK(Tableau!$AG$115), "LIBRE", "OCCUPÉ")</f>
        <v>LIBRE</v>
      </c>
      <c r="T115" s="52" t="str">
        <f>IF(ISBLANK(Tableau!$AI$115), "LIBRE", "OCCUPÉ")</f>
        <v>LIBRE</v>
      </c>
      <c r="U115" s="52" t="str">
        <f>IF(ISBLANK(Tableau!$AK$115), "LIBRE", "OCCUPÉ")</f>
        <v>OCCUPÉ</v>
      </c>
      <c r="V115" s="52" t="str">
        <f>IF(ISBLANK(Tableau!$AM$115), "LIBRE", "OCCUPÉ")</f>
        <v>LIBRE</v>
      </c>
      <c r="W115" s="54" t="str">
        <f>IF(ISBLANK(Tableau!$AO$115), "LIBRE", "OCCUPÉ")</f>
        <v>LIBRE</v>
      </c>
      <c r="X115" s="52" t="str">
        <f>IF(ISBLANK(Tableau!$AQ$115), "LIBRE", "OCCUPÉ")</f>
        <v>LIBRE</v>
      </c>
      <c r="Y115" s="54" t="str">
        <f>IF(ISBLANK(Tableau!$AS$115), "LIBRE", "OCCUPÉ")</f>
        <v>LIBRE</v>
      </c>
      <c r="Z115" s="52" t="str">
        <f>IF(ISBLANK(Tableau!$AU$115), "LIBRE", "OCCUPÉ")</f>
        <v>LIBRE</v>
      </c>
      <c r="AA115" s="52" t="str">
        <f>IF(ISBLANK(Tableau!$AW$115), "LIBRE", "OCCUPÉ")</f>
        <v>LIBRE</v>
      </c>
      <c r="AB115" s="76" t="str">
        <f>IF(ISBLANK(Tableau!$AY115), "LIBRE", "OCCUPÉ")</f>
        <v>LIBRE</v>
      </c>
      <c r="AC115" s="88"/>
    </row>
    <row r="116" ht="21.75" customHeight="1">
      <c r="A116" s="72">
        <f>Tableau!A116</f>
        <v>361</v>
      </c>
      <c r="B116" s="73" t="str">
        <f>VLOOKUP($A116,LocalisationRemorque,2,0)</f>
        <v>Lacs de l'Eau d'Heure</v>
      </c>
      <c r="C116" s="74" t="str">
        <f>VLOOKUP($A116,LocalisationRemorque,3,0)</f>
        <v>Silenrieux</v>
      </c>
      <c r="D116" s="75" t="str">
        <f>CONCATENATE(VLOOKUP($A116,LocalisationRemorque,6,0)," ► ",VLOOKUP($A116,LocalisationRemorque,5,0))</f>
        <v>Philippeville ► Silenrieux</v>
      </c>
      <c r="E116" s="54" t="str">
        <f>IF(ISBLANK(Tableau!$E$116), "LIBRE", "OCCUPÉ")</f>
        <v>LIBRE</v>
      </c>
      <c r="F116" s="52" t="str">
        <f>IF(ISBLANK(Tableau!$G$116), "LIBRE", "OCCUPÉ")</f>
        <v>LIBRE</v>
      </c>
      <c r="G116" s="54" t="str">
        <f>IF(ISBLANK(Tableau!$I$116), "LIBRE", "OCCUPÉ")</f>
        <v>LIBRE</v>
      </c>
      <c r="H116" s="52" t="str">
        <f>IF(ISBLANK(Tableau!$K$116), "LIBRE", "OCCUPÉ")</f>
        <v>LIBRE</v>
      </c>
      <c r="I116" s="54" t="str">
        <f>IF(ISBLANK(Tableau!$M$116), "LIBRE", "OCCUPÉ")</f>
        <v>LIBRE</v>
      </c>
      <c r="J116" s="54" t="str">
        <f>IF(ISBLANK(Tableau!$O$116), "LIBRE", "OCCUPÉ")</f>
        <v>LIBRE</v>
      </c>
      <c r="K116" s="52" t="str">
        <f>IF(ISBLANK(Tableau!$Q$116), "LIBRE", "OCCUPÉ")</f>
        <v>LIBRE</v>
      </c>
      <c r="L116" s="52" t="str">
        <f>IF(ISBLANK(Tableau!$S$116), "LIBRE", "OCCUPÉ")</f>
        <v>LIBRE</v>
      </c>
      <c r="M116" s="52" t="str">
        <f>IF(ISBLANK(Tableau!$U$116), "LIBRE", "OCCUPÉ")</f>
        <v>LIBRE</v>
      </c>
      <c r="N116" s="52" t="str">
        <f>IF(ISBLANK(Tableau!$W$116), "LIBRE", "OCCUPÉ")</f>
        <v>LIBRE</v>
      </c>
      <c r="O116" s="52" t="str">
        <f>IF(ISBLANK(Tableau!$Y$116), "LIBRE", "OCCUPÉ")</f>
        <v>LIBRE</v>
      </c>
      <c r="P116" s="52" t="str">
        <f>IF(ISBLANK(Tableau!$AA$116), "LIBRE", "OCCUPÉ")</f>
        <v>LIBRE</v>
      </c>
      <c r="Q116" s="54" t="str">
        <f>IF(ISBLANK(Tableau!$AC$116), "LIBRE", "OCCUPÉ")</f>
        <v>OCCUPÉ</v>
      </c>
      <c r="R116" s="54" t="str">
        <f>IF(ISBLANK(Tableau!$AE$116), "LIBRE", "OCCUPÉ")</f>
        <v>LIBRE</v>
      </c>
      <c r="S116" s="54" t="str">
        <f>IF(ISBLANK(Tableau!$AG$116), "LIBRE", "OCCUPÉ")</f>
        <v>OCCUPÉ</v>
      </c>
      <c r="T116" s="52" t="str">
        <f>IF(ISBLANK(Tableau!$AI$116), "LIBRE", "OCCUPÉ")</f>
        <v>LIBRE</v>
      </c>
      <c r="U116" s="54" t="str">
        <f>IF(ISBLANK(Tableau!$AK$116), "LIBRE", "OCCUPÉ")</f>
        <v>LIBRE</v>
      </c>
      <c r="V116" s="52" t="str">
        <f>IF(ISBLANK(Tableau!$AM$116), "LIBRE", "OCCUPÉ")</f>
        <v>LIBRE</v>
      </c>
      <c r="W116" s="54" t="str">
        <f>IF(ISBLANK(Tableau!$AO$116), "LIBRE", "OCCUPÉ")</f>
        <v>OCCUPÉ</v>
      </c>
      <c r="X116" s="52" t="str">
        <f>IF(ISBLANK(Tableau!$AQ$116), "LIBRE", "OCCUPÉ")</f>
        <v>LIBRE</v>
      </c>
      <c r="Y116" s="54" t="str">
        <f>IF(ISBLANK(Tableau!$AS$116), "LIBRE", "OCCUPÉ")</f>
        <v>LIBRE</v>
      </c>
      <c r="Z116" s="52" t="str">
        <f>IF(ISBLANK(Tableau!$AU$116), "LIBRE", "OCCUPÉ")</f>
        <v>LIBRE</v>
      </c>
      <c r="AA116" s="52" t="str">
        <f>IF(ISBLANK(Tableau!$AW$116), "LIBRE", "OCCUPÉ")</f>
        <v>LIBRE</v>
      </c>
      <c r="AB116" s="76" t="str">
        <f>IF(ISBLANK(Tableau!$AY116), "LIBRE", "OCCUPÉ")</f>
        <v>LIBRE</v>
      </c>
      <c r="AC116" s="155"/>
    </row>
    <row r="117" ht="21.75" hidden="1" customHeight="1">
      <c r="A117" s="40" t="str">
        <f>Tableau!A117</f>
        <v/>
      </c>
      <c r="B117" s="46" t="str">
        <f>VLOOKUP($A117,LocalisationRemorque,2,0)</f>
        <v> Remorque non listée</v>
      </c>
      <c r="C117" s="47" t="str">
        <f>VLOOKUP($A117,LocalisationRemorque,3,0)</f>
        <v/>
      </c>
      <c r="D117" s="49" t="str">
        <f>CONCATENATE(VLOOKUP($A117,LocalisationRemorque,6,0)," ► ",VLOOKUP($A117,LocalisationRemorque,5,0))</f>
        <v> ► </v>
      </c>
      <c r="E117" s="54" t="str">
        <f>IF(ISBLANK(Tableau!$E$117), "LIBRE", "OCCUPÉ")</f>
        <v>LIBRE</v>
      </c>
      <c r="F117" s="52" t="str">
        <f>IF(ISBLANK(Tableau!$G$117), "LIBRE", "OCCUPÉ")</f>
        <v>LIBRE</v>
      </c>
      <c r="G117" s="52" t="str">
        <f>IF(ISBLANK(Tableau!$I$117), "LIBRE", "OCCUPÉ")</f>
        <v>LIBRE</v>
      </c>
      <c r="H117" s="52" t="str">
        <f>IF(ISBLANK(Tableau!$K$117), "LIBRE", "OCCUPÉ")</f>
        <v>LIBRE</v>
      </c>
      <c r="I117" s="52" t="str">
        <f>IF(ISBLANK(Tableau!$M$117), "LIBRE", "OCCUPÉ")</f>
        <v>LIBRE</v>
      </c>
      <c r="J117" s="52" t="str">
        <f>IF(ISBLANK(Tableau!$O$117), "LIBRE", "OCCUPÉ")</f>
        <v>LIBRE</v>
      </c>
      <c r="K117" s="52" t="str">
        <f>IF(ISBLANK(Tableau!$Q$117), "LIBRE", "OCCUPÉ")</f>
        <v>LIBRE</v>
      </c>
      <c r="L117" s="54" t="str">
        <f>IF(ISBLANK(Tableau!$S$117), "LIBRE", "OCCUPÉ")</f>
        <v>LIBRE</v>
      </c>
      <c r="M117" s="54" t="str">
        <f>IF(ISBLANK(Tableau!$U$117), "LIBRE", "OCCUPÉ")</f>
        <v>LIBRE</v>
      </c>
      <c r="N117" s="52" t="str">
        <f>IF(ISBLANK(Tableau!$W$117), "LIBRE", "OCCUPÉ")</f>
        <v>LIBRE</v>
      </c>
      <c r="O117" s="52" t="str">
        <f>IF(ISBLANK(Tableau!$Y$117), "LIBRE", "OCCUPÉ")</f>
        <v>LIBRE</v>
      </c>
      <c r="P117" s="54" t="str">
        <f>IF(ISBLANK(Tableau!$AA$117), "LIBRE", "OCCUPÉ")</f>
        <v>LIBRE</v>
      </c>
      <c r="Q117" s="52" t="str">
        <f>IF(ISBLANK(Tableau!$AC$117), "LIBRE", "OCCUPÉ")</f>
        <v>LIBRE</v>
      </c>
      <c r="R117" s="54" t="str">
        <f>IF(ISBLANK(Tableau!$AE$117), "LIBRE", "OCCUPÉ")</f>
        <v>LIBRE</v>
      </c>
      <c r="S117" s="52" t="str">
        <f>IF(ISBLANK(Tableau!$AG$117), "LIBRE", "OCCUPÉ")</f>
        <v>LIBRE</v>
      </c>
      <c r="T117" s="52" t="str">
        <f>IF(ISBLANK(Tableau!$AI$117), "LIBRE", "OCCUPÉ")</f>
        <v>LIBRE</v>
      </c>
      <c r="U117" s="52" t="str">
        <f>IF(ISBLANK(Tableau!$AK$117), "LIBRE", "OCCUPÉ")</f>
        <v>LIBRE</v>
      </c>
      <c r="V117" s="54" t="str">
        <f>IF(ISBLANK(Tableau!$AM$117), "LIBRE", "OCCUPÉ")</f>
        <v>LIBRE</v>
      </c>
      <c r="W117" s="52" t="str">
        <f>IF(ISBLANK(Tableau!$AO$117), "LIBRE", "OCCUPÉ")</f>
        <v>LIBRE</v>
      </c>
      <c r="X117" s="54" t="str">
        <f>IF(ISBLANK(Tableau!$AQ$117), "LIBRE", "OCCUPÉ")</f>
        <v>LIBRE</v>
      </c>
      <c r="Y117" s="52" t="str">
        <f>IF(ISBLANK(Tableau!$AS$117), "LIBRE", "OCCUPÉ")</f>
        <v>LIBRE</v>
      </c>
      <c r="Z117" s="52" t="str">
        <f>IF(ISBLANK(Tableau!$AU$117), "LIBRE", "OCCUPÉ")</f>
        <v>LIBRE</v>
      </c>
      <c r="AA117" s="52" t="str">
        <f>IF(ISBLANK(Tableau!$AW$117), "LIBRE", "OCCUPÉ")</f>
        <v>LIBRE</v>
      </c>
      <c r="AB117" s="69" t="str">
        <f>IF(ISBLANK(Tableau!$AY117), "LIBRE", "OCCUPÉ")</f>
        <v>LIBRE</v>
      </c>
      <c r="AC117" s="88"/>
    </row>
    <row r="118" ht="21.75" customHeight="1">
      <c r="A118" s="72">
        <f>Tableau!A118</f>
        <v>347</v>
      </c>
      <c r="B118" s="73" t="str">
        <f>VLOOKUP($A118,LocalisationRemorque,2,0)</f>
        <v>Marche</v>
      </c>
      <c r="C118" s="74" t="str">
        <f>VLOOKUP($A118,LocalisationRemorque,3,0)</f>
        <v>Sinsin</v>
      </c>
      <c r="D118" s="75" t="str">
        <f>CONCATENATE(VLOOKUP($A118,LocalisationRemorque,6,0)," ► ",VLOOKUP($A118,LocalisationRemorque,5,0))</f>
        <v>Namur ► Marche</v>
      </c>
      <c r="E118" s="54" t="str">
        <f>IF(ISBLANK(Tableau!$E$118), "LIBRE", "OCCUPÉ")</f>
        <v>OCCUPÉ</v>
      </c>
      <c r="F118" s="52" t="str">
        <f>IF(ISBLANK(Tableau!$G$118), "LIBRE", "OCCUPÉ")</f>
        <v>OCCUPÉ</v>
      </c>
      <c r="G118" s="54" t="str">
        <f>IF(ISBLANK(Tableau!$I$118), "LIBRE", "OCCUPÉ")</f>
        <v>OCCUPÉ</v>
      </c>
      <c r="H118" s="54" t="str">
        <f>IF(ISBLANK(Tableau!$K$118), "LIBRE", "OCCUPÉ")</f>
        <v>OCCUPÉ</v>
      </c>
      <c r="I118" s="54" t="str">
        <f>IF(ISBLANK(Tableau!$M$118), "LIBRE", "OCCUPÉ")</f>
        <v>OCCUPÉ</v>
      </c>
      <c r="J118" s="54" t="str">
        <f>IF(ISBLANK(Tableau!$O$118), "LIBRE", "OCCUPÉ")</f>
        <v>OCCUPÉ</v>
      </c>
      <c r="K118" s="54" t="str">
        <f>IF(ISBLANK(Tableau!$Q$118), "LIBRE", "OCCUPÉ")</f>
        <v>OCCUPÉ</v>
      </c>
      <c r="L118" s="54" t="str">
        <f>IF(ISBLANK(Tableau!$S$118), "LIBRE", "OCCUPÉ")</f>
        <v>OCCUPÉ</v>
      </c>
      <c r="M118" s="54" t="str">
        <f>IF(ISBLANK(Tableau!$U$118), "LIBRE", "OCCUPÉ")</f>
        <v>OCCUPÉ</v>
      </c>
      <c r="N118" s="54" t="str">
        <f>IF(ISBLANK(Tableau!$W$118), "LIBRE", "OCCUPÉ")</f>
        <v>OCCUPÉ</v>
      </c>
      <c r="O118" s="54" t="str">
        <f>IF(ISBLANK(Tableau!$Y$118), "LIBRE", "OCCUPÉ")</f>
        <v>OCCUPÉ</v>
      </c>
      <c r="P118" s="54" t="str">
        <f>IF(ISBLANK(Tableau!$AA$118), "LIBRE", "OCCUPÉ")</f>
        <v>LIBRE</v>
      </c>
      <c r="Q118" s="54" t="str">
        <f>IF(ISBLANK(Tableau!$AC$118), "LIBRE", "OCCUPÉ")</f>
        <v>OCCUPÉ</v>
      </c>
      <c r="R118" s="52" t="str">
        <f>IF(ISBLANK(Tableau!$AE$118), "LIBRE", "OCCUPÉ")</f>
        <v>LIBRE</v>
      </c>
      <c r="S118" s="54" t="str">
        <f>IF(ISBLANK(Tableau!$AG$118), "LIBRE", "OCCUPÉ")</f>
        <v>OCCUPÉ</v>
      </c>
      <c r="T118" s="52" t="str">
        <f>IF(ISBLANK(Tableau!$AI$118), "LIBRE", "OCCUPÉ")</f>
        <v>LIBRE</v>
      </c>
      <c r="U118" s="54" t="str">
        <f>IF(ISBLANK(Tableau!$AK$118), "LIBRE", "OCCUPÉ")</f>
        <v>OCCUPÉ</v>
      </c>
      <c r="V118" s="52" t="str">
        <f>IF(ISBLANK(Tableau!$AM$118), "LIBRE", "OCCUPÉ")</f>
        <v>LIBRE</v>
      </c>
      <c r="W118" s="54" t="str">
        <f>IF(ISBLANK(Tableau!$AO$118), "LIBRE", "OCCUPÉ")</f>
        <v>OCCUPÉ</v>
      </c>
      <c r="X118" s="54" t="str">
        <f>IF(ISBLANK(Tableau!$AQ$118), "LIBRE", "OCCUPÉ")</f>
        <v>LIBRE</v>
      </c>
      <c r="Y118" s="54" t="str">
        <f>IF(ISBLANK(Tableau!$AS$118), "LIBRE", "OCCUPÉ")</f>
        <v>OCCUPÉ</v>
      </c>
      <c r="Z118" s="54" t="str">
        <f>IF(ISBLANK(Tableau!$AU$118), "LIBRE", "OCCUPÉ")</f>
        <v>LIBRE</v>
      </c>
      <c r="AA118" s="54" t="str">
        <f>IF(ISBLANK(Tableau!$AW$118), "LIBRE", "OCCUPÉ")</f>
        <v>OCCUPÉ</v>
      </c>
      <c r="AB118" s="76" t="str">
        <f>IF(ISBLANK(Tableau!$AY118), "LIBRE", "OCCUPÉ")</f>
        <v>LIBRE</v>
      </c>
      <c r="AC118" s="77" t="s">
        <v>17</v>
      </c>
    </row>
    <row r="119" ht="21.75" customHeight="1">
      <c r="A119" s="40">
        <f>Tableau!A119</f>
        <v>348</v>
      </c>
      <c r="B119" s="46" t="str">
        <f>VLOOKUP($A119,LocalisationRemorque,2,0)</f>
        <v>Marche</v>
      </c>
      <c r="C119" s="47" t="str">
        <f>VLOOKUP($A119,LocalisationRemorque,3,0)</f>
        <v>Baillonville</v>
      </c>
      <c r="D119" s="49" t="str">
        <f>CONCATENATE(VLOOKUP($A119,LocalisationRemorque,6,0)," ► ",VLOOKUP($A119,LocalisationRemorque,5,0))</f>
        <v>Marche-en-Famenne ► Liège</v>
      </c>
      <c r="E119" s="52" t="str">
        <f>IF(ISBLANK(Tableau!$E$119), "LIBRE", "OCCUPÉ")</f>
        <v>OCCUPÉ</v>
      </c>
      <c r="F119" s="52" t="str">
        <f>IF(ISBLANK(Tableau!$G$119), "LIBRE", "OCCUPÉ")</f>
        <v>LIBRE</v>
      </c>
      <c r="G119" s="52" t="str">
        <f>IF(ISBLANK(Tableau!$I$119), "LIBRE", "OCCUPÉ")</f>
        <v>OCCUPÉ</v>
      </c>
      <c r="H119" s="52" t="str">
        <f>IF(ISBLANK(Tableau!$K$119), "LIBRE", "OCCUPÉ")</f>
        <v>LIBRE</v>
      </c>
      <c r="I119" s="52" t="str">
        <f>IF(ISBLANK(Tableau!$M$119), "LIBRE", "OCCUPÉ")</f>
        <v>OCCUPÉ</v>
      </c>
      <c r="J119" s="54" t="str">
        <f>IF(ISBLANK(Tableau!$O$119), "LIBRE", "OCCUPÉ")</f>
        <v>LIBRE</v>
      </c>
      <c r="K119" s="54" t="str">
        <f>IF(ISBLANK(Tableau!$Q$119), "LIBRE", "OCCUPÉ")</f>
        <v>OCCUPÉ</v>
      </c>
      <c r="L119" s="52" t="str">
        <f>IF(ISBLANK(Tableau!$S$119), "LIBRE", "OCCUPÉ")</f>
        <v>LIBRE</v>
      </c>
      <c r="M119" s="54" t="str">
        <f>IF(ISBLANK(Tableau!$U$119), "LIBRE", "OCCUPÉ")</f>
        <v>OCCUPÉ</v>
      </c>
      <c r="N119" s="52" t="str">
        <f>IF(ISBLANK(Tableau!$W$119), "LIBRE", "OCCUPÉ")</f>
        <v>LIBRE</v>
      </c>
      <c r="O119" s="54" t="str">
        <f>IF(ISBLANK(Tableau!$Y$119), "LIBRE", "OCCUPÉ")</f>
        <v>LIBRE</v>
      </c>
      <c r="P119" s="52" t="str">
        <f>IF(ISBLANK(Tableau!$AA$119), "LIBRE", "OCCUPÉ")</f>
        <v>LIBRE</v>
      </c>
      <c r="Q119" s="54" t="str">
        <f>IF(ISBLANK(Tableau!$AC$119), "LIBRE", "OCCUPÉ")</f>
        <v>LIBRE</v>
      </c>
      <c r="R119" s="52" t="str">
        <f>IF(ISBLANK(Tableau!$AE$119), "LIBRE", "OCCUPÉ")</f>
        <v>LIBRE</v>
      </c>
      <c r="S119" s="52" t="str">
        <f>IF(ISBLANK(Tableau!$AG$119), "LIBRE", "OCCUPÉ")</f>
        <v>LIBRE</v>
      </c>
      <c r="T119" s="52" t="str">
        <f>IF(ISBLANK(Tableau!$AI$119), "LIBRE", "OCCUPÉ")</f>
        <v>OCCUPÉ</v>
      </c>
      <c r="U119" s="52" t="str">
        <f>IF(ISBLANK(Tableau!$AK$119), "LIBRE", "OCCUPÉ")</f>
        <v>LIBRE</v>
      </c>
      <c r="V119" s="54" t="str">
        <f>IF(ISBLANK(Tableau!$AM$119), "LIBRE", "OCCUPÉ")</f>
        <v>LIBRE</v>
      </c>
      <c r="W119" s="54" t="str">
        <f>IF(ISBLANK(Tableau!$AO$119), "LIBRE", "OCCUPÉ")</f>
        <v>LIBRE</v>
      </c>
      <c r="X119" s="52" t="str">
        <f>IF(ISBLANK(Tableau!$AQ$119), "LIBRE", "OCCUPÉ")</f>
        <v>LIBRE</v>
      </c>
      <c r="Y119" s="52" t="str">
        <f>IF(ISBLANK(Tableau!$AS$119), "LIBRE", "OCCUPÉ")</f>
        <v>LIBRE</v>
      </c>
      <c r="Z119" s="52" t="str">
        <f>IF(ISBLANK(Tableau!$AU$119), "LIBRE", "OCCUPÉ")</f>
        <v>OCCUPÉ</v>
      </c>
      <c r="AA119" s="52" t="str">
        <f>IF(ISBLANK(Tableau!$AW$119), "LIBRE", "OCCUPÉ")</f>
        <v>LIBRE</v>
      </c>
      <c r="AB119" s="76" t="str">
        <f>IF(ISBLANK(Tableau!$AY119), "LIBRE", "OCCUPÉ")</f>
        <v>LIBRE</v>
      </c>
      <c r="AC119" s="70" t="s">
        <v>17</v>
      </c>
    </row>
    <row r="120" ht="21.75" customHeight="1">
      <c r="A120" s="72">
        <f>Tableau!A120</f>
        <v>349</v>
      </c>
      <c r="B120" s="73" t="str">
        <f>VLOOKUP($A120,LocalisationRemorque,2,0)</f>
        <v>Marche</v>
      </c>
      <c r="C120" s="74" t="str">
        <f>VLOOKUP($A120,LocalisationRemorque,3,0)</f>
        <v>Chaussée de liège</v>
      </c>
      <c r="D120" s="75" t="str">
        <f>CONCATENATE(VLOOKUP($A120,LocalisationRemorque,6,0)," ► ",VLOOKUP($A120,LocalisationRemorque,5,0))</f>
        <v>Liège ► Marche</v>
      </c>
      <c r="E120" s="54" t="str">
        <f>IF(ISBLANK(Tableau!$E$120), "LIBRE", "OCCUPÉ")</f>
        <v>OCCUPÉ</v>
      </c>
      <c r="F120" s="54" t="str">
        <f>IF(ISBLANK(Tableau!$G$120), "LIBRE", "OCCUPÉ")</f>
        <v>OCCUPÉ</v>
      </c>
      <c r="G120" s="54" t="str">
        <f>IF(ISBLANK(Tableau!$I$120), "LIBRE", "OCCUPÉ")</f>
        <v>OCCUPÉ</v>
      </c>
      <c r="H120" s="52" t="str">
        <f>IF(ISBLANK(Tableau!$K$120), "LIBRE", "OCCUPÉ")</f>
        <v>LIBRE</v>
      </c>
      <c r="I120" s="54" t="str">
        <f>IF(ISBLANK(Tableau!$M$120), "LIBRE", "OCCUPÉ")</f>
        <v>OCCUPÉ</v>
      </c>
      <c r="J120" s="54" t="str">
        <f>IF(ISBLANK(Tableau!$O$120), "LIBRE", "OCCUPÉ")</f>
        <v>LIBRE</v>
      </c>
      <c r="K120" s="54" t="str">
        <f>IF(ISBLANK(Tableau!$Q$120), "LIBRE", "OCCUPÉ")</f>
        <v>OCCUPÉ</v>
      </c>
      <c r="L120" s="52" t="str">
        <f>IF(ISBLANK(Tableau!$S$120), "LIBRE", "OCCUPÉ")</f>
        <v>LIBRE</v>
      </c>
      <c r="M120" s="54" t="str">
        <f>IF(ISBLANK(Tableau!$U$120), "LIBRE", "OCCUPÉ")</f>
        <v>OCCUPÉ</v>
      </c>
      <c r="N120" s="54" t="str">
        <f>IF(ISBLANK(Tableau!$W$120), "LIBRE", "OCCUPÉ")</f>
        <v>LIBRE</v>
      </c>
      <c r="O120" s="52" t="str">
        <f>IF(ISBLANK(Tableau!$Y$120), "LIBRE", "OCCUPÉ")</f>
        <v>OCCUPÉ</v>
      </c>
      <c r="P120" s="52" t="str">
        <f>IF(ISBLANK(Tableau!$AA$120), "LIBRE", "OCCUPÉ")</f>
        <v>LIBRE</v>
      </c>
      <c r="Q120" s="54" t="str">
        <f>IF(ISBLANK(Tableau!$AC$120), "LIBRE", "OCCUPÉ")</f>
        <v>OCCUPÉ</v>
      </c>
      <c r="R120" s="52" t="str">
        <f>IF(ISBLANK(Tableau!$AE$120), "LIBRE", "OCCUPÉ")</f>
        <v>OCCUPÉ</v>
      </c>
      <c r="S120" s="54" t="str">
        <f>IF(ISBLANK(Tableau!$AG$120), "LIBRE", "OCCUPÉ")</f>
        <v>OCCUPÉ</v>
      </c>
      <c r="T120" s="52" t="str">
        <f>IF(ISBLANK(Tableau!$AI$120), "LIBRE", "OCCUPÉ")</f>
        <v>LIBRE</v>
      </c>
      <c r="U120" s="52" t="str">
        <f>IF(ISBLANK(Tableau!$AK$120), "LIBRE", "OCCUPÉ")</f>
        <v>LIBRE</v>
      </c>
      <c r="V120" s="52" t="str">
        <f>IF(ISBLANK(Tableau!$AM$120), "LIBRE", "OCCUPÉ")</f>
        <v>OCCUPÉ</v>
      </c>
      <c r="W120" s="54" t="str">
        <f>IF(ISBLANK(Tableau!$AO$120), "LIBRE", "OCCUPÉ")</f>
        <v>OCCUPÉ</v>
      </c>
      <c r="X120" s="52" t="str">
        <f>IF(ISBLANK(Tableau!$AQ$120), "LIBRE", "OCCUPÉ")</f>
        <v>LIBRE</v>
      </c>
      <c r="Y120" s="54" t="str">
        <f>IF(ISBLANK(Tableau!$AS$120), "LIBRE", "OCCUPÉ")</f>
        <v>OCCUPÉ</v>
      </c>
      <c r="Z120" s="52" t="str">
        <f>IF(ISBLANK(Tableau!$AU$120), "LIBRE", "OCCUPÉ")</f>
        <v>LIBRE</v>
      </c>
      <c r="AA120" s="52" t="str">
        <f>IF(ISBLANK(Tableau!$AW$120), "LIBRE", "OCCUPÉ")</f>
        <v>OCCUPÉ</v>
      </c>
      <c r="AB120" s="76" t="str">
        <f>IF(ISBLANK(Tableau!$AY120), "LIBRE", "OCCUPÉ")</f>
        <v>LIBRE</v>
      </c>
      <c r="AC120" s="77" t="s">
        <v>17</v>
      </c>
    </row>
    <row r="121" ht="21.75" customHeight="1">
      <c r="A121" s="40">
        <f>Tableau!A121</f>
        <v>350</v>
      </c>
      <c r="B121" s="46" t="str">
        <f>VLOOKUP($A121,LocalisationRemorque,2,0)</f>
        <v>Marche</v>
      </c>
      <c r="C121" s="47" t="str">
        <f>VLOOKUP($A121,LocalisationRemorque,3,0)</f>
        <v>Wex</v>
      </c>
      <c r="D121" s="49" t="str">
        <f>CONCATENATE(VLOOKUP($A121,LocalisationRemorque,6,0)," ► ",VLOOKUP($A121,LocalisationRemorque,5,0))</f>
        <v>N4 (Aye) ► Marche</v>
      </c>
      <c r="E121" s="54" t="str">
        <f>IF(ISBLANK(Tableau!$E$121), "LIBRE", "OCCUPÉ")</f>
        <v>OCCUPÉ</v>
      </c>
      <c r="F121" s="54" t="str">
        <f>IF(ISBLANK(Tableau!$G$121), "LIBRE", "OCCUPÉ")</f>
        <v>LIBRE</v>
      </c>
      <c r="G121" s="54" t="str">
        <f>IF(ISBLANK(Tableau!$I$121), "LIBRE", "OCCUPÉ")</f>
        <v>OCCUPÉ</v>
      </c>
      <c r="H121" s="52" t="str">
        <f>IF(ISBLANK(Tableau!$K$121), "LIBRE", "OCCUPÉ")</f>
        <v>LIBRE</v>
      </c>
      <c r="I121" s="54" t="str">
        <f>IF(ISBLANK(Tableau!$M$121), "LIBRE", "OCCUPÉ")</f>
        <v>OCCUPÉ</v>
      </c>
      <c r="J121" s="52" t="str">
        <f>IF(ISBLANK(Tableau!$O$121), "LIBRE", "OCCUPÉ")</f>
        <v>LIBRE</v>
      </c>
      <c r="K121" s="54" t="str">
        <f>IF(ISBLANK(Tableau!$Q$121), "LIBRE", "OCCUPÉ")</f>
        <v>OCCUPÉ</v>
      </c>
      <c r="L121" s="54" t="str">
        <f>IF(ISBLANK(Tableau!$S$121), "LIBRE", "OCCUPÉ")</f>
        <v>OCCUPÉ</v>
      </c>
      <c r="M121" s="54" t="str">
        <f>IF(ISBLANK(Tableau!$U$121), "LIBRE", "OCCUPÉ")</f>
        <v>OCCUPÉ</v>
      </c>
      <c r="N121" s="52" t="str">
        <f>IF(ISBLANK(Tableau!$W$121), "LIBRE", "OCCUPÉ")</f>
        <v>LIBRE</v>
      </c>
      <c r="O121" s="54" t="str">
        <f>IF(ISBLANK(Tableau!$Y$121), "LIBRE", "OCCUPÉ")</f>
        <v>LIBRE</v>
      </c>
      <c r="P121" s="54" t="str">
        <f>IF(ISBLANK(Tableau!$AA$121), "LIBRE", "OCCUPÉ")</f>
        <v>OCCUPÉ</v>
      </c>
      <c r="Q121" s="54" t="str">
        <f>IF(ISBLANK(Tableau!$AC$121), "LIBRE", "OCCUPÉ")</f>
        <v>LIBRE</v>
      </c>
      <c r="R121" s="52" t="str">
        <f>IF(ISBLANK(Tableau!$AE$121), "LIBRE", "OCCUPÉ")</f>
        <v>LIBRE</v>
      </c>
      <c r="S121" s="52" t="str">
        <f>IF(ISBLANK(Tableau!$AG$121), "LIBRE", "OCCUPÉ")</f>
        <v>LIBRE</v>
      </c>
      <c r="T121" s="52" t="str">
        <f>IF(ISBLANK(Tableau!$AI$121), "LIBRE", "OCCUPÉ")</f>
        <v>LIBRE</v>
      </c>
      <c r="U121" s="54" t="str">
        <f>IF(ISBLANK(Tableau!$AK$121), "LIBRE", "OCCUPÉ")</f>
        <v>OCCUPÉ</v>
      </c>
      <c r="V121" s="52" t="str">
        <f>IF(ISBLANK(Tableau!$AM$121), "LIBRE", "OCCUPÉ")</f>
        <v>OCCUPÉ</v>
      </c>
      <c r="W121" s="54" t="str">
        <f>IF(ISBLANK(Tableau!$AO$121), "LIBRE", "OCCUPÉ")</f>
        <v>LIBRE</v>
      </c>
      <c r="X121" s="54" t="str">
        <f>IF(ISBLANK(Tableau!$AQ$121), "LIBRE", "OCCUPÉ")</f>
        <v>LIBRE</v>
      </c>
      <c r="Y121" s="54" t="str">
        <f>IF(ISBLANK(Tableau!$AS$121), "LIBRE", "OCCUPÉ")</f>
        <v>LIBRE</v>
      </c>
      <c r="Z121" s="52" t="str">
        <f>IF(ISBLANK(Tableau!$AU$121), "LIBRE", "OCCUPÉ")</f>
        <v>LIBRE</v>
      </c>
      <c r="AA121" s="54" t="str">
        <f>IF(ISBLANK(Tableau!$AW$121), "LIBRE", "OCCUPÉ")</f>
        <v>LIBRE</v>
      </c>
      <c r="AB121" s="69" t="str">
        <f>IF(ISBLANK(Tableau!$AY121), "LIBRE", "OCCUPÉ")</f>
        <v>OCCUPÉ</v>
      </c>
      <c r="AC121" s="70" t="s">
        <v>17</v>
      </c>
    </row>
    <row r="122" ht="21.75" customHeight="1">
      <c r="A122" s="72">
        <f>Tableau!A122</f>
        <v>351</v>
      </c>
      <c r="B122" s="73" t="str">
        <f>VLOOKUP($A122,LocalisationRemorque,2,0)</f>
        <v>Marche</v>
      </c>
      <c r="C122" s="74" t="str">
        <f>VLOOKUP($A122,LocalisationRemorque,3,0)</f>
        <v>Bourdon</v>
      </c>
      <c r="D122" s="75" t="str">
        <f>CONCATENATE(VLOOKUP($A122,LocalisationRemorque,6,0)," ► ",VLOOKUP($A122,LocalisationRemorque,5,0))</f>
        <v>Hotton ► Marche</v>
      </c>
      <c r="E122" s="54" t="str">
        <f>IF(ISBLANK(Tableau!$E$122), "LIBRE", "OCCUPÉ")</f>
        <v>OCCUPÉ</v>
      </c>
      <c r="F122" s="52" t="str">
        <f>IF(ISBLANK(Tableau!$G$122), "LIBRE", "OCCUPÉ")</f>
        <v>LIBRE</v>
      </c>
      <c r="G122" s="54" t="str">
        <f>IF(ISBLANK(Tableau!$I$122), "LIBRE", "OCCUPÉ")</f>
        <v>OCCUPÉ</v>
      </c>
      <c r="H122" s="52" t="str">
        <f>IF(ISBLANK(Tableau!$K$122), "LIBRE", "OCCUPÉ")</f>
        <v>LIBRE</v>
      </c>
      <c r="I122" s="54" t="str">
        <f>IF(ISBLANK(Tableau!$M$122), "LIBRE", "OCCUPÉ")</f>
        <v>OCCUPÉ</v>
      </c>
      <c r="J122" s="54" t="str">
        <f>IF(ISBLANK(Tableau!$O$122), "LIBRE", "OCCUPÉ")</f>
        <v>LIBRE</v>
      </c>
      <c r="K122" s="54" t="str">
        <f>IF(ISBLANK(Tableau!$Q$122), "LIBRE", "OCCUPÉ")</f>
        <v>OCCUPÉ</v>
      </c>
      <c r="L122" s="52" t="str">
        <f>IF(ISBLANK(Tableau!$S$122), "LIBRE", "OCCUPÉ")</f>
        <v>OCCUPÉ</v>
      </c>
      <c r="M122" s="54" t="str">
        <f>IF(ISBLANK(Tableau!$U$122), "LIBRE", "OCCUPÉ")</f>
        <v>OCCUPÉ</v>
      </c>
      <c r="N122" s="52" t="str">
        <f>IF(ISBLANK(Tableau!$W$122), "LIBRE", "OCCUPÉ")</f>
        <v>LIBRE</v>
      </c>
      <c r="O122" s="54" t="str">
        <f>IF(ISBLANK(Tableau!$Y$122), "LIBRE", "OCCUPÉ")</f>
        <v>OCCUPÉ</v>
      </c>
      <c r="P122" s="52" t="str">
        <f>IF(ISBLANK(Tableau!$AA$122), "LIBRE", "OCCUPÉ")</f>
        <v>LIBRE</v>
      </c>
      <c r="Q122" s="54" t="str">
        <f>IF(ISBLANK(Tableau!$AC$122), "LIBRE", "OCCUPÉ")</f>
        <v>OCCUPÉ</v>
      </c>
      <c r="R122" s="52" t="str">
        <f>IF(ISBLANK(Tableau!$AE$122), "LIBRE", "OCCUPÉ")</f>
        <v>LIBRE</v>
      </c>
      <c r="S122" s="52" t="str">
        <f>IF(ISBLANK(Tableau!$AG$122), "LIBRE", "OCCUPÉ")</f>
        <v>LIBRE</v>
      </c>
      <c r="T122" s="52" t="str">
        <f>IF(ISBLANK(Tableau!$AI$122), "LIBRE", "OCCUPÉ")</f>
        <v>LIBRE</v>
      </c>
      <c r="U122" s="52" t="str">
        <f>IF(ISBLANK(Tableau!$AK$122), "LIBRE", "OCCUPÉ")</f>
        <v>LIBRE</v>
      </c>
      <c r="V122" s="52" t="str">
        <f>IF(ISBLANK(Tableau!$AM$122), "LIBRE", "OCCUPÉ")</f>
        <v>LIBRE</v>
      </c>
      <c r="W122" s="54" t="str">
        <f>IF(ISBLANK(Tableau!$AO$122), "LIBRE", "OCCUPÉ")</f>
        <v>LIBRE</v>
      </c>
      <c r="X122" s="52" t="str">
        <f>IF(ISBLANK(Tableau!$AQ$122), "LIBRE", "OCCUPÉ")</f>
        <v>LIBRE</v>
      </c>
      <c r="Y122" s="52" t="str">
        <f>IF(ISBLANK(Tableau!$AS$122), "LIBRE", "OCCUPÉ")</f>
        <v>OCCUPÉ</v>
      </c>
      <c r="Z122" s="52" t="str">
        <f>IF(ISBLANK(Tableau!$AU$122), "LIBRE", "OCCUPÉ")</f>
        <v>LIBRE</v>
      </c>
      <c r="AA122" s="54" t="str">
        <f>IF(ISBLANK(Tableau!$AW$122), "LIBRE", "OCCUPÉ")</f>
        <v>OCCUPÉ</v>
      </c>
      <c r="AB122" s="76" t="str">
        <f>IF(ISBLANK(Tableau!$AY122), "LIBRE", "OCCUPÉ")</f>
        <v>LIBRE</v>
      </c>
      <c r="AC122" s="77" t="s">
        <v>17</v>
      </c>
    </row>
    <row r="123" ht="21.75" customHeight="1">
      <c r="A123" s="40">
        <f>Tableau!A123</f>
        <v>352</v>
      </c>
      <c r="B123" s="46" t="str">
        <f>VLOOKUP($A123,LocalisationRemorque,2,0)</f>
        <v>Rochefort</v>
      </c>
      <c r="C123" s="47" t="str">
        <f>VLOOKUP($A123,LocalisationRemorque,3,0)</f>
        <v>Zonning</v>
      </c>
      <c r="D123" s="49" t="str">
        <f>CONCATENATE(VLOOKUP($A123,LocalisationRemorque,6,0)," ► ",VLOOKUP($A123,LocalisationRemorque,5,0))</f>
        <v>Rochefort ► Ciney</v>
      </c>
      <c r="E123" s="52" t="str">
        <f>IF(ISBLANK(Tableau!$E$123), "LIBRE", "OCCUPÉ")</f>
        <v>LIBRE</v>
      </c>
      <c r="F123" s="54" t="str">
        <f>IF(ISBLANK(Tableau!$G$123), "LIBRE", "OCCUPÉ")</f>
        <v>OCCUPÉ</v>
      </c>
      <c r="G123" s="52" t="str">
        <f>IF(ISBLANK(Tableau!$I$123), "LIBRE", "OCCUPÉ")</f>
        <v>LIBRE</v>
      </c>
      <c r="H123" s="52" t="str">
        <f>IF(ISBLANK(Tableau!$K$123), "LIBRE", "OCCUPÉ")</f>
        <v>LIBRE</v>
      </c>
      <c r="I123" s="54" t="str">
        <f>IF(ISBLANK(Tableau!$M$123), "LIBRE", "OCCUPÉ")</f>
        <v>LIBRE</v>
      </c>
      <c r="J123" s="54" t="str">
        <f>IF(ISBLANK(Tableau!$O$123), "LIBRE", "OCCUPÉ")</f>
        <v>LIBRE</v>
      </c>
      <c r="K123" s="54" t="str">
        <f>IF(ISBLANK(Tableau!$Q$123), "LIBRE", "OCCUPÉ")</f>
        <v>LIBRE</v>
      </c>
      <c r="L123" s="54" t="str">
        <f>IF(ISBLANK(Tableau!$S$123), "LIBRE", "OCCUPÉ")</f>
        <v>LIBRE</v>
      </c>
      <c r="M123" s="54" t="str">
        <f>IF(ISBLANK(Tableau!$U$123), "LIBRE", "OCCUPÉ")</f>
        <v>LIBRE</v>
      </c>
      <c r="N123" s="52" t="str">
        <f>IF(ISBLANK(Tableau!$W$123), "LIBRE", "OCCUPÉ")</f>
        <v>LIBRE</v>
      </c>
      <c r="O123" s="54" t="str">
        <f>IF(ISBLANK(Tableau!$Y$123), "LIBRE", "OCCUPÉ")</f>
        <v>LIBRE</v>
      </c>
      <c r="P123" s="54" t="str">
        <f>IF(ISBLANK(Tableau!$AA$123), "LIBRE", "OCCUPÉ")</f>
        <v>LIBRE</v>
      </c>
      <c r="Q123" s="52" t="str">
        <f>IF(ISBLANK(Tableau!$AC$123), "LIBRE", "OCCUPÉ")</f>
        <v>LIBRE</v>
      </c>
      <c r="R123" s="52" t="str">
        <f>IF(ISBLANK(Tableau!$AE$123), "LIBRE", "OCCUPÉ")</f>
        <v>LIBRE</v>
      </c>
      <c r="S123" s="52" t="str">
        <f>IF(ISBLANK(Tableau!$AG$123), "LIBRE", "OCCUPÉ")</f>
        <v>LIBRE</v>
      </c>
      <c r="T123" s="52" t="str">
        <f>IF(ISBLANK(Tableau!$AI$123), "LIBRE", "OCCUPÉ")</f>
        <v>LIBRE</v>
      </c>
      <c r="U123" s="52" t="str">
        <f>IF(ISBLANK(Tableau!$AK$123), "LIBRE", "OCCUPÉ")</f>
        <v>LIBRE</v>
      </c>
      <c r="V123" s="52" t="str">
        <f>IF(ISBLANK(Tableau!$AM$123), "LIBRE", "OCCUPÉ")</f>
        <v>LIBRE</v>
      </c>
      <c r="W123" s="52" t="str">
        <f>IF(ISBLANK(Tableau!$AO$123), "LIBRE", "OCCUPÉ")</f>
        <v>LIBRE</v>
      </c>
      <c r="X123" s="52" t="str">
        <f>IF(ISBLANK(Tableau!$AQ$123), "LIBRE", "OCCUPÉ")</f>
        <v>LIBRE</v>
      </c>
      <c r="Y123" s="52" t="str">
        <f>IF(ISBLANK(Tableau!$AS$123), "LIBRE", "OCCUPÉ")</f>
        <v>LIBRE</v>
      </c>
      <c r="Z123" s="52" t="str">
        <f>IF(ISBLANK(Tableau!$AU$123), "LIBRE", "OCCUPÉ")</f>
        <v>LIBRE</v>
      </c>
      <c r="AA123" s="52" t="str">
        <f>IF(ISBLANK(Tableau!$AW$123), "LIBRE", "OCCUPÉ")</f>
        <v>LIBRE</v>
      </c>
      <c r="AB123" s="76" t="str">
        <f>IF(ISBLANK(Tableau!$AY123), "LIBRE", "OCCUPÉ")</f>
        <v>LIBRE</v>
      </c>
      <c r="AC123" s="70" t="s">
        <v>17</v>
      </c>
    </row>
    <row r="124" ht="21.75" customHeight="1">
      <c r="A124" s="72">
        <f>Tableau!A124</f>
        <v>353</v>
      </c>
      <c r="B124" s="73" t="str">
        <f>VLOOKUP($A124,LocalisationRemorque,2,0)</f>
        <v>Rochefort</v>
      </c>
      <c r="C124" s="74" t="str">
        <f>VLOOKUP($A124,LocalisationRemorque,3,0)</f>
        <v>Hamerenne</v>
      </c>
      <c r="D124" s="75" t="str">
        <f>CONCATENATE(VLOOKUP($A124,LocalisationRemorque,6,0)," ► ",VLOOKUP($A124,LocalisationRemorque,5,0))</f>
        <v>Rochefort ► Saint-Hubert</v>
      </c>
      <c r="E124" s="52" t="str">
        <f>IF(ISBLANK(Tableau!$E$124), "LIBRE", "OCCUPÉ")</f>
        <v>LIBRE</v>
      </c>
      <c r="F124" s="52" t="str">
        <f>IF(ISBLANK(Tableau!$G$124), "LIBRE", "OCCUPÉ")</f>
        <v>LIBRE</v>
      </c>
      <c r="G124" s="52" t="str">
        <f>IF(ISBLANK(Tableau!$I$124), "LIBRE", "OCCUPÉ")</f>
        <v>LIBRE</v>
      </c>
      <c r="H124" s="52" t="str">
        <f>IF(ISBLANK(Tableau!$K$124), "LIBRE", "OCCUPÉ")</f>
        <v>LIBRE</v>
      </c>
      <c r="I124" s="54" t="str">
        <f>IF(ISBLANK(Tableau!$M$124), "LIBRE", "OCCUPÉ")</f>
        <v>LIBRE</v>
      </c>
      <c r="J124" s="54" t="str">
        <f>IF(ISBLANK(Tableau!$O$124), "LIBRE", "OCCUPÉ")</f>
        <v>LIBRE</v>
      </c>
      <c r="K124" s="54" t="str">
        <f>IF(ISBLANK(Tableau!$Q$124), "LIBRE", "OCCUPÉ")</f>
        <v>LIBRE</v>
      </c>
      <c r="L124" s="54" t="str">
        <f>IF(ISBLANK(Tableau!$S$124), "LIBRE", "OCCUPÉ")</f>
        <v>OCCUPÉ</v>
      </c>
      <c r="M124" s="52" t="str">
        <f>IF(ISBLANK(Tableau!$U$124), "LIBRE", "OCCUPÉ")</f>
        <v>LIBRE</v>
      </c>
      <c r="N124" s="54" t="str">
        <f>IF(ISBLANK(Tableau!$W$124), "LIBRE", "OCCUPÉ")</f>
        <v>LIBRE</v>
      </c>
      <c r="O124" s="52" t="str">
        <f>IF(ISBLANK(Tableau!$Y$124), "LIBRE", "OCCUPÉ")</f>
        <v>LIBRE</v>
      </c>
      <c r="P124" s="54" t="str">
        <f>IF(ISBLANK(Tableau!$AA$124), "LIBRE", "OCCUPÉ")</f>
        <v>LIBRE</v>
      </c>
      <c r="Q124" s="54" t="str">
        <f>IF(ISBLANK(Tableau!$AC$124), "LIBRE", "OCCUPÉ")</f>
        <v>LIBRE</v>
      </c>
      <c r="R124" s="54" t="str">
        <f>IF(ISBLANK(Tableau!$AE$124), "LIBRE", "OCCUPÉ")</f>
        <v>LIBRE</v>
      </c>
      <c r="S124" s="52" t="str">
        <f>IF(ISBLANK(Tableau!$AG$124), "LIBRE", "OCCUPÉ")</f>
        <v>LIBRE</v>
      </c>
      <c r="T124" s="54" t="str">
        <f>IF(ISBLANK(Tableau!$AI$124), "LIBRE", "OCCUPÉ")</f>
        <v>LIBRE</v>
      </c>
      <c r="U124" s="52" t="str">
        <f>IF(ISBLANK(Tableau!$AK$124), "LIBRE", "OCCUPÉ")</f>
        <v>LIBRE</v>
      </c>
      <c r="V124" s="54" t="str">
        <f>IF(ISBLANK(Tableau!$AM$124), "LIBRE", "OCCUPÉ")</f>
        <v>LIBRE</v>
      </c>
      <c r="W124" s="54" t="str">
        <f>IF(ISBLANK(Tableau!$AO$124), "LIBRE", "OCCUPÉ")</f>
        <v>LIBRE</v>
      </c>
      <c r="X124" s="54" t="str">
        <f>IF(ISBLANK(Tableau!$AQ$124), "LIBRE", "OCCUPÉ")</f>
        <v>LIBRE</v>
      </c>
      <c r="Y124" s="54" t="str">
        <f>IF(ISBLANK(Tableau!$AS$124), "LIBRE", "OCCUPÉ")</f>
        <v>LIBRE</v>
      </c>
      <c r="Z124" s="54" t="str">
        <f>IF(ISBLANK(Tableau!$AU$124), "LIBRE", "OCCUPÉ")</f>
        <v>LIBRE</v>
      </c>
      <c r="AA124" s="52" t="str">
        <f>IF(ISBLANK(Tableau!$AW$124), "LIBRE", "OCCUPÉ")</f>
        <v>LIBRE</v>
      </c>
      <c r="AB124" s="69" t="str">
        <f>IF(ISBLANK(Tableau!$AY124), "LIBRE", "OCCUPÉ")</f>
        <v>LIBRE</v>
      </c>
      <c r="AC124" s="77" t="s">
        <v>17</v>
      </c>
    </row>
    <row r="125" ht="21.75" hidden="1" customHeight="1">
      <c r="A125" s="40" t="str">
        <f>Tableau!A125</f>
        <v/>
      </c>
      <c r="B125" s="46" t="str">
        <f>VLOOKUP($A125,LocalisationRemorque,2,0)</f>
        <v> Remorque non listée</v>
      </c>
      <c r="C125" s="47" t="str">
        <f>VLOOKUP($A125,LocalisationRemorque,3,0)</f>
        <v/>
      </c>
      <c r="D125" s="49" t="str">
        <f>CONCATENATE(VLOOKUP($A125,LocalisationRemorque,6,0)," ► ",VLOOKUP($A125,LocalisationRemorque,5,0))</f>
        <v> ► </v>
      </c>
      <c r="E125" s="52" t="str">
        <f>IF(ISBLANK(Tableau!$E$125), "LIBRE", "OCCUPÉ")</f>
        <v>LIBRE</v>
      </c>
      <c r="F125" s="52" t="str">
        <f>IF(ISBLANK(Tableau!$G$125), "LIBRE", "OCCUPÉ")</f>
        <v>LIBRE</v>
      </c>
      <c r="G125" s="52" t="str">
        <f>IF(ISBLANK(Tableau!$I$125), "LIBRE", "OCCUPÉ")</f>
        <v>LIBRE</v>
      </c>
      <c r="H125" s="52" t="str">
        <f>IF(ISBLANK(Tableau!$K$125), "LIBRE", "OCCUPÉ")</f>
        <v>LIBRE</v>
      </c>
      <c r="I125" s="52" t="str">
        <f>IF(ISBLANK(Tableau!$M$125), "LIBRE", "OCCUPÉ")</f>
        <v>LIBRE</v>
      </c>
      <c r="J125" s="52" t="str">
        <f>IF(ISBLANK(Tableau!$O$125), "LIBRE", "OCCUPÉ")</f>
        <v>LIBRE</v>
      </c>
      <c r="K125" s="52" t="str">
        <f>IF(ISBLANK(Tableau!$Q$125), "LIBRE", "OCCUPÉ")</f>
        <v>LIBRE</v>
      </c>
      <c r="L125" s="52" t="str">
        <f>IF(ISBLANK(Tableau!$S$125), "LIBRE", "OCCUPÉ")</f>
        <v>LIBRE</v>
      </c>
      <c r="M125" s="52" t="str">
        <f>IF(ISBLANK(Tableau!$U$125), "LIBRE", "OCCUPÉ")</f>
        <v>LIBRE</v>
      </c>
      <c r="N125" s="52" t="str">
        <f>IF(ISBLANK(Tableau!$W$125), "LIBRE", "OCCUPÉ")</f>
        <v>LIBRE</v>
      </c>
      <c r="O125" s="52" t="str">
        <f>IF(ISBLANK(Tableau!$Y$125), "LIBRE", "OCCUPÉ")</f>
        <v>LIBRE</v>
      </c>
      <c r="P125" s="54" t="str">
        <f>IF(ISBLANK(Tableau!$AA$125), "LIBRE", "OCCUPÉ")</f>
        <v>LIBRE</v>
      </c>
      <c r="Q125" s="52" t="str">
        <f>IF(ISBLANK(Tableau!$AC$125), "LIBRE", "OCCUPÉ")</f>
        <v>LIBRE</v>
      </c>
      <c r="R125" s="52" t="str">
        <f>IF(ISBLANK(Tableau!$AE$125), "LIBRE", "OCCUPÉ")</f>
        <v>LIBRE</v>
      </c>
      <c r="S125" s="52" t="str">
        <f>IF(ISBLANK(Tableau!$AG$125), "LIBRE", "OCCUPÉ")</f>
        <v>LIBRE</v>
      </c>
      <c r="T125" s="52" t="str">
        <f>IF(ISBLANK(Tableau!$AI$125), "LIBRE", "OCCUPÉ")</f>
        <v>LIBRE</v>
      </c>
      <c r="U125" s="52" t="str">
        <f>IF(ISBLANK(Tableau!$AK$125), "LIBRE", "OCCUPÉ")</f>
        <v>LIBRE</v>
      </c>
      <c r="V125" s="54" t="str">
        <f>IF(ISBLANK(Tableau!$AM$125), "LIBRE", "OCCUPÉ")</f>
        <v>LIBRE</v>
      </c>
      <c r="W125" s="52" t="str">
        <f>IF(ISBLANK(Tableau!$AO$125), "LIBRE", "OCCUPÉ")</f>
        <v>LIBRE</v>
      </c>
      <c r="X125" s="52" t="str">
        <f>IF(ISBLANK(Tableau!$AQ$125), "LIBRE", "OCCUPÉ")</f>
        <v>LIBRE</v>
      </c>
      <c r="Y125" s="52" t="str">
        <f>IF(ISBLANK(Tableau!$AS$125), "LIBRE", "OCCUPÉ")</f>
        <v>LIBRE</v>
      </c>
      <c r="Z125" s="54" t="str">
        <f>IF(ISBLANK(Tableau!$AU$125), "LIBRE", "OCCUPÉ")</f>
        <v>LIBRE</v>
      </c>
      <c r="AA125" s="52" t="str">
        <f>IF(ISBLANK(Tableau!$AW$125), "LIBRE", "OCCUPÉ")</f>
        <v>LIBRE</v>
      </c>
      <c r="AB125" s="76" t="str">
        <f>IF(ISBLANK(Tableau!$AY125), "LIBRE", "OCCUPÉ")</f>
        <v>LIBRE</v>
      </c>
      <c r="AC125" s="88"/>
    </row>
    <row r="126" ht="21.75" customHeight="1">
      <c r="A126" s="72">
        <f>Tableau!A126</f>
        <v>354</v>
      </c>
      <c r="B126" s="73" t="str">
        <f>VLOOKUP($A126,LocalisationRemorque,2,0)</f>
        <v>Basse Sambre</v>
      </c>
      <c r="C126" s="74" t="str">
        <f>VLOOKUP($A126,LocalisationRemorque,3,0)</f>
        <v>Sambreville 1</v>
      </c>
      <c r="D126" s="75" t="str">
        <f>CONCATENATE(VLOOKUP($A126,LocalisationRemorque,6,0)," ► ",VLOOKUP($A126,LocalisationRemorque,5,0))</f>
        <v>Jemeppe-sur-Sambre ► Sombreffe</v>
      </c>
      <c r="E126" s="52" t="str">
        <f>IF(ISBLANK(Tableau!$E$126), "LIBRE", "OCCUPÉ")</f>
        <v>LIBRE</v>
      </c>
      <c r="F126" s="52" t="str">
        <f>IF(ISBLANK(Tableau!$G$126), "LIBRE", "OCCUPÉ")</f>
        <v>LIBRE</v>
      </c>
      <c r="G126" s="52" t="str">
        <f>IF(ISBLANK(Tableau!$I$126), "LIBRE", "OCCUPÉ")</f>
        <v>OCCUPÉ</v>
      </c>
      <c r="H126" s="52" t="str">
        <f>IF(ISBLANK(Tableau!$K$126), "LIBRE", "OCCUPÉ")</f>
        <v>LIBRE</v>
      </c>
      <c r="I126" s="54" t="str">
        <f>IF(ISBLANK(Tableau!$M$126), "LIBRE", "OCCUPÉ")</f>
        <v>LIBRE</v>
      </c>
      <c r="J126" s="52" t="str">
        <f>IF(ISBLANK(Tableau!$O$126), "LIBRE", "OCCUPÉ")</f>
        <v>LIBRE</v>
      </c>
      <c r="K126" s="52" t="str">
        <f>IF(ISBLANK(Tableau!$Q$126), "LIBRE", "OCCUPÉ")</f>
        <v>LIBRE</v>
      </c>
      <c r="L126" s="52" t="str">
        <f>IF(ISBLANK(Tableau!$S$126), "LIBRE", "OCCUPÉ")</f>
        <v>LIBRE</v>
      </c>
      <c r="M126" s="54" t="str">
        <f>IF(ISBLANK(Tableau!$U$126), "LIBRE", "OCCUPÉ")</f>
        <v>LIBRE</v>
      </c>
      <c r="N126" s="54" t="str">
        <f>IF(ISBLANK(Tableau!$W$126), "LIBRE", "OCCUPÉ")</f>
        <v>LIBRE</v>
      </c>
      <c r="O126" s="54" t="str">
        <f>IF(ISBLANK(Tableau!$Y$126), "LIBRE", "OCCUPÉ")</f>
        <v>OCCUPÉ</v>
      </c>
      <c r="P126" s="52" t="str">
        <f>IF(ISBLANK(Tableau!$AA$126), "LIBRE", "OCCUPÉ")</f>
        <v>LIBRE</v>
      </c>
      <c r="Q126" s="52" t="str">
        <f>IF(ISBLANK(Tableau!$AC$126), "LIBRE", "OCCUPÉ")</f>
        <v>LIBRE</v>
      </c>
      <c r="R126" s="52" t="str">
        <f>IF(ISBLANK(Tableau!$AE$126), "LIBRE", "OCCUPÉ")</f>
        <v>LIBRE</v>
      </c>
      <c r="S126" s="54" t="str">
        <f>IF(ISBLANK(Tableau!$AG$126), "LIBRE", "OCCUPÉ")</f>
        <v>LIBRE</v>
      </c>
      <c r="T126" s="52" t="str">
        <f>IF(ISBLANK(Tableau!$AI$126), "LIBRE", "OCCUPÉ")</f>
        <v>LIBRE</v>
      </c>
      <c r="U126" s="52" t="str">
        <f>IF(ISBLANK(Tableau!$AK$126), "LIBRE", "OCCUPÉ")</f>
        <v>LIBRE</v>
      </c>
      <c r="V126" s="52" t="str">
        <f>IF(ISBLANK(Tableau!$AM$126), "LIBRE", "OCCUPÉ")</f>
        <v>LIBRE</v>
      </c>
      <c r="W126" s="54" t="str">
        <f>IF(ISBLANK(Tableau!$AO$126), "LIBRE", "OCCUPÉ")</f>
        <v>LIBRE</v>
      </c>
      <c r="X126" s="52" t="str">
        <f>IF(ISBLANK(Tableau!$AQ$126), "LIBRE", "OCCUPÉ")</f>
        <v>LIBRE</v>
      </c>
      <c r="Y126" s="52" t="str">
        <f>IF(ISBLANK(Tableau!$AS$126), "LIBRE", "OCCUPÉ")</f>
        <v>LIBRE</v>
      </c>
      <c r="Z126" s="52" t="str">
        <f>IF(ISBLANK(Tableau!$AU$126), "LIBRE", "OCCUPÉ")</f>
        <v>LIBRE</v>
      </c>
      <c r="AA126" s="52" t="str">
        <f>IF(ISBLANK(Tableau!$AW$126), "LIBRE", "OCCUPÉ")</f>
        <v>LIBRE</v>
      </c>
      <c r="AB126" s="76" t="str">
        <f>IF(ISBLANK(Tableau!$AY126), "LIBRE", "OCCUPÉ")</f>
        <v>LIBRE</v>
      </c>
      <c r="AC126" s="155"/>
    </row>
    <row r="127" ht="21.75" customHeight="1">
      <c r="A127" s="40">
        <f>Tableau!A127</f>
        <v>355</v>
      </c>
      <c r="B127" s="46" t="str">
        <f>VLOOKUP($A127,LocalisationRemorque,2,0)</f>
        <v>Basse Sambre</v>
      </c>
      <c r="C127" s="47" t="str">
        <f>VLOOKUP($A127,LocalisationRemorque,3,0)</f>
        <v>Sambreville 2</v>
      </c>
      <c r="D127" s="49" t="str">
        <f>CONCATENATE(VLOOKUP($A127,LocalisationRemorque,6,0)," ► ",VLOOKUP($A127,LocalisationRemorque,5,0))</f>
        <v>E42 Velaine ► Mettet</v>
      </c>
      <c r="E127" s="54" t="str">
        <f>IF(ISBLANK(Tableau!$E$127), "LIBRE", "OCCUPÉ")</f>
        <v>LIBRE</v>
      </c>
      <c r="F127" s="52" t="str">
        <f>IF(ISBLANK(Tableau!$G$127), "LIBRE", "OCCUPÉ")</f>
        <v>LIBRE</v>
      </c>
      <c r="G127" s="52" t="str">
        <f>IF(ISBLANK(Tableau!$I$127), "LIBRE", "OCCUPÉ")</f>
        <v>LIBRE</v>
      </c>
      <c r="H127" s="52" t="str">
        <f>IF(ISBLANK(Tableau!$K$127), "LIBRE", "OCCUPÉ")</f>
        <v>LIBRE</v>
      </c>
      <c r="I127" s="54" t="str">
        <f>IF(ISBLANK(Tableau!$M$127), "LIBRE", "OCCUPÉ")</f>
        <v>LIBRE</v>
      </c>
      <c r="J127" s="52" t="str">
        <f>IF(ISBLANK(Tableau!$O$127), "LIBRE", "OCCUPÉ")</f>
        <v>LIBRE</v>
      </c>
      <c r="K127" s="54" t="str">
        <f>IF(ISBLANK(Tableau!$Q$127), "LIBRE", "OCCUPÉ")</f>
        <v>OCCUPÉ</v>
      </c>
      <c r="L127" s="52" t="str">
        <f>IF(ISBLANK(Tableau!$S$127), "LIBRE", "OCCUPÉ")</f>
        <v>LIBRE</v>
      </c>
      <c r="M127" s="54" t="str">
        <f>IF(ISBLANK(Tableau!$U$127), "LIBRE", "OCCUPÉ")</f>
        <v>LIBRE</v>
      </c>
      <c r="N127" s="54" t="str">
        <f>IF(ISBLANK(Tableau!$W$127), "LIBRE", "OCCUPÉ")</f>
        <v>LIBRE</v>
      </c>
      <c r="O127" s="54" t="str">
        <f>IF(ISBLANK(Tableau!$Y$127), "LIBRE", "OCCUPÉ")</f>
        <v>LIBRE</v>
      </c>
      <c r="P127" s="52" t="str">
        <f>IF(ISBLANK(Tableau!$AA$127), "LIBRE", "OCCUPÉ")</f>
        <v>LIBRE</v>
      </c>
      <c r="Q127" s="52" t="str">
        <f>IF(ISBLANK(Tableau!$AC$127), "LIBRE", "OCCUPÉ")</f>
        <v>LIBRE</v>
      </c>
      <c r="R127" s="52" t="str">
        <f>IF(ISBLANK(Tableau!$AE$127), "LIBRE", "OCCUPÉ")</f>
        <v>LIBRE</v>
      </c>
      <c r="S127" s="52" t="str">
        <f>IF(ISBLANK(Tableau!$AG$127), "LIBRE", "OCCUPÉ")</f>
        <v>LIBRE</v>
      </c>
      <c r="T127" s="52" t="str">
        <f>IF(ISBLANK(Tableau!$AI$127), "LIBRE", "OCCUPÉ")</f>
        <v>OCCUPÉ</v>
      </c>
      <c r="U127" s="54" t="str">
        <f>IF(ISBLANK(Tableau!$AK$127), "LIBRE", "OCCUPÉ")</f>
        <v>LIBRE</v>
      </c>
      <c r="V127" s="52" t="str">
        <f>IF(ISBLANK(Tableau!$AM$127), "LIBRE", "OCCUPÉ")</f>
        <v>LIBRE</v>
      </c>
      <c r="W127" s="52" t="str">
        <f>IF(ISBLANK(Tableau!$AO$127), "LIBRE", "OCCUPÉ")</f>
        <v>LIBRE</v>
      </c>
      <c r="X127" s="52" t="str">
        <f>IF(ISBLANK(Tableau!$AQ$127), "LIBRE", "OCCUPÉ")</f>
        <v>LIBRE</v>
      </c>
      <c r="Y127" s="52" t="str">
        <f>IF(ISBLANK(Tableau!$AS$127), "LIBRE", "OCCUPÉ")</f>
        <v>LIBRE</v>
      </c>
      <c r="Z127" s="52" t="str">
        <f>IF(ISBLANK(Tableau!$AU$127), "LIBRE", "OCCUPÉ")</f>
        <v>LIBRE</v>
      </c>
      <c r="AA127" s="52" t="str">
        <f>IF(ISBLANK(Tableau!$AW$127), "LIBRE", "OCCUPÉ")</f>
        <v>LIBRE</v>
      </c>
      <c r="AB127" s="76" t="str">
        <f>IF(ISBLANK(Tableau!$AY127), "LIBRE", "OCCUPÉ")</f>
        <v>LIBRE</v>
      </c>
      <c r="AC127" s="88"/>
    </row>
    <row r="128" ht="21.75" customHeight="1">
      <c r="A128" s="72">
        <f>Tableau!A128</f>
        <v>356</v>
      </c>
      <c r="B128" s="73" t="str">
        <f>VLOOKUP($A128,LocalisationRemorque,2,0)</f>
        <v>Basse Sambre</v>
      </c>
      <c r="C128" s="74" t="str">
        <f>VLOOKUP($A128,LocalisationRemorque,3,0)</f>
        <v>Moustier</v>
      </c>
      <c r="D128" s="75" t="str">
        <f>CONCATENATE(VLOOKUP($A128,LocalisationRemorque,6,0)," ► ",VLOOKUP($A128,LocalisationRemorque,5,0))</f>
        <v>Charleroi ► Namur</v>
      </c>
      <c r="E128" s="52" t="str">
        <f>IF(ISBLANK(Tableau!$E$128), "LIBRE", "OCCUPÉ")</f>
        <v>LIBRE</v>
      </c>
      <c r="F128" s="52" t="str">
        <f>IF(ISBLANK(Tableau!$G$128), "LIBRE", "OCCUPÉ")</f>
        <v>LIBRE</v>
      </c>
      <c r="G128" s="52" t="str">
        <f>IF(ISBLANK(Tableau!$I$128), "LIBRE", "OCCUPÉ")</f>
        <v>OCCUPÉ</v>
      </c>
      <c r="H128" s="52" t="str">
        <f>IF(ISBLANK(Tableau!$K$128), "LIBRE", "OCCUPÉ")</f>
        <v>LIBRE</v>
      </c>
      <c r="I128" s="52" t="str">
        <f>IF(ISBLANK(Tableau!$M$128), "LIBRE", "OCCUPÉ")</f>
        <v>LIBRE</v>
      </c>
      <c r="J128" s="52" t="str">
        <f>IF(ISBLANK(Tableau!$O$128), "LIBRE", "OCCUPÉ")</f>
        <v>LIBRE</v>
      </c>
      <c r="K128" s="52" t="str">
        <f>IF(ISBLANK(Tableau!$Q$128), "LIBRE", "OCCUPÉ")</f>
        <v>LIBRE</v>
      </c>
      <c r="L128" s="52" t="str">
        <f>IF(ISBLANK(Tableau!$S$128), "LIBRE", "OCCUPÉ")</f>
        <v>LIBRE</v>
      </c>
      <c r="M128" s="54" t="str">
        <f>IF(ISBLANK(Tableau!$U$128), "LIBRE", "OCCUPÉ")</f>
        <v>OCCUPÉ</v>
      </c>
      <c r="N128" s="54" t="str">
        <f>IF(ISBLANK(Tableau!$W$128), "LIBRE", "OCCUPÉ")</f>
        <v>LIBRE</v>
      </c>
      <c r="O128" s="52" t="str">
        <f>IF(ISBLANK(Tableau!$Y$128), "LIBRE", "OCCUPÉ")</f>
        <v>LIBRE</v>
      </c>
      <c r="P128" s="52" t="str">
        <f>IF(ISBLANK(Tableau!$AA$128), "LIBRE", "OCCUPÉ")</f>
        <v>LIBRE</v>
      </c>
      <c r="Q128" s="52" t="str">
        <f>IF(ISBLANK(Tableau!$AC$128), "LIBRE", "OCCUPÉ")</f>
        <v>LIBRE</v>
      </c>
      <c r="R128" s="52" t="str">
        <f>IF(ISBLANK(Tableau!$AE$128), "LIBRE", "OCCUPÉ")</f>
        <v>LIBRE</v>
      </c>
      <c r="S128" s="52" t="str">
        <f>IF(ISBLANK(Tableau!$AG$128), "LIBRE", "OCCUPÉ")</f>
        <v>OCCUPÉ</v>
      </c>
      <c r="T128" s="52" t="str">
        <f>IF(ISBLANK(Tableau!$AI$128), "LIBRE", "OCCUPÉ")</f>
        <v>LIBRE</v>
      </c>
      <c r="U128" s="54" t="str">
        <f>IF(ISBLANK(Tableau!$AK$128), "LIBRE", "OCCUPÉ")</f>
        <v>LIBRE</v>
      </c>
      <c r="V128" s="52" t="str">
        <f>IF(ISBLANK(Tableau!$AM$128), "LIBRE", "OCCUPÉ")</f>
        <v>LIBRE</v>
      </c>
      <c r="W128" s="52" t="str">
        <f>IF(ISBLANK(Tableau!$AO$128), "LIBRE", "OCCUPÉ")</f>
        <v>LIBRE</v>
      </c>
      <c r="X128" s="52" t="str">
        <f>IF(ISBLANK(Tableau!$AQ$128), "LIBRE", "OCCUPÉ")</f>
        <v>LIBRE</v>
      </c>
      <c r="Y128" s="52" t="str">
        <f>IF(ISBLANK(Tableau!$AS$128), "LIBRE", "OCCUPÉ")</f>
        <v>LIBRE</v>
      </c>
      <c r="Z128" s="52" t="str">
        <f>IF(ISBLANK(Tableau!$AU$128), "LIBRE", "OCCUPÉ")</f>
        <v>LIBRE</v>
      </c>
      <c r="AA128" s="52" t="str">
        <f>IF(ISBLANK(Tableau!$AW$128), "LIBRE", "OCCUPÉ")</f>
        <v>LIBRE</v>
      </c>
      <c r="AB128" s="76" t="str">
        <f>IF(ISBLANK(Tableau!$AY128), "LIBRE", "OCCUPÉ")</f>
        <v>LIBRE</v>
      </c>
      <c r="AC128" s="77"/>
    </row>
    <row r="129" ht="21.75" customHeight="1">
      <c r="A129" s="40">
        <f>Tableau!A129</f>
        <v>357</v>
      </c>
      <c r="B129" s="46" t="str">
        <f>VLOOKUP($A129,LocalisationRemorque,2,0)</f>
        <v>Havelange</v>
      </c>
      <c r="C129" s="47" t="str">
        <f>VLOOKUP($A129,LocalisationRemorque,3,0)</f>
        <v>Verlée</v>
      </c>
      <c r="D129" s="49" t="str">
        <f>CONCATENATE(VLOOKUP($A129,LocalisationRemorque,6,0)," ► ",VLOOKUP($A129,LocalisationRemorque,5,0))</f>
        <v>Havelange ► Durbuy</v>
      </c>
      <c r="E129" s="54" t="str">
        <f>IF(ISBLANK(Tableau!$E$129), "LIBRE", "OCCUPÉ")</f>
        <v>OCCUPÉ</v>
      </c>
      <c r="F129" s="52" t="str">
        <f>IF(ISBLANK(Tableau!$G$129), "LIBRE", "OCCUPÉ")</f>
        <v>LIBRE</v>
      </c>
      <c r="G129" s="52" t="str">
        <f>IF(ISBLANK(Tableau!$I$129), "LIBRE", "OCCUPÉ")</f>
        <v>LIBRE</v>
      </c>
      <c r="H129" s="52" t="str">
        <f>IF(ISBLANK(Tableau!$K$129), "LIBRE", "OCCUPÉ")</f>
        <v>LIBRE</v>
      </c>
      <c r="I129" s="54" t="str">
        <f>IF(ISBLANK(Tableau!$M$129), "LIBRE", "OCCUPÉ")</f>
        <v>LIBRE</v>
      </c>
      <c r="J129" s="52" t="str">
        <f>IF(ISBLANK(Tableau!$O$129), "LIBRE", "OCCUPÉ")</f>
        <v>LIBRE</v>
      </c>
      <c r="K129" s="54" t="str">
        <f>IF(ISBLANK(Tableau!$Q$129), "LIBRE", "OCCUPÉ")</f>
        <v>LIBRE</v>
      </c>
      <c r="L129" s="52" t="str">
        <f>IF(ISBLANK(Tableau!$S$129), "LIBRE", "OCCUPÉ")</f>
        <v>LIBRE</v>
      </c>
      <c r="M129" s="54" t="str">
        <f>IF(ISBLANK(Tableau!$U$129), "LIBRE", "OCCUPÉ")</f>
        <v>LIBRE</v>
      </c>
      <c r="N129" s="52" t="str">
        <f>IF(ISBLANK(Tableau!$W$129), "LIBRE", "OCCUPÉ")</f>
        <v>LIBRE</v>
      </c>
      <c r="O129" s="54" t="str">
        <f>IF(ISBLANK(Tableau!$Y$129), "LIBRE", "OCCUPÉ")</f>
        <v>LIBRE</v>
      </c>
      <c r="P129" s="54" t="str">
        <f>IF(ISBLANK(Tableau!$AA$129), "LIBRE", "OCCUPÉ")</f>
        <v>LIBRE</v>
      </c>
      <c r="Q129" s="54" t="str">
        <f>IF(ISBLANK(Tableau!$AC$129), "LIBRE", "OCCUPÉ")</f>
        <v>LIBRE</v>
      </c>
      <c r="R129" s="52" t="str">
        <f>IF(ISBLANK(Tableau!$AE$129), "LIBRE", "OCCUPÉ")</f>
        <v>LIBRE</v>
      </c>
      <c r="S129" s="52" t="str">
        <f>IF(ISBLANK(Tableau!$AG$129), "LIBRE", "OCCUPÉ")</f>
        <v>LIBRE</v>
      </c>
      <c r="T129" s="54" t="str">
        <f>IF(ISBLANK(Tableau!$AI$129), "LIBRE", "OCCUPÉ")</f>
        <v>LIBRE</v>
      </c>
      <c r="U129" s="54" t="str">
        <f>IF(ISBLANK(Tableau!$AK$129), "LIBRE", "OCCUPÉ")</f>
        <v>OCCUPÉ</v>
      </c>
      <c r="V129" s="52" t="str">
        <f>IF(ISBLANK(Tableau!$AM$129), "LIBRE", "OCCUPÉ")</f>
        <v>LIBRE</v>
      </c>
      <c r="W129" s="54" t="str">
        <f>IF(ISBLANK(Tableau!$AO$129), "LIBRE", "OCCUPÉ")</f>
        <v>LIBRE</v>
      </c>
      <c r="X129" s="54" t="str">
        <f>IF(ISBLANK(Tableau!$AQ$129), "LIBRE", "OCCUPÉ")</f>
        <v>LIBRE</v>
      </c>
      <c r="Y129" s="54" t="str">
        <f>IF(ISBLANK(Tableau!$AS$129), "LIBRE", "OCCUPÉ")</f>
        <v>OCCUPÉ</v>
      </c>
      <c r="Z129" s="54" t="str">
        <f>IF(ISBLANK(Tableau!$AU$129), "LIBRE", "OCCUPÉ")</f>
        <v>LIBRE</v>
      </c>
      <c r="AA129" s="52" t="str">
        <f>IF(ISBLANK(Tableau!$AW$129), "LIBRE", "OCCUPÉ")</f>
        <v>LIBRE</v>
      </c>
      <c r="AB129" s="69" t="str">
        <f>IF(ISBLANK(Tableau!$AY129), "LIBRE", "OCCUPÉ")</f>
        <v>LIBRE</v>
      </c>
      <c r="AC129" s="70"/>
    </row>
    <row r="130" ht="21.75" hidden="1" customHeight="1">
      <c r="A130" s="114" t="str">
        <f>Tableau!A130</f>
        <v/>
      </c>
      <c r="B130" s="121"/>
      <c r="C130" s="121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21"/>
      <c r="AC130" s="417"/>
    </row>
    <row r="131" ht="21.75" hidden="1" customHeight="1">
      <c r="A131" s="114" t="str">
        <f>Tableau!A131</f>
        <v/>
      </c>
      <c r="B131" s="121"/>
      <c r="C131" s="121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21"/>
      <c r="AC131" s="417"/>
    </row>
    <row r="132" ht="21.75" hidden="1" customHeight="1">
      <c r="A132" s="114" t="str">
        <f>Tableau!A132</f>
        <v/>
      </c>
      <c r="B132" s="121"/>
      <c r="C132" s="121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21"/>
      <c r="AC132" s="417"/>
    </row>
    <row r="133" ht="21.75" hidden="1" customHeight="1">
      <c r="A133" s="114" t="str">
        <f>Tableau!A133</f>
        <v/>
      </c>
      <c r="B133" s="121"/>
      <c r="C133" s="121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21"/>
      <c r="AC133" s="417"/>
    </row>
    <row r="134" ht="21.75" customHeight="1">
      <c r="A134" s="114" t="str">
        <f>Tableau!A134</f>
        <v/>
      </c>
      <c r="B134" s="121"/>
      <c r="C134" s="121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21"/>
      <c r="AC134" s="417"/>
    </row>
    <row r="135" ht="21.75" customHeight="1">
      <c r="A135" s="40">
        <f>Tableau!A135</f>
        <v>401</v>
      </c>
      <c r="B135" s="46" t="str">
        <f>VLOOKUP($A135,LocalisationRemorque,2,0)</f>
        <v>Charleroi</v>
      </c>
      <c r="C135" s="47" t="str">
        <f>VLOOKUP($A135,LocalisationRemorque,3,0)</f>
        <v>Chatelet</v>
      </c>
      <c r="D135" s="49" t="str">
        <f>CONCATENATE(VLOOKUP($A135,LocalisationRemorque,6,0)," ► ",VLOOKUP($A135,LocalisationRemorque,5,0))</f>
        <v>Chatelet ► Charleroi</v>
      </c>
      <c r="E135" s="52" t="str">
        <f>IF(ISBLANK(Tableau!$E$135), "LIBRE", "OCCUPÉ")</f>
        <v>OCCUPÉ</v>
      </c>
      <c r="F135" s="52" t="str">
        <f>IF(ISBLANK(Tableau!$G$135), "LIBRE", "OCCUPÉ")</f>
        <v>LIBRE</v>
      </c>
      <c r="G135" s="54" t="str">
        <f>IF(ISBLANK(Tableau!$I$135), "LIBRE", "OCCUPÉ")</f>
        <v>OCCUPÉ</v>
      </c>
      <c r="H135" s="52" t="str">
        <f>IF(ISBLANK(Tableau!$K$135), "LIBRE", "OCCUPÉ")</f>
        <v>LIBRE</v>
      </c>
      <c r="I135" s="54" t="str">
        <f>IF(ISBLANK(Tableau!$M$135), "LIBRE", "OCCUPÉ")</f>
        <v>OCCUPÉ</v>
      </c>
      <c r="J135" s="52" t="str">
        <f>IF(ISBLANK(Tableau!$O$135), "LIBRE", "OCCUPÉ")</f>
        <v>OCCUPÉ</v>
      </c>
      <c r="K135" s="54" t="str">
        <f>IF(ISBLANK(Tableau!$Q$135), "LIBRE", "OCCUPÉ")</f>
        <v>OCCUPÉ</v>
      </c>
      <c r="L135" s="52" t="str">
        <f>IF(ISBLANK(Tableau!$S$135), "LIBRE", "OCCUPÉ")</f>
        <v>LIBRE</v>
      </c>
      <c r="M135" s="54" t="str">
        <f>IF(ISBLANK(Tableau!$U$135), "LIBRE", "OCCUPÉ")</f>
        <v>OCCUPÉ</v>
      </c>
      <c r="N135" s="54" t="str">
        <f>IF(ISBLANK(Tableau!$W$135), "LIBRE", "OCCUPÉ")</f>
        <v>LIBRE</v>
      </c>
      <c r="O135" s="54" t="str">
        <f>IF(ISBLANK(Tableau!$Y$135), "LIBRE", "OCCUPÉ")</f>
        <v>OCCUPÉ</v>
      </c>
      <c r="P135" s="52" t="str">
        <f>IF(ISBLANK(Tableau!$AA$135), "LIBRE", "OCCUPÉ")</f>
        <v>LIBRE</v>
      </c>
      <c r="Q135" s="54" t="str">
        <f>IF(ISBLANK(Tableau!$AC$135), "LIBRE", "OCCUPÉ")</f>
        <v>LIBRE</v>
      </c>
      <c r="R135" s="54" t="str">
        <f>IF(ISBLANK(Tableau!$AE$135), "LIBRE", "OCCUPÉ")</f>
        <v>LIBRE</v>
      </c>
      <c r="S135" s="52" t="str">
        <f>IF(ISBLANK(Tableau!$AG$135), "LIBRE", "OCCUPÉ")</f>
        <v>OCCUPÉ</v>
      </c>
      <c r="T135" s="52" t="str">
        <f>IF(ISBLANK(Tableau!$AI$135), "LIBRE", "OCCUPÉ")</f>
        <v>LIBRE</v>
      </c>
      <c r="U135" s="54" t="str">
        <f>IF(ISBLANK(Tableau!$AM$135), "LIBRE", "OCCUPÉ")</f>
        <v>LIBRE</v>
      </c>
      <c r="V135" s="52" t="str">
        <f>IF(ISBLANK(Tableau!$AM$135), "LIBRE", "OCCUPÉ")</f>
        <v>LIBRE</v>
      </c>
      <c r="W135" s="54" t="str">
        <f>IF(ISBLANK(Tableau!$AO$135), "LIBRE", "OCCUPÉ")</f>
        <v>LIBRE</v>
      </c>
      <c r="X135" s="52" t="str">
        <f>IF(ISBLANK(Tableau!$AQ$135), "LIBRE", "OCCUPÉ")</f>
        <v>LIBRE</v>
      </c>
      <c r="Y135" s="52" t="str">
        <f>IF(ISBLANK(Tableau!$AS$135), "LIBRE", "OCCUPÉ")</f>
        <v>LIBRE</v>
      </c>
      <c r="Z135" s="52" t="str">
        <f>IF(ISBLANK(Tableau!$AU$135), "LIBRE", "OCCUPÉ")</f>
        <v>LIBRE</v>
      </c>
      <c r="AA135" s="54" t="str">
        <f>IF(ISBLANK(Tableau!$AW$135), "LIBRE", "OCCUPÉ")</f>
        <v>LIBRE</v>
      </c>
      <c r="AB135" s="76" t="str">
        <f>IF(ISBLANK(Tableau!$AY135), "LIBRE", "OCCUPÉ")</f>
        <v>LIBRE</v>
      </c>
      <c r="AC135" s="70"/>
    </row>
    <row r="136" ht="21.75" customHeight="1">
      <c r="A136" s="72">
        <f>Tableau!A136</f>
        <v>402</v>
      </c>
      <c r="B136" s="73" t="str">
        <f>VLOOKUP($A136,LocalisationRemorque,2,0)</f>
        <v>Charleroi</v>
      </c>
      <c r="C136" s="74" t="str">
        <f>VLOOKUP($A136,LocalisationRemorque,3,0)</f>
        <v>Farcienne</v>
      </c>
      <c r="D136" s="75" t="str">
        <f>CONCATENATE(VLOOKUP($A136,LocalisationRemorque,6,0)," ► ",VLOOKUP($A136,LocalisationRemorque,5,0))</f>
        <v>Sambreville ► Charleroi</v>
      </c>
      <c r="E136" s="54" t="str">
        <f>IF(ISBLANK(Tableau!$E$136), "LIBRE", "OCCUPÉ")</f>
        <v>OCCUPÉ</v>
      </c>
      <c r="F136" s="52" t="str">
        <f>IF(ISBLANK(Tableau!$G$136), "LIBRE", "OCCUPÉ")</f>
        <v>OCCUPÉ</v>
      </c>
      <c r="G136" s="54" t="str">
        <f>IF(ISBLANK(Tableau!$I$136), "LIBRE", "OCCUPÉ")</f>
        <v>OCCUPÉ</v>
      </c>
      <c r="H136" s="52" t="str">
        <f>IF(ISBLANK(Tableau!$K$136), "LIBRE", "OCCUPÉ")</f>
        <v>LIBRE</v>
      </c>
      <c r="I136" s="54" t="str">
        <f>IF(ISBLANK(Tableau!$M$136), "LIBRE", "OCCUPÉ")</f>
        <v>OCCUPÉ</v>
      </c>
      <c r="J136" s="52" t="str">
        <f>IF(ISBLANK(Tableau!$O$136), "LIBRE", "OCCUPÉ")</f>
        <v>LIBRE</v>
      </c>
      <c r="K136" s="54" t="str">
        <f>IF(ISBLANK(Tableau!$Q$136), "LIBRE", "OCCUPÉ")</f>
        <v>OCCUPÉ</v>
      </c>
      <c r="L136" s="52" t="str">
        <f>IF(ISBLANK(Tableau!$S$136), "LIBRE", "OCCUPÉ")</f>
        <v>LIBRE</v>
      </c>
      <c r="M136" s="54" t="str">
        <f>IF(ISBLANK(Tableau!$U$136), "LIBRE", "OCCUPÉ")</f>
        <v>OCCUPÉ</v>
      </c>
      <c r="N136" s="52" t="str">
        <f>IF(ISBLANK(Tableau!$W$136), "LIBRE", "OCCUPÉ")</f>
        <v>LIBRE</v>
      </c>
      <c r="O136" s="54" t="str">
        <f>IF(ISBLANK(Tableau!$Y$136), "LIBRE", "OCCUPÉ")</f>
        <v>LIBRE</v>
      </c>
      <c r="P136" s="52" t="str">
        <f>IF(ISBLANK(Tableau!$AA$136), "LIBRE", "OCCUPÉ")</f>
        <v>LIBRE</v>
      </c>
      <c r="Q136" s="54" t="str">
        <f>IF(ISBLANK(Tableau!$AC$136), "LIBRE", "OCCUPÉ")</f>
        <v>OCCUPÉ</v>
      </c>
      <c r="R136" s="52" t="str">
        <f>IF(ISBLANK(Tableau!$AE$136), "LIBRE", "OCCUPÉ")</f>
        <v>LIBRE</v>
      </c>
      <c r="S136" s="54" t="str">
        <f>IF(ISBLANK(Tableau!$AG$136), "LIBRE", "OCCUPÉ")</f>
        <v>OCCUPÉ</v>
      </c>
      <c r="T136" s="52" t="str">
        <f>IF(ISBLANK(Tableau!$AI$136), "LIBRE", "OCCUPÉ")</f>
        <v>LIBRE</v>
      </c>
      <c r="U136" s="52" t="str">
        <f>IF(ISBLANK(Tableau!$AK$136), "LIBRE", "OCCUPÉ")</f>
        <v>LIBRE</v>
      </c>
      <c r="V136" s="52" t="str">
        <f>IF(ISBLANK(Tableau!$AM$136), "LIBRE", "OCCUPÉ")</f>
        <v>LIBRE</v>
      </c>
      <c r="W136" s="54" t="str">
        <f>IF(ISBLANK(Tableau!$AO$136), "LIBRE", "OCCUPÉ")</f>
        <v>OCCUPÉ</v>
      </c>
      <c r="X136" s="52" t="str">
        <f>IF(ISBLANK(Tableau!$AQ$136), "LIBRE", "OCCUPÉ")</f>
        <v>LIBRE</v>
      </c>
      <c r="Y136" s="54" t="str">
        <f>IF(ISBLANK(Tableau!$AS$136), "LIBRE", "OCCUPÉ")</f>
        <v>LIBRE</v>
      </c>
      <c r="Z136" s="52" t="str">
        <f>IF(ISBLANK(Tableau!$AU$136), "LIBRE", "OCCUPÉ")</f>
        <v>LIBRE</v>
      </c>
      <c r="AA136" s="52" t="str">
        <f>IF(ISBLANK(Tableau!$AW$136), "LIBRE", "OCCUPÉ")</f>
        <v>LIBRE</v>
      </c>
      <c r="AB136" s="76" t="str">
        <f>IF(ISBLANK(Tableau!$AY136), "LIBRE", "OCCUPÉ")</f>
        <v>LIBRE</v>
      </c>
      <c r="AC136" s="155"/>
    </row>
    <row r="137" ht="21.75" customHeight="1">
      <c r="A137" s="40">
        <f>Tableau!A137</f>
        <v>403</v>
      </c>
      <c r="B137" s="46" t="str">
        <f>VLOOKUP($A137,LocalisationRemorque,2,0)</f>
        <v>Charleroi</v>
      </c>
      <c r="C137" s="47" t="str">
        <f>VLOOKUP($A137,LocalisationRemorque,3,0)</f>
        <v>Nalinnes</v>
      </c>
      <c r="D137" s="49" t="str">
        <f>CONCATENATE(VLOOKUP($A137,LocalisationRemorque,6,0)," ► ",VLOOKUP($A137,LocalisationRemorque,5,0))</f>
        <v>Charleroi ► Couvin</v>
      </c>
      <c r="E137" s="52" t="str">
        <f>IF(ISBLANK(Tableau!$E$137), "LIBRE", "OCCUPÉ")</f>
        <v>OCCUPÉ</v>
      </c>
      <c r="F137" s="52" t="str">
        <f>IF(ISBLANK(Tableau!$G$137), "LIBRE", "OCCUPÉ")</f>
        <v>LIBRE</v>
      </c>
      <c r="G137" s="54" t="str">
        <f>IF(ISBLANK(Tableau!$I$137), "LIBRE", "OCCUPÉ")</f>
        <v>OCCUPÉ</v>
      </c>
      <c r="H137" s="52" t="str">
        <f>IF(ISBLANK(Tableau!$K$137), "LIBRE", "OCCUPÉ")</f>
        <v>LIBRE</v>
      </c>
      <c r="I137" s="54" t="str">
        <f>IF(ISBLANK(Tableau!$M$137), "LIBRE", "OCCUPÉ")</f>
        <v>OCCUPÉ</v>
      </c>
      <c r="J137" s="54" t="str">
        <f>IF(ISBLANK(Tableau!$O$137), "LIBRE", "OCCUPÉ")</f>
        <v>LIBRE</v>
      </c>
      <c r="K137" s="54" t="str">
        <f>IF(ISBLANK(Tableau!$Q$137), "LIBRE", "OCCUPÉ")</f>
        <v>OCCUPÉ</v>
      </c>
      <c r="L137" s="54" t="str">
        <f>IF(ISBLANK(Tableau!$S$137), "LIBRE", "OCCUPÉ")</f>
        <v>LIBRE</v>
      </c>
      <c r="M137" s="52" t="str">
        <f>IF(ISBLANK(Tableau!$U$137), "LIBRE", "OCCUPÉ")</f>
        <v>OCCUPÉ</v>
      </c>
      <c r="N137" s="54" t="str">
        <f>IF(ISBLANK(Tableau!$W$137), "LIBRE", "OCCUPÉ")</f>
        <v>OCCUPÉ</v>
      </c>
      <c r="O137" s="52" t="str">
        <f>IF(ISBLANK(Tableau!$Y$137), "LIBRE", "OCCUPÉ")</f>
        <v>LIBRE</v>
      </c>
      <c r="P137" s="52" t="str">
        <f>IF(ISBLANK(Tableau!$AA$137), "LIBRE", "OCCUPÉ")</f>
        <v>LIBRE</v>
      </c>
      <c r="Q137" s="52" t="str">
        <f>IF(ISBLANK(Tableau!$AC$137), "LIBRE", "OCCUPÉ")</f>
        <v>LIBRE</v>
      </c>
      <c r="R137" s="52" t="str">
        <f>IF(ISBLANK(Tableau!$AE$137), "LIBRE", "OCCUPÉ")</f>
        <v>LIBRE</v>
      </c>
      <c r="S137" s="54" t="str">
        <f>IF(ISBLANK(Tableau!$AG$137), "LIBRE", "OCCUPÉ")</f>
        <v>LIBRE</v>
      </c>
      <c r="T137" s="52" t="str">
        <f>IF(ISBLANK(Tableau!$AI$137), "LIBRE", "OCCUPÉ")</f>
        <v>LIBRE</v>
      </c>
      <c r="U137" s="52" t="str">
        <f>IF(ISBLANK(Tableau!$AK$137), "LIBRE", "OCCUPÉ")</f>
        <v>LIBRE</v>
      </c>
      <c r="V137" s="52" t="str">
        <f>IF(ISBLANK(Tableau!$AM$137), "LIBRE", "OCCUPÉ")</f>
        <v>LIBRE</v>
      </c>
      <c r="W137" s="52" t="str">
        <f>IF(ISBLANK(Tableau!$AO$137), "LIBRE", "OCCUPÉ")</f>
        <v>LIBRE</v>
      </c>
      <c r="X137" s="52" t="str">
        <f>IF(ISBLANK(Tableau!$AQ$137), "LIBRE", "OCCUPÉ")</f>
        <v>LIBRE</v>
      </c>
      <c r="Y137" s="52" t="str">
        <f>IF(ISBLANK(Tableau!$AS$137), "LIBRE", "OCCUPÉ")</f>
        <v>LIBRE</v>
      </c>
      <c r="Z137" s="52" t="str">
        <f>IF(ISBLANK(Tableau!$AU$137), "LIBRE", "OCCUPÉ")</f>
        <v>LIBRE</v>
      </c>
      <c r="AA137" s="52" t="str">
        <f>IF(ISBLANK(Tableau!$AW$137), "LIBRE", "OCCUPÉ")</f>
        <v>LIBRE</v>
      </c>
      <c r="AB137" s="76" t="str">
        <f>IF(ISBLANK(Tableau!$AY137), "LIBRE", "OCCUPÉ")</f>
        <v>LIBRE</v>
      </c>
      <c r="AC137" s="88"/>
    </row>
    <row r="138" ht="21.75" customHeight="1">
      <c r="A138" s="72">
        <f>Tableau!A138</f>
        <v>404</v>
      </c>
      <c r="B138" s="73" t="str">
        <f>VLOOKUP($A138,LocalisationRemorque,2,0)</f>
        <v>Charleroi</v>
      </c>
      <c r="C138" s="74" t="str">
        <f>VLOOKUP($A138,LocalisationRemorque,3,0)</f>
        <v>Gosselies aéroport</v>
      </c>
      <c r="D138" s="75" t="str">
        <f>CONCATENATE(VLOOKUP($A138,LocalisationRemorque,6,0)," ► ",VLOOKUP($A138,LocalisationRemorque,5,0))</f>
        <v>E420 (Ransart) ► Aeroport</v>
      </c>
      <c r="E138" s="52" t="str">
        <f>IF(ISBLANK(Tableau!$E$138), "LIBRE", "OCCUPÉ")</f>
        <v>OCCUPÉ</v>
      </c>
      <c r="F138" s="52" t="str">
        <f>IF(ISBLANK(Tableau!$G$138), "LIBRE", "OCCUPÉ")</f>
        <v>LIBRE</v>
      </c>
      <c r="G138" s="52" t="str">
        <f>IF(ISBLANK(Tableau!$I$138), "LIBRE", "OCCUPÉ")</f>
        <v>OCCUPÉ</v>
      </c>
      <c r="H138" s="52" t="str">
        <f>IF(ISBLANK(Tableau!$K$138), "LIBRE", "OCCUPÉ")</f>
        <v>OCCUPÉ</v>
      </c>
      <c r="I138" s="54" t="str">
        <f>IF(ISBLANK(Tableau!$M$138), "LIBRE", "OCCUPÉ")</f>
        <v>OCCUPÉ</v>
      </c>
      <c r="J138" s="54" t="str">
        <f>IF(ISBLANK(Tableau!$O$138), "LIBRE", "OCCUPÉ")</f>
        <v>LIBRE</v>
      </c>
      <c r="K138" s="54" t="str">
        <f>IF(ISBLANK(Tableau!$Q$138), "LIBRE", "OCCUPÉ")</f>
        <v>OCCUPÉ</v>
      </c>
      <c r="L138" s="52" t="str">
        <f>IF(ISBLANK(Tableau!$S$138), "LIBRE", "OCCUPÉ")</f>
        <v>OCCUPÉ</v>
      </c>
      <c r="M138" s="54" t="str">
        <f>IF(ISBLANK(Tableau!$U$138), "LIBRE", "OCCUPÉ")</f>
        <v>OCCUPÉ</v>
      </c>
      <c r="N138" s="54" t="str">
        <f>IF(ISBLANK(Tableau!$W$138), "LIBRE", "OCCUPÉ")</f>
        <v>LIBRE</v>
      </c>
      <c r="O138" s="54" t="str">
        <f>IF(ISBLANK(Tableau!$Y$138), "LIBRE", "OCCUPÉ")</f>
        <v>LIBRE</v>
      </c>
      <c r="P138" s="52" t="str">
        <f>IF(ISBLANK(Tableau!$AA$138), "LIBRE", "OCCUPÉ")</f>
        <v>LIBRE</v>
      </c>
      <c r="Q138" s="54" t="str">
        <f>IF(ISBLANK(Tableau!$AC$138), "LIBRE", "OCCUPÉ")</f>
        <v>OCCUPÉ</v>
      </c>
      <c r="R138" s="52" t="str">
        <f>IF(ISBLANK(Tableau!$AE$138), "LIBRE", "OCCUPÉ")</f>
        <v>LIBRE</v>
      </c>
      <c r="S138" s="54" t="str">
        <f>IF(ISBLANK(Tableau!$AG$138), "LIBRE", "OCCUPÉ")</f>
        <v>LIBRE</v>
      </c>
      <c r="T138" s="52" t="str">
        <f>IF(ISBLANK(Tableau!$AI$138), "LIBRE", "OCCUPÉ")</f>
        <v>LIBRE</v>
      </c>
      <c r="U138" s="54" t="str">
        <f>IF(ISBLANK(Tableau!$AK$138), "LIBRE", "OCCUPÉ")</f>
        <v>LIBRE</v>
      </c>
      <c r="V138" s="52" t="str">
        <f>IF(ISBLANK(Tableau!$AM$138), "LIBRE", "OCCUPÉ")</f>
        <v>LIBRE</v>
      </c>
      <c r="W138" s="54" t="str">
        <f>IF(ISBLANK(Tableau!$AO$138), "LIBRE", "OCCUPÉ")</f>
        <v>LIBRE</v>
      </c>
      <c r="X138" s="52" t="str">
        <f>IF(ISBLANK(Tableau!$AQ$138), "LIBRE", "OCCUPÉ")</f>
        <v>LIBRE</v>
      </c>
      <c r="Y138" s="52" t="str">
        <f>IF(ISBLANK(Tableau!$AS$138), "LIBRE", "OCCUPÉ")</f>
        <v>LIBRE</v>
      </c>
      <c r="Z138" s="52" t="str">
        <f>IF(ISBLANK(Tableau!$AU$138), "LIBRE", "OCCUPÉ")</f>
        <v>LIBRE</v>
      </c>
      <c r="AA138" s="52" t="str">
        <f>IF(ISBLANK(Tableau!$AW$138), "LIBRE", "OCCUPÉ")</f>
        <v>LIBRE</v>
      </c>
      <c r="AB138" s="76" t="str">
        <f>IF(ISBLANK(Tableau!$AY138), "LIBRE", "OCCUPÉ")</f>
        <v>LIBRE</v>
      </c>
      <c r="AC138" s="77"/>
    </row>
    <row r="139" ht="21.75" customHeight="1">
      <c r="A139" s="40">
        <f>Tableau!A139</f>
        <v>405</v>
      </c>
      <c r="B139" s="46" t="str">
        <f>VLOOKUP($A139,LocalisationRemorque,2,0)</f>
        <v>Thuin</v>
      </c>
      <c r="C139" s="47" t="str">
        <f>VLOOKUP($A139,LocalisationRemorque,3,0)</f>
        <v>Thuin N59</v>
      </c>
      <c r="D139" s="49" t="str">
        <f>CONCATENATE(VLOOKUP($A139,LocalisationRemorque,6,0)," ► ",VLOOKUP($A139,LocalisationRemorque,5,0))</f>
        <v>Thuin ► Charleroi</v>
      </c>
      <c r="E139" s="52" t="str">
        <f>IF(ISBLANK(Tableau!$E$139), "LIBRE", "OCCUPÉ")</f>
        <v>OCCUPÉ</v>
      </c>
      <c r="F139" s="54" t="str">
        <f>IF(ISBLANK(Tableau!$G$139), "LIBRE", "OCCUPÉ")</f>
        <v>LIBRE</v>
      </c>
      <c r="G139" s="52" t="str">
        <f>IF(ISBLANK(Tableau!$I$139), "LIBRE", "OCCUPÉ")</f>
        <v>LIBRE</v>
      </c>
      <c r="H139" s="52" t="str">
        <f>IF(ISBLANK(Tableau!$K$139), "LIBRE", "OCCUPÉ")</f>
        <v>LIBRE</v>
      </c>
      <c r="I139" s="52" t="str">
        <f>IF(ISBLANK(Tableau!$M$139), "LIBRE", "OCCUPÉ")</f>
        <v>LIBRE</v>
      </c>
      <c r="J139" s="52" t="str">
        <f>IF(ISBLANK(Tableau!$O$139), "LIBRE", "OCCUPÉ")</f>
        <v>LIBRE</v>
      </c>
      <c r="K139" s="54" t="str">
        <f>IF(ISBLANK(Tableau!$Q$139), "LIBRE", "OCCUPÉ")</f>
        <v>OCCUPÉ</v>
      </c>
      <c r="L139" s="52" t="str">
        <f>IF(ISBLANK(Tableau!$S$139), "LIBRE", "OCCUPÉ")</f>
        <v>LIBRE</v>
      </c>
      <c r="M139" s="54" t="str">
        <f>IF(ISBLANK(Tableau!$U$139), "LIBRE", "OCCUPÉ")</f>
        <v>LIBRE</v>
      </c>
      <c r="N139" s="54" t="str">
        <f>IF(ISBLANK(Tableau!$W$139), "LIBRE", "OCCUPÉ")</f>
        <v>LIBRE</v>
      </c>
      <c r="O139" s="54" t="str">
        <f>IF(ISBLANK(Tableau!$Y$139), "LIBRE", "OCCUPÉ")</f>
        <v>OCCUPÉ</v>
      </c>
      <c r="P139" s="52" t="str">
        <f>IF(ISBLANK(Tableau!$AA$139), "LIBRE", "OCCUPÉ")</f>
        <v>LIBRE</v>
      </c>
      <c r="Q139" s="54" t="str">
        <f>IF(ISBLANK(Tableau!$AC$139), "LIBRE", "OCCUPÉ")</f>
        <v>LIBRE</v>
      </c>
      <c r="R139" s="54" t="str">
        <f>IF(ISBLANK(Tableau!$AE$139), "LIBRE", "OCCUPÉ")</f>
        <v>LIBRE</v>
      </c>
      <c r="S139" s="52" t="str">
        <f>IF(ISBLANK(Tableau!$AG$139), "LIBRE", "OCCUPÉ")</f>
        <v>LIBRE</v>
      </c>
      <c r="T139" s="52" t="str">
        <f>IF(ISBLANK(Tableau!$AI$139), "LIBRE", "OCCUPÉ")</f>
        <v>LIBRE</v>
      </c>
      <c r="U139" s="52" t="str">
        <f>IF(ISBLANK(Tableau!$AK$139), "LIBRE", "OCCUPÉ")</f>
        <v>LIBRE</v>
      </c>
      <c r="V139" s="52" t="str">
        <f>IF(ISBLANK(Tableau!$AM$139), "LIBRE", "OCCUPÉ")</f>
        <v>LIBRE</v>
      </c>
      <c r="W139" s="52" t="str">
        <f>IF(ISBLANK(Tableau!$AO$139), "LIBRE", "OCCUPÉ")</f>
        <v>LIBRE</v>
      </c>
      <c r="X139" s="52" t="str">
        <f>IF(ISBLANK(Tableau!$AQ$139), "LIBRE", "OCCUPÉ")</f>
        <v>LIBRE</v>
      </c>
      <c r="Y139" s="52" t="str">
        <f>IF(ISBLANK(Tableau!$AS$139), "LIBRE", "OCCUPÉ")</f>
        <v>LIBRE</v>
      </c>
      <c r="Z139" s="52" t="str">
        <f>IF(ISBLANK(Tableau!$AU$139), "LIBRE", "OCCUPÉ")</f>
        <v>OCCUPÉ</v>
      </c>
      <c r="AA139" s="52" t="str">
        <f>IF(ISBLANK(Tableau!$AW$139), "LIBRE", "OCCUPÉ")</f>
        <v>LIBRE</v>
      </c>
      <c r="AB139" s="76" t="str">
        <f>IF(ISBLANK(Tableau!$AY139), "LIBRE", "OCCUPÉ")</f>
        <v>OCCUPÉ</v>
      </c>
      <c r="AC139" s="88"/>
    </row>
    <row r="140" ht="21.75" customHeight="1">
      <c r="A140" s="72">
        <f>Tableau!A140</f>
        <v>406</v>
      </c>
      <c r="B140" s="73" t="str">
        <f>VLOOKUP($A140,LocalisationRemorque,2,0)</f>
        <v>Gozée</v>
      </c>
      <c r="C140" s="74" t="str">
        <f>VLOOKUP($A140,LocalisationRemorque,3,0)</f>
        <v>N53  Charleroi - Beaumont</v>
      </c>
      <c r="D140" s="75" t="str">
        <f>CONCATENATE(VLOOKUP($A140,LocalisationRemorque,6,0)," ► ",VLOOKUP($A140,LocalisationRemorque,5,0))</f>
        <v>Beaumont ► Charleroi</v>
      </c>
      <c r="E140" s="52" t="str">
        <f>IF(ISBLANK(Tableau!$E$140), "LIBRE", "OCCUPÉ")</f>
        <v>LIBRE</v>
      </c>
      <c r="F140" s="52" t="str">
        <f>IF(ISBLANK(Tableau!$G$140), "LIBRE", "OCCUPÉ")</f>
        <v>LIBRE</v>
      </c>
      <c r="G140" s="52" t="str">
        <f>IF(ISBLANK(Tableau!$I$140), "LIBRE", "OCCUPÉ")</f>
        <v>LIBRE</v>
      </c>
      <c r="H140" s="52" t="str">
        <f>IF(ISBLANK(Tableau!$K$140), "LIBRE", "OCCUPÉ")</f>
        <v>LIBRE</v>
      </c>
      <c r="I140" s="54" t="str">
        <f>IF(ISBLANK(Tableau!$M$140), "LIBRE", "OCCUPÉ")</f>
        <v>LIBRE</v>
      </c>
      <c r="J140" s="54" t="str">
        <f>IF(ISBLANK(Tableau!$O$140), "LIBRE", "OCCUPÉ")</f>
        <v>LIBRE</v>
      </c>
      <c r="K140" s="54" t="str">
        <f>IF(ISBLANK(Tableau!$Q$140), "LIBRE", "OCCUPÉ")</f>
        <v>LIBRE</v>
      </c>
      <c r="L140" s="52" t="str">
        <f>IF(ISBLANK(Tableau!$S$140), "LIBRE", "OCCUPÉ")</f>
        <v>LIBRE</v>
      </c>
      <c r="M140" s="54" t="str">
        <f>IF(ISBLANK(Tableau!$U$140), "LIBRE", "OCCUPÉ")</f>
        <v>LIBRE</v>
      </c>
      <c r="N140" s="52" t="str">
        <f>IF(ISBLANK(Tableau!$W$140), "LIBRE", "OCCUPÉ")</f>
        <v>LIBRE</v>
      </c>
      <c r="O140" s="54" t="str">
        <f>IF(ISBLANK(Tableau!$Y$140), "LIBRE", "OCCUPÉ")</f>
        <v>LIBRE</v>
      </c>
      <c r="P140" s="52" t="str">
        <f>IF(ISBLANK(Tableau!$AA$140), "LIBRE", "OCCUPÉ")</f>
        <v>LIBRE</v>
      </c>
      <c r="Q140" s="52" t="str">
        <f>IF(ISBLANK(Tableau!$AC$140), "LIBRE", "OCCUPÉ")</f>
        <v>LIBRE</v>
      </c>
      <c r="R140" s="52" t="str">
        <f>IF(ISBLANK(Tableau!$AE$140), "LIBRE", "OCCUPÉ")</f>
        <v>LIBRE</v>
      </c>
      <c r="S140" s="52" t="str">
        <f>IF(ISBLANK(Tableau!$AG$140), "LIBRE", "OCCUPÉ")</f>
        <v>LIBRE</v>
      </c>
      <c r="T140" s="52" t="str">
        <f>IF(ISBLANK(Tableau!$AI$140), "LIBRE", "OCCUPÉ")</f>
        <v>LIBRE</v>
      </c>
      <c r="U140" s="52" t="str">
        <f>IF(ISBLANK(Tableau!$AK$140), "LIBRE", "OCCUPÉ")</f>
        <v>LIBRE</v>
      </c>
      <c r="V140" s="54" t="str">
        <f>IF(ISBLANK(Tableau!$AM$140), "LIBRE", "OCCUPÉ")</f>
        <v>LIBRE</v>
      </c>
      <c r="W140" s="54" t="str">
        <f>IF(ISBLANK(Tableau!$AO$140), "LIBRE", "OCCUPÉ")</f>
        <v>LIBRE</v>
      </c>
      <c r="X140" s="52" t="str">
        <f>IF(ISBLANK(Tableau!$AQ$140), "LIBRE", "OCCUPÉ")</f>
        <v>LIBRE</v>
      </c>
      <c r="Y140" s="52" t="str">
        <f>IF(ISBLANK(Tableau!$AS$140), "LIBRE", "OCCUPÉ")</f>
        <v>LIBRE</v>
      </c>
      <c r="Z140" s="52" t="str">
        <f>IF(ISBLANK(Tableau!$AU$140), "LIBRE", "OCCUPÉ")</f>
        <v>LIBRE</v>
      </c>
      <c r="AA140" s="54" t="str">
        <f>IF(ISBLANK(Tableau!$AW$140), "LIBRE", "OCCUPÉ")</f>
        <v>LIBRE</v>
      </c>
      <c r="AB140" s="76" t="str">
        <f>IF(ISBLANK(Tableau!$AY140), "LIBRE", "OCCUPÉ")</f>
        <v>LIBRE</v>
      </c>
      <c r="AC140" s="155"/>
    </row>
    <row r="141" ht="21.75" customHeight="1">
      <c r="A141" s="114">
        <f>Tableau!A141</f>
        <v>407</v>
      </c>
      <c r="B141" s="115" t="str">
        <f>VLOOKUP($A141,LocalisationRemorque,2,0)</f>
        <v>Anderlues</v>
      </c>
      <c r="C141" s="116" t="str">
        <f>VLOOKUP($A141,LocalisationRemorque,3,0)</f>
        <v>Morlanwelz 1</v>
      </c>
      <c r="D141" s="117" t="str">
        <f>CONCATENATE(VLOOKUP($A141,LocalisationRemorque,6,0)," ► ",VLOOKUP($A141,LocalisationRemorque,5,0))</f>
        <v>Anderlues ► E42</v>
      </c>
      <c r="E141" s="52" t="str">
        <f>IF(ISBLANK(Tableau!$E$141), "LIBRE", "OCCUPÉ")</f>
        <v>OCCUPÉ</v>
      </c>
      <c r="F141" s="52" t="str">
        <f>IF(ISBLANK(Tableau!$G$141), "LIBRE", "OCCUPÉ")</f>
        <v>LIBRE</v>
      </c>
      <c r="G141" s="52" t="str">
        <f>IF(ISBLANK(#REF!), "LIBRE", "OCCUPÉ")</f>
        <v>OCCUPÉ</v>
      </c>
      <c r="H141" s="52" t="str">
        <f>IF(ISBLANK(Tableau!$K$141), "LIBRE", "OCCUPÉ")</f>
        <v>LIBRE</v>
      </c>
      <c r="I141" s="52" t="str">
        <f>IF(ISBLANK(Tableau!$M$141), "LIBRE", "OCCUPÉ")</f>
        <v>OCCUPÉ</v>
      </c>
      <c r="J141" s="52" t="str">
        <f>IF(ISBLANK(Tableau!$O$141), "LIBRE", "OCCUPÉ")</f>
        <v>LIBRE</v>
      </c>
      <c r="K141" s="52" t="str">
        <f>IF(ISBLANK(#REF!), "LIBRE", "OCCUPÉ")</f>
        <v>OCCUPÉ</v>
      </c>
      <c r="L141" s="52" t="str">
        <f>IF(ISBLANK(Tableau!$S$141), "LIBRE", "OCCUPÉ")</f>
        <v>LIBRE</v>
      </c>
      <c r="M141" s="52" t="str">
        <f>IF(ISBLANK(Tableau!$U$141), "LIBRE", "OCCUPÉ")</f>
        <v>OCCUPÉ</v>
      </c>
      <c r="N141" s="52" t="str">
        <f>IF(ISBLANK(Tableau!$W$141), "LIBRE", "OCCUPÉ")</f>
        <v>OCCUPÉ</v>
      </c>
      <c r="O141" s="52" t="str">
        <f>IF(ISBLANK(Tableau!$Y$141), "LIBRE", "OCCUPÉ")</f>
        <v>LIBRE</v>
      </c>
      <c r="P141" s="52" t="str">
        <f>IF(ISBLANK(Tableau!$AA$141), "LIBRE", "OCCUPÉ")</f>
        <v>LIBRE</v>
      </c>
      <c r="Q141" s="422" t="str">
        <f>IF(ISBLANK(Tableau!$AC$141), "LIBRE", "OCCUPÉ")</f>
        <v>LIBRE</v>
      </c>
      <c r="R141" s="54" t="str">
        <f>IF(ISBLANK(Tableau!$AE$141), "LIBRE", "OCCUPÉ")</f>
        <v>LIBRE</v>
      </c>
      <c r="S141" s="422" t="str">
        <f>IF(ISBLANK(Tableau!$AG$141), "LIBRE", "OCCUPÉ")</f>
        <v>LIBRE</v>
      </c>
      <c r="T141" s="52" t="str">
        <f>IF(ISBLANK(Tableau!$AI$141), "LIBRE", "OCCUPÉ")</f>
        <v>LIBRE</v>
      </c>
      <c r="U141" s="422" t="str">
        <f>IF(ISBLANK(Tableau!$AK$141), "LIBRE", "OCCUPÉ")</f>
        <v>LIBRE</v>
      </c>
      <c r="V141" s="54" t="str">
        <f>IF(ISBLANK(Tableau!$AM$141), "LIBRE", "OCCUPÉ")</f>
        <v>LIBRE</v>
      </c>
      <c r="W141" s="422" t="str">
        <f>IF(ISBLANK(Tableau!$AO$141), "LIBRE", "OCCUPÉ")</f>
        <v>LIBRE</v>
      </c>
      <c r="X141" s="54" t="str">
        <f>IF(ISBLANK(Tableau!$AQ$141), "LIBRE", "OCCUPÉ")</f>
        <v>LIBRE</v>
      </c>
      <c r="Y141" s="423" t="str">
        <f>IF(ISBLANK(Tableau!$AS$141), "LIBRE", "OCCUPÉ")</f>
        <v>OCCUPÉ</v>
      </c>
      <c r="Z141" s="52" t="str">
        <f>IF(ISBLANK(Tableau!$AU$141), "LIBRE", "OCCUPÉ")</f>
        <v>LIBRE</v>
      </c>
      <c r="AA141" s="422" t="str">
        <f>IF(ISBLANK(Tableau!$AW$141), "LIBRE", "OCCUPÉ")</f>
        <v>LIBRE</v>
      </c>
      <c r="AB141" s="76" t="str">
        <f>IF(ISBLANK(Tableau!$AY141), "LIBRE", "OCCUPÉ")</f>
        <v>LIBRE</v>
      </c>
      <c r="AC141" s="417"/>
    </row>
    <row r="142" ht="21.75" customHeight="1">
      <c r="A142" s="114">
        <f>Tableau!A142</f>
        <v>408</v>
      </c>
      <c r="B142" s="115" t="str">
        <f>VLOOKUP($A142,LocalisationRemorque,2,0)</f>
        <v>Anderlues</v>
      </c>
      <c r="C142" s="116" t="str">
        <f>VLOOKUP($A142,LocalisationRemorque,3,0)</f>
        <v>Morlanwelz 2</v>
      </c>
      <c r="D142" s="117" t="str">
        <f>CONCATENATE(VLOOKUP($A142,LocalisationRemorque,6,0)," ► ",VLOOKUP($A142,LocalisationRemorque,5,0))</f>
        <v>Anderlues ► E42</v>
      </c>
      <c r="E142" s="52" t="str">
        <f>IF(ISBLANK(Tableau!$E$142), "LIBRE", "OCCUPÉ")</f>
        <v>OCCUPÉ</v>
      </c>
      <c r="F142" s="52" t="str">
        <f>IF(ISBLANK(Tableau!$G$142), "LIBRE", "OCCUPÉ")</f>
        <v>LIBRE</v>
      </c>
      <c r="G142" s="52" t="str">
        <f>IF(ISBLANK(Tableau!$I$141), "LIBRE", "OCCUPÉ")</f>
        <v>OCCUPÉ</v>
      </c>
      <c r="H142" s="52" t="str">
        <f>IF(ISBLANK(Tableau!$K$142), "LIBRE", "OCCUPÉ")</f>
        <v>LIBRE</v>
      </c>
      <c r="I142" s="52" t="str">
        <f>IF(ISBLANK(Tableau!$M$142), "LIBRE", "OCCUPÉ")</f>
        <v>OCCUPÉ</v>
      </c>
      <c r="J142" s="52" t="str">
        <f>IF(ISBLANK(Tableau!$O$142), "LIBRE", "OCCUPÉ")</f>
        <v>LIBRE</v>
      </c>
      <c r="K142" s="52" t="str">
        <f>IF(ISBLANK(Tableau!$Q$141), "LIBRE", "OCCUPÉ")</f>
        <v>OCCUPÉ</v>
      </c>
      <c r="L142" s="52" t="str">
        <f>IF(ISBLANK(Tableau!$S$142), "LIBRE", "OCCUPÉ")</f>
        <v>LIBRE</v>
      </c>
      <c r="M142" s="52" t="str">
        <f>IF(ISBLANK(Tableau!$U$142), "LIBRE", "OCCUPÉ")</f>
        <v>OCCUPÉ</v>
      </c>
      <c r="N142" s="52" t="str">
        <f>IF(ISBLANK(Tableau!$W$142), "LIBRE", "OCCUPÉ")</f>
        <v>LIBRE</v>
      </c>
      <c r="O142" s="52" t="str">
        <f>IF(ISBLANK(Tableau!$Y$142), "LIBRE", "OCCUPÉ")</f>
        <v>OCCUPÉ</v>
      </c>
      <c r="P142" s="52" t="str">
        <f>IF(ISBLANK(Tableau!$AA$142), "LIBRE", "OCCUPÉ")</f>
        <v>LIBRE</v>
      </c>
      <c r="Q142" s="423" t="str">
        <f>IF(ISBLANK(Tableau!$AC$142), "LIBRE", "OCCUPÉ")</f>
        <v>LIBRE</v>
      </c>
      <c r="R142" s="52" t="str">
        <f>IF(ISBLANK(Tableau!$AE$142), "LIBRE", "OCCUPÉ")</f>
        <v>LIBRE</v>
      </c>
      <c r="S142" s="423" t="str">
        <f>IF(ISBLANK(Tableau!$AG$142), "LIBRE", "OCCUPÉ")</f>
        <v>LIBRE</v>
      </c>
      <c r="T142" s="52" t="str">
        <f>IF(ISBLANK(Tableau!$AI$142), "LIBRE", "OCCUPÉ")</f>
        <v>LIBRE</v>
      </c>
      <c r="U142" s="423" t="str">
        <f>IF(ISBLANK(Tableau!$AK$142), "LIBRE", "OCCUPÉ")</f>
        <v>LIBRE</v>
      </c>
      <c r="V142" s="52" t="str">
        <f>IF(ISBLANK(Tableau!$AM$142), "LIBRE", "OCCUPÉ")</f>
        <v>LIBRE</v>
      </c>
      <c r="W142" s="422" t="str">
        <f>IF(ISBLANK(Tableau!$AO$142), "LIBRE", "OCCUPÉ")</f>
        <v>OCCUPÉ</v>
      </c>
      <c r="X142" s="54" t="str">
        <f>IF(ISBLANK(Tableau!$AQ$142), "LIBRE", "OCCUPÉ")</f>
        <v>LIBRE</v>
      </c>
      <c r="Y142" s="423" t="str">
        <f>IF(ISBLANK(Tableau!$AS$142), "LIBRE", "OCCUPÉ")</f>
        <v>LIBRE</v>
      </c>
      <c r="Z142" s="52" t="str">
        <f>IF(ISBLANK(Tableau!$AU$142), "LIBRE", "OCCUPÉ")</f>
        <v>LIBRE</v>
      </c>
      <c r="AA142" s="423" t="str">
        <f>IF(ISBLANK(Tableau!$AW$142), "LIBRE", "OCCUPÉ")</f>
        <v>LIBRE</v>
      </c>
      <c r="AB142" s="76" t="str">
        <f>IF(ISBLANK(Tableau!$AY142), "LIBRE", "OCCUPÉ")</f>
        <v>LIBRE</v>
      </c>
      <c r="AC142" s="417"/>
    </row>
    <row r="143" ht="21.75" customHeight="1">
      <c r="A143" s="114">
        <f>Tableau!A143</f>
        <v>409</v>
      </c>
      <c r="B143" s="115" t="str">
        <f>VLOOKUP($A143,LocalisationRemorque,2,0)</f>
        <v>Nivelles</v>
      </c>
      <c r="C143" s="116" t="str">
        <f>VLOOKUP($A143,LocalisationRemorque,3,0)</f>
        <v>Buzet</v>
      </c>
      <c r="D143" s="117" t="str">
        <f>CONCATENATE(VLOOKUP($A143,LocalisationRemorque,6,0)," ► ",VLOOKUP($A143,LocalisationRemorque,5,0))</f>
        <v>Nivelles ► Charleroi</v>
      </c>
      <c r="E143" s="52" t="str">
        <f>IF(ISBLANK(Tableau!$E$143), "LIBRE", "OCCUPÉ")</f>
        <v>LIBRE</v>
      </c>
      <c r="F143" s="52" t="str">
        <f>IF(ISBLANK(Tableau!$G$143), "LIBRE", "OCCUPÉ")</f>
        <v>LIBRE</v>
      </c>
      <c r="G143" s="52" t="str">
        <f>IF(ISBLANK(Tableau!$I$143), "LIBRE", "OCCUPÉ")</f>
        <v>LIBRE</v>
      </c>
      <c r="H143" s="52" t="str">
        <f>IF(ISBLANK(Tableau!$K$143), "LIBRE", "OCCUPÉ")</f>
        <v>LIBRE</v>
      </c>
      <c r="I143" s="52" t="str">
        <f>IF(ISBLANK(Tableau!$M$143), "LIBRE", "OCCUPÉ")</f>
        <v>LIBRE</v>
      </c>
      <c r="J143" s="52" t="str">
        <f>IF(ISBLANK(Tableau!$O$143), "LIBRE", "OCCUPÉ")</f>
        <v>OCCUPÉ</v>
      </c>
      <c r="K143" s="52" t="str">
        <f>IF(ISBLANK(Tableau!$Q$143), "LIBRE", "OCCUPÉ")</f>
        <v>LIBRE</v>
      </c>
      <c r="L143" s="52" t="str">
        <f>IF(ISBLANK(Tableau!$S$143), "LIBRE", "OCCUPÉ")</f>
        <v>LIBRE</v>
      </c>
      <c r="M143" s="52" t="str">
        <f>IF(ISBLANK(Tableau!$U$143), "LIBRE", "OCCUPÉ")</f>
        <v>LIBRE</v>
      </c>
      <c r="N143" s="52" t="str">
        <f>IF(ISBLANK(Tableau!$W$143), "LIBRE", "OCCUPÉ")</f>
        <v>LIBRE</v>
      </c>
      <c r="O143" s="52" t="str">
        <f>IF(ISBLANK(Tableau!$Y$143), "LIBRE", "OCCUPÉ")</f>
        <v>LIBRE</v>
      </c>
      <c r="P143" s="52" t="str">
        <f>IF(ISBLANK(Tableau!$AA$143), "LIBRE", "OCCUPÉ")</f>
        <v>OCCUPÉ</v>
      </c>
      <c r="Q143" s="423" t="str">
        <f>IF(ISBLANK(Tableau!$AC$143), "LIBRE", "OCCUPÉ")</f>
        <v>LIBRE</v>
      </c>
      <c r="R143" s="52" t="str">
        <f>IF(ISBLANK(Tableau!$AE$143), "LIBRE", "OCCUPÉ")</f>
        <v>OCCUPÉ</v>
      </c>
      <c r="S143" s="423" t="str">
        <f>IF(ISBLANK(Tableau!$AG$143), "LIBRE", "OCCUPÉ")</f>
        <v>LIBRE</v>
      </c>
      <c r="T143" s="52" t="str">
        <f>IF(ISBLANK(Tableau!$AI$143), "LIBRE", "OCCUPÉ")</f>
        <v>LIBRE</v>
      </c>
      <c r="U143" s="423" t="str">
        <f>IF(ISBLANK(Tableau!$AK$143), "LIBRE", "OCCUPÉ")</f>
        <v>LIBRE</v>
      </c>
      <c r="V143" s="52" t="str">
        <f>IF(ISBLANK(Tableau!$AM$143), "LIBRE", "OCCUPÉ")</f>
        <v>OCCUPÉ</v>
      </c>
      <c r="W143" s="422" t="str">
        <f>IF(ISBLANK(Tableau!$AO$143), "LIBRE", "OCCUPÉ")</f>
        <v>LIBRE</v>
      </c>
      <c r="X143" s="54" t="str">
        <f>IF(ISBLANK(Tableau!$AQ$143), "LIBRE", "OCCUPÉ")</f>
        <v>LIBRE</v>
      </c>
      <c r="Y143" s="423" t="str">
        <f>IF(ISBLANK(Tableau!$AS$143), "LIBRE", "OCCUPÉ")</f>
        <v>LIBRE</v>
      </c>
      <c r="Z143" s="52" t="str">
        <f>IF(ISBLANK(Tableau!$AU$143), "LIBRE", "OCCUPÉ")</f>
        <v>OCCUPÉ</v>
      </c>
      <c r="AA143" s="423" t="str">
        <f>IF(ISBLANK(Tableau!$AW$143), "LIBRE", "OCCUPÉ")</f>
        <v>LIBRE</v>
      </c>
      <c r="AB143" s="76" t="str">
        <f>IF(ISBLANK(Tableau!$AY143), "LIBRE", "OCCUPÉ")</f>
        <v>LIBRE</v>
      </c>
      <c r="AC143" s="118"/>
    </row>
    <row r="144" ht="21.75" customHeight="1">
      <c r="A144" s="114">
        <f>Tableau!A144</f>
        <v>415</v>
      </c>
      <c r="B144" s="115" t="str">
        <f>VLOOKUP($A144,LocalisationRemorque,2,0)</f>
        <v>Binche</v>
      </c>
      <c r="C144" s="116" t="str">
        <f>VLOOKUP($A144,LocalisationRemorque,3,0)</f>
        <v>Péronnes-lez-Binche</v>
      </c>
      <c r="D144" s="117" t="str">
        <f>CONCATENATE(VLOOKUP($A144,LocalisationRemorque,6,0)," ► ",VLOOKUP($A144,LocalisationRemorque,5,0))</f>
        <v>Binche ► La Louvière</v>
      </c>
      <c r="E144" s="52" t="str">
        <f>IF(ISBLANK(Tableau!$E$144), "LIBRE", "OCCUPÉ")</f>
        <v>OCCUPÉ</v>
      </c>
      <c r="F144" s="52" t="str">
        <f>IF(ISBLANK(Tableau!$G$144), "LIBRE", "OCCUPÉ")</f>
        <v>LIBRE</v>
      </c>
      <c r="G144" s="52" t="str">
        <f>IF(ISBLANK(Tableau!$I$144), "LIBRE", "OCCUPÉ")</f>
        <v>OCCUPÉ</v>
      </c>
      <c r="H144" s="52" t="str">
        <f>IF(ISBLANK(Tableau!$K$144), "LIBRE", "OCCUPÉ")</f>
        <v>LIBRE</v>
      </c>
      <c r="I144" s="52" t="str">
        <f>IF(ISBLANK(Tableau!$M$144), "LIBRE", "OCCUPÉ")</f>
        <v>OCCUPÉ</v>
      </c>
      <c r="J144" s="52" t="str">
        <f>IF(ISBLANK(Tableau!$O$144), "LIBRE", "OCCUPÉ")</f>
        <v>LIBRE</v>
      </c>
      <c r="K144" s="52" t="str">
        <f>IF(ISBLANK(Tableau!$Q$144), "LIBRE", "OCCUPÉ")</f>
        <v>OCCUPÉ</v>
      </c>
      <c r="L144" s="52" t="str">
        <f>IF(ISBLANK(Tableau!$S$144), "LIBRE", "OCCUPÉ")</f>
        <v>LIBRE</v>
      </c>
      <c r="M144" s="52" t="str">
        <f>IF(ISBLANK(Tableau!$U$144), "LIBRE", "OCCUPÉ")</f>
        <v>OCCUPÉ</v>
      </c>
      <c r="N144" s="52" t="str">
        <f>IF(ISBLANK(Tableau!$W$144), "LIBRE", "OCCUPÉ")</f>
        <v>LIBRE</v>
      </c>
      <c r="O144" s="52" t="str">
        <f>IF(ISBLANK(Tableau!$Y$144), "LIBRE", "OCCUPÉ")</f>
        <v>LIBRE</v>
      </c>
      <c r="P144" s="52" t="str">
        <f>IF(ISBLANK(Tableau!$AA$144), "LIBRE", "OCCUPÉ")</f>
        <v>LIBRE</v>
      </c>
      <c r="Q144" s="423" t="str">
        <f>IF(ISBLANK(Tableau!$AC$144), "LIBRE", "OCCUPÉ")</f>
        <v>LIBRE</v>
      </c>
      <c r="R144" s="52" t="str">
        <f>IF(ISBLANK(Tableau!$AE$144), "LIBRE", "OCCUPÉ")</f>
        <v>LIBRE</v>
      </c>
      <c r="S144" s="423" t="str">
        <f>IF(ISBLANK(Tableau!$AG$144), "LIBRE", "OCCUPÉ")</f>
        <v>LIBRE</v>
      </c>
      <c r="T144" s="52" t="str">
        <f>IF(ISBLANK(Tableau!$AI$144), "LIBRE", "OCCUPÉ")</f>
        <v>LIBRE</v>
      </c>
      <c r="U144" s="423" t="str">
        <f>IF(ISBLANK(Tableau!$AK$144), "LIBRE", "OCCUPÉ")</f>
        <v>LIBRE</v>
      </c>
      <c r="V144" s="52" t="str">
        <f>IF(ISBLANK(Tableau!$AM$144), "LIBRE", "OCCUPÉ")</f>
        <v>LIBRE</v>
      </c>
      <c r="W144" s="422" t="str">
        <f>IF(ISBLANK(Tableau!$AO$144), "LIBRE", "OCCUPÉ")</f>
        <v>LIBRE</v>
      </c>
      <c r="X144" s="54" t="str">
        <f>IF(ISBLANK(Tableau!$AQ$144), "LIBRE", "OCCUPÉ")</f>
        <v>LIBRE</v>
      </c>
      <c r="Y144" s="423" t="str">
        <f>IF(ISBLANK(Tableau!$AS$144), "LIBRE", "OCCUPÉ")</f>
        <v>LIBRE</v>
      </c>
      <c r="Z144" s="52" t="str">
        <f>IF(ISBLANK(Tableau!$AU$144), "LIBRE", "OCCUPÉ")</f>
        <v>LIBRE</v>
      </c>
      <c r="AA144" s="423" t="str">
        <f>IF(ISBLANK(Tableau!$AW$144), "LIBRE", "OCCUPÉ")</f>
        <v>LIBRE</v>
      </c>
      <c r="AB144" s="76" t="str">
        <f>IF(ISBLANK(Tableau!$AY144), "LIBRE", "OCCUPÉ")</f>
        <v>LIBRE</v>
      </c>
      <c r="AC144" s="417"/>
    </row>
    <row r="145" ht="21.75" customHeight="1">
      <c r="A145" s="114" t="str">
        <f>Tableau!A145</f>
        <v/>
      </c>
      <c r="B145" s="121"/>
      <c r="C145" s="121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21"/>
      <c r="AC145" s="118"/>
    </row>
    <row r="146" ht="21.75" hidden="1" customHeight="1">
      <c r="A146" s="114" t="str">
        <f>Tableau!A146</f>
        <v/>
      </c>
      <c r="B146" s="121"/>
      <c r="C146" s="121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21"/>
      <c r="AC146" s="417"/>
    </row>
    <row r="147" ht="21.75" hidden="1" customHeight="1">
      <c r="A147" s="114" t="str">
        <f>Tableau!A147</f>
        <v/>
      </c>
      <c r="B147" s="121"/>
      <c r="C147" s="121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21"/>
      <c r="AC147" s="417"/>
    </row>
    <row r="148" ht="21.75" hidden="1" customHeight="1">
      <c r="A148" s="114" t="str">
        <f>Tableau!A148</f>
        <v/>
      </c>
      <c r="B148" s="121"/>
      <c r="C148" s="121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21"/>
      <c r="AC148" s="417"/>
    </row>
    <row r="149" ht="21.75" hidden="1" customHeight="1">
      <c r="A149" s="114" t="str">
        <f>Tableau!A149</f>
        <v/>
      </c>
      <c r="B149" s="121"/>
      <c r="C149" s="121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21"/>
      <c r="AC149" s="417"/>
    </row>
    <row r="150" ht="21.75" hidden="1" customHeight="1">
      <c r="A150" s="114" t="str">
        <f>Tableau!A150</f>
        <v/>
      </c>
      <c r="B150" s="121"/>
      <c r="C150" s="121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21"/>
      <c r="AC150" s="417"/>
    </row>
    <row r="151" ht="21.75" hidden="1" customHeight="1">
      <c r="A151" s="114" t="str">
        <f>Tableau!A151</f>
        <v/>
      </c>
      <c r="B151" s="121"/>
      <c r="C151" s="121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21"/>
      <c r="AC151" s="417"/>
    </row>
    <row r="152" ht="21.75" hidden="1" customHeight="1">
      <c r="A152" s="114" t="str">
        <f>Tableau!A152</f>
        <v/>
      </c>
      <c r="B152" s="121"/>
      <c r="C152" s="121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21"/>
      <c r="AC152" s="417"/>
    </row>
    <row r="153" ht="21.75" hidden="1" customHeight="1">
      <c r="A153" s="114" t="str">
        <f>Tableau!A153</f>
        <v/>
      </c>
      <c r="B153" s="121"/>
      <c r="C153" s="121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21"/>
      <c r="AC153" s="417"/>
    </row>
    <row r="154" ht="21.75" customHeight="1">
      <c r="A154" s="424">
        <f>Tableau!A154</f>
        <v>501</v>
      </c>
      <c r="B154" s="425" t="str">
        <f>VLOOKUP($A154,LocalisationRemorque,2,0)</f>
        <v>Habay-La-Neuve</v>
      </c>
      <c r="C154" s="426" t="str">
        <f>VLOOKUP($A154,LocalisationRemorque,3,0)</f>
        <v>Truck center</v>
      </c>
      <c r="D154" s="427" t="str">
        <f>CONCATENATE(VLOOKUP($A154,LocalisationRemorque,6,0)," ► ",VLOOKUP($A154,LocalisationRemorque,5,0))</f>
        <v>Habay-La-Neuve ► Étalle</v>
      </c>
      <c r="E154" s="52" t="str">
        <f>IF(ISBLANK(Tableau!$E$154), "LIBRE", "OCCUPÉ")</f>
        <v>LIBRE</v>
      </c>
      <c r="F154" s="54" t="str">
        <f>IF(ISBLANK(Tableau!$G$154), "LIBRE", "OCCUPÉ")</f>
        <v>OCCUPÉ</v>
      </c>
      <c r="G154" s="52" t="str">
        <f>IF(ISBLANK(Tableau!$I$154), "LIBRE", "OCCUPÉ")</f>
        <v>LIBRE</v>
      </c>
      <c r="H154" s="54" t="str">
        <f>IF(ISBLANK(Tableau!$K$154), "LIBRE", "OCCUPÉ")</f>
        <v>OCCUPÉ</v>
      </c>
      <c r="I154" s="54" t="str">
        <f>IF(ISBLANK(Tableau!$M$154), "LIBRE", "OCCUPÉ")</f>
        <v>LIBRE</v>
      </c>
      <c r="J154" s="54" t="str">
        <f>IF(ISBLANK(Tableau!$O$154), "LIBRE", "OCCUPÉ")</f>
        <v>OCCUPÉ</v>
      </c>
      <c r="K154" s="54" t="str">
        <f>IF(ISBLANK(Tableau!$Q$154), "LIBRE", "OCCUPÉ")</f>
        <v>LIBRE</v>
      </c>
      <c r="L154" s="54" t="str">
        <f>IF(ISBLANK(Tableau!$S$154), "LIBRE", "OCCUPÉ")</f>
        <v>OCCUPÉ</v>
      </c>
      <c r="M154" s="54" t="str">
        <f>IF(ISBLANK(Tableau!$U$154), "LIBRE", "OCCUPÉ")</f>
        <v>LIBRE</v>
      </c>
      <c r="N154" s="54" t="str">
        <f>IF(ISBLANK(Tableau!$W$154), "LIBRE", "OCCUPÉ")</f>
        <v>OCCUPÉ</v>
      </c>
      <c r="O154" s="52" t="str">
        <f>IF(ISBLANK(Tableau!$Y$154), "LIBRE", "OCCUPÉ")</f>
        <v>LIBRE</v>
      </c>
      <c r="P154" s="54" t="str">
        <f>IF(ISBLANK(Tableau!$AA$154), "LIBRE", "OCCUPÉ")</f>
        <v>OCCUPÉ</v>
      </c>
      <c r="Q154" s="52" t="str">
        <f>IF(ISBLANK(Tableau!$AC$154), "LIBRE", "OCCUPÉ")</f>
        <v>LIBRE</v>
      </c>
      <c r="R154" s="54" t="str">
        <f>IF(ISBLANK(Tableau!$AE$154), "LIBRE", "OCCUPÉ")</f>
        <v>OCCUPÉ</v>
      </c>
      <c r="S154" s="52" t="str">
        <f>IF(ISBLANK(Tableau!$AG$154), "LIBRE", "OCCUPÉ")</f>
        <v>LIBRE</v>
      </c>
      <c r="T154" s="54" t="str">
        <f>IF(ISBLANK(Tableau!$AI$154), "LIBRE", "OCCUPÉ")</f>
        <v>OCCUPÉ</v>
      </c>
      <c r="U154" s="52" t="str">
        <f>IF(ISBLANK(Tableau!$AK$154), "LIBRE", "OCCUPÉ")</f>
        <v>LIBRE</v>
      </c>
      <c r="V154" s="54" t="str">
        <f>IF(ISBLANK(Tableau!$AM$154), "LIBRE", "OCCUPÉ")</f>
        <v>OCCUPÉ</v>
      </c>
      <c r="W154" s="54" t="str">
        <f>IF(ISBLANK(Tableau!$AO$154), "LIBRE", "OCCUPÉ")</f>
        <v>LIBRE</v>
      </c>
      <c r="X154" s="54" t="str">
        <f>IF(ISBLANK(Tableau!$AQ$154), "LIBRE", "OCCUPÉ")</f>
        <v>OCCUPÉ</v>
      </c>
      <c r="Y154" s="52" t="str">
        <f>IF(ISBLANK(Tableau!$AS$154), "LIBRE", "OCCUPÉ")</f>
        <v>LIBRE</v>
      </c>
      <c r="Z154" s="54" t="str">
        <f>IF(ISBLANK(Tableau!$AU$154), "LIBRE", "OCCUPÉ")</f>
        <v>OCCUPÉ</v>
      </c>
      <c r="AA154" s="52" t="str">
        <f>IF(ISBLANK(Tableau!$AW$154), "LIBRE", "OCCUPÉ")</f>
        <v>LIBRE</v>
      </c>
      <c r="AB154" s="69" t="str">
        <f>IF(ISBLANK(Tableau!$AY154), "LIBRE", "OCCUPÉ")</f>
        <v>OCCUPÉ</v>
      </c>
      <c r="AC154" s="428"/>
    </row>
    <row r="155" ht="21.75" customHeight="1">
      <c r="A155" s="40">
        <f>Tableau!A155</f>
        <v>502</v>
      </c>
      <c r="B155" s="46" t="str">
        <f>VLOOKUP($A155,LocalisationRemorque,2,0)</f>
        <v>Bastogne</v>
      </c>
      <c r="C155" s="47" t="str">
        <f>VLOOKUP($A155,LocalisationRemorque,3,0)</f>
        <v>Entre Foy et Noville</v>
      </c>
      <c r="D155" s="49" t="str">
        <f>CONCATENATE(VLOOKUP($A155,LocalisationRemorque,6,0)," ► ",VLOOKUP($A155,LocalisationRemorque,5,0))</f>
        <v>Bastogne ► Houffalize</v>
      </c>
      <c r="E155" s="54" t="str">
        <f>IF(ISBLANK(Tableau!$E$155), "LIBRE", "OCCUPÉ")</f>
        <v>OCCUPÉ</v>
      </c>
      <c r="F155" s="52" t="str">
        <f>IF(ISBLANK(Tableau!$G$155), "LIBRE", "OCCUPÉ")</f>
        <v>OCCUPÉ</v>
      </c>
      <c r="G155" s="54" t="str">
        <f>IF(ISBLANK(Tableau!$I$155), "LIBRE", "OCCUPÉ")</f>
        <v>OCCUPÉ</v>
      </c>
      <c r="H155" s="52" t="str">
        <f>IF(ISBLANK(Tableau!$K$155), "LIBRE", "OCCUPÉ")</f>
        <v>OCCUPÉ</v>
      </c>
      <c r="I155" s="54" t="str">
        <f>IF(ISBLANK(Tableau!$M$155), "LIBRE", "OCCUPÉ")</f>
        <v>OCCUPÉ</v>
      </c>
      <c r="J155" s="52" t="str">
        <f>IF(ISBLANK(Tableau!$O$155), "LIBRE", "OCCUPÉ")</f>
        <v>OCCUPÉ</v>
      </c>
      <c r="K155" s="54" t="str">
        <f>IF(ISBLANK(Tableau!$Q$155), "LIBRE", "OCCUPÉ")</f>
        <v>OCCUPÉ</v>
      </c>
      <c r="L155" s="52" t="str">
        <f>IF(ISBLANK(Tableau!$S$155), "LIBRE", "OCCUPÉ")</f>
        <v>OCCUPÉ</v>
      </c>
      <c r="M155" s="54" t="str">
        <f>IF(ISBLANK(Tableau!$U$155), "LIBRE", "OCCUPÉ")</f>
        <v>OCCUPÉ</v>
      </c>
      <c r="N155" s="52" t="str">
        <f>IF(ISBLANK(Tableau!$W$155), "LIBRE", "OCCUPÉ")</f>
        <v>OCCUPÉ</v>
      </c>
      <c r="O155" s="54" t="str">
        <f>IF(ISBLANK(Tableau!$Y$155), "LIBRE", "OCCUPÉ")</f>
        <v>OCCUPÉ</v>
      </c>
      <c r="P155" s="52" t="str">
        <f>IF(ISBLANK(Tableau!$AA$155), "LIBRE", "OCCUPÉ")</f>
        <v>OCCUPÉ</v>
      </c>
      <c r="Q155" s="54" t="str">
        <f>IF(ISBLANK(Tableau!$AC$155), "LIBRE", "OCCUPÉ")</f>
        <v>OCCUPÉ</v>
      </c>
      <c r="R155" s="52" t="str">
        <f>IF(ISBLANK(Tableau!$AE$155), "LIBRE", "OCCUPÉ")</f>
        <v>LIBRE</v>
      </c>
      <c r="S155" s="54" t="str">
        <f>IF(ISBLANK(Tableau!$AG$155), "LIBRE", "OCCUPÉ")</f>
        <v>OCCUPÉ</v>
      </c>
      <c r="T155" s="52" t="str">
        <f>IF(ISBLANK(Tableau!$AI$155), "LIBRE", "OCCUPÉ")</f>
        <v>LIBRE</v>
      </c>
      <c r="U155" s="54" t="str">
        <f>IF(ISBLANK(Tableau!$AK$155), "LIBRE", "OCCUPÉ")</f>
        <v>OCCUPÉ</v>
      </c>
      <c r="V155" s="52" t="str">
        <f>IF(ISBLANK(Tableau!$AM$155), "LIBRE", "OCCUPÉ")</f>
        <v>LIBRE</v>
      </c>
      <c r="W155" s="54" t="str">
        <f>IF(ISBLANK(Tableau!$AO$155), "LIBRE", "OCCUPÉ")</f>
        <v>OCCUPÉ</v>
      </c>
      <c r="X155" s="52" t="str">
        <f>IF(ISBLANK(Tableau!$AQ$155), "LIBRE", "OCCUPÉ")</f>
        <v>LIBRE</v>
      </c>
      <c r="Y155" s="54" t="str">
        <f>IF(ISBLANK(Tableau!$AS$155), "LIBRE", "OCCUPÉ")</f>
        <v>OCCUPÉ</v>
      </c>
      <c r="Z155" s="52" t="str">
        <f>IF(ISBLANK(Tableau!$AU$155), "LIBRE", "OCCUPÉ")</f>
        <v>LIBRE</v>
      </c>
      <c r="AA155" s="54" t="str">
        <f>IF(ISBLANK(Tableau!$AW$155), "LIBRE", "OCCUPÉ")</f>
        <v>OCCUPÉ</v>
      </c>
      <c r="AB155" s="76" t="str">
        <f>IF(ISBLANK(Tableau!$AY155), "LIBRE", "OCCUPÉ")</f>
        <v>LIBRE</v>
      </c>
      <c r="AC155" s="70" t="s">
        <v>17</v>
      </c>
    </row>
    <row r="156" ht="21.75" hidden="1" customHeight="1">
      <c r="A156" s="72" t="str">
        <f>Tableau!A156</f>
        <v/>
      </c>
      <c r="B156" s="73" t="str">
        <f>VLOOKUP($A156,LocalisationRemorque,2,0)</f>
        <v> Remorque non listée</v>
      </c>
      <c r="C156" s="74" t="str">
        <f>VLOOKUP($A156,LocalisationRemorque,3,0)</f>
        <v/>
      </c>
      <c r="D156" s="75" t="str">
        <f>CONCATENATE(VLOOKUP($A156,LocalisationRemorque,6,0)," ► ",VLOOKUP($A156,LocalisationRemorque,5,0))</f>
        <v> ► </v>
      </c>
      <c r="E156" s="54" t="str">
        <f>IF(ISBLANK(Tableau!$E$156), "LIBRE", "OCCUPÉ")</f>
        <v>OCCUPÉ</v>
      </c>
      <c r="F156" s="52" t="str">
        <f>IF(ISBLANK(Tableau!$G$156), "LIBRE", "OCCUPÉ")</f>
        <v>OCCUPÉ</v>
      </c>
      <c r="G156" s="52" t="str">
        <f>IF(ISBLANK(Tableau!$I$156), "LIBRE", "OCCUPÉ")</f>
        <v>OCCUPÉ</v>
      </c>
      <c r="H156" s="52" t="str">
        <f>IF(ISBLANK(Tableau!$K$156), "LIBRE", "OCCUPÉ")</f>
        <v>OCCUPÉ</v>
      </c>
      <c r="I156" s="54" t="str">
        <f>IF(ISBLANK(Tableau!$M$156), "LIBRE", "OCCUPÉ")</f>
        <v>OCCUPÉ</v>
      </c>
      <c r="J156" s="52" t="str">
        <f>IF(ISBLANK(Tableau!$O$156), "LIBRE", "OCCUPÉ")</f>
        <v>OCCUPÉ</v>
      </c>
      <c r="K156" s="54" t="str">
        <f>IF(ISBLANK(Tableau!$Q$156), "LIBRE", "OCCUPÉ")</f>
        <v>OCCUPÉ</v>
      </c>
      <c r="L156" s="54" t="str">
        <f>IF(ISBLANK(Tableau!$S$156), "LIBRE", "OCCUPÉ")</f>
        <v>OCCUPÉ</v>
      </c>
      <c r="M156" s="54" t="str">
        <f>IF(ISBLANK(Tableau!$U$156), "LIBRE", "OCCUPÉ")</f>
        <v>OCCUPÉ</v>
      </c>
      <c r="N156" s="52" t="str">
        <f>IF(ISBLANK(Tableau!$W$156), "LIBRE", "OCCUPÉ")</f>
        <v>OCCUPÉ</v>
      </c>
      <c r="O156" s="52" t="str">
        <f>IF(ISBLANK(Tableau!$Y$156), "LIBRE", "OCCUPÉ")</f>
        <v>OCCUPÉ</v>
      </c>
      <c r="P156" s="52" t="str">
        <f>IF(ISBLANK(Tableau!$AA$156), "LIBRE", "OCCUPÉ")</f>
        <v>OCCUPÉ</v>
      </c>
      <c r="Q156" s="52" t="str">
        <f>IF(ISBLANK(Tableau!$AC$156), "LIBRE", "OCCUPÉ")</f>
        <v>LIBRE</v>
      </c>
      <c r="R156" s="52" t="str">
        <f>IF(ISBLANK(Tableau!$AE$156), "LIBRE", "OCCUPÉ")</f>
        <v>LIBRE</v>
      </c>
      <c r="S156" s="52" t="str">
        <f>IF(ISBLANK(Tableau!$AG$156), "LIBRE", "OCCUPÉ")</f>
        <v>LIBRE</v>
      </c>
      <c r="T156" s="52" t="str">
        <f>IF(ISBLANK(Tableau!$AI$156), "LIBRE", "OCCUPÉ")</f>
        <v>LIBRE</v>
      </c>
      <c r="U156" s="52" t="str">
        <f>IF(ISBLANK(Tableau!$AK$156), "LIBRE", "OCCUPÉ")</f>
        <v>LIBRE</v>
      </c>
      <c r="V156" s="52" t="str">
        <f>IF(ISBLANK(Tableau!$AM$156), "LIBRE", "OCCUPÉ")</f>
        <v>LIBRE</v>
      </c>
      <c r="W156" s="52" t="str">
        <f>IF(ISBLANK(Tableau!$AO$156), "LIBRE", "OCCUPÉ")</f>
        <v>LIBRE</v>
      </c>
      <c r="X156" s="52" t="str">
        <f>IF(ISBLANK(Tableau!$AQ$156), "LIBRE", "OCCUPÉ")</f>
        <v>LIBRE</v>
      </c>
      <c r="Y156" s="52" t="str">
        <f>IF(ISBLANK(Tableau!$AS$156), "LIBRE", "OCCUPÉ")</f>
        <v>LIBRE</v>
      </c>
      <c r="Z156" s="52" t="str">
        <f>IF(ISBLANK(Tableau!$AU$156), "LIBRE", "OCCUPÉ")</f>
        <v>LIBRE</v>
      </c>
      <c r="AA156" s="52" t="str">
        <f>IF(ISBLANK(Tableau!$AW$156), "LIBRE", "OCCUPÉ")</f>
        <v>LIBRE</v>
      </c>
      <c r="AB156" s="76" t="str">
        <f>IF(ISBLANK(Tableau!$AY156), "LIBRE", "OCCUPÉ")</f>
        <v>LIBRE</v>
      </c>
      <c r="AC156" s="77" t="s">
        <v>17</v>
      </c>
    </row>
    <row r="157" ht="21.75" hidden="1" customHeight="1">
      <c r="A157" s="40" t="str">
        <f>Tableau!A157</f>
        <v/>
      </c>
      <c r="B157" s="46" t="str">
        <f>VLOOKUP($A157,LocalisationRemorque,2,0)</f>
        <v> Remorque non listée</v>
      </c>
      <c r="C157" s="47" t="str">
        <f>VLOOKUP($A157,LocalisationRemorque,3,0)</f>
        <v/>
      </c>
      <c r="D157" s="49" t="str">
        <f>CONCATENATE(VLOOKUP($A157,LocalisationRemorque,6,0)," ► ",VLOOKUP($A157,LocalisationRemorque,5,0))</f>
        <v> ► </v>
      </c>
      <c r="E157" s="52" t="str">
        <f>IF(ISBLANK(Tableau!$E$157), "LIBRE", "OCCUPÉ")</f>
        <v>OCCUPÉ</v>
      </c>
      <c r="F157" s="52" t="str">
        <f>IF(ISBLANK(Tableau!$G$157), "LIBRE", "OCCUPÉ")</f>
        <v>OCCUPÉ</v>
      </c>
      <c r="G157" s="52" t="str">
        <f>IF(ISBLANK(Tableau!$I$157), "LIBRE", "OCCUPÉ")</f>
        <v>OCCUPÉ</v>
      </c>
      <c r="H157" s="52" t="str">
        <f>IF(ISBLANK(Tableau!$K$157), "LIBRE", "OCCUPÉ")</f>
        <v>OCCUPÉ</v>
      </c>
      <c r="I157" s="54" t="str">
        <f>IF(ISBLANK(Tableau!$M$157), "LIBRE", "OCCUPÉ")</f>
        <v>OCCUPÉ</v>
      </c>
      <c r="J157" s="54" t="str">
        <f>IF(ISBLANK(Tableau!$O$157), "LIBRE", "OCCUPÉ")</f>
        <v>OCCUPÉ</v>
      </c>
      <c r="K157" s="54" t="str">
        <f>IF(ISBLANK(Tableau!$Q$157), "LIBRE", "OCCUPÉ")</f>
        <v>OCCUPÉ</v>
      </c>
      <c r="L157" s="52" t="str">
        <f>IF(ISBLANK(Tableau!$S$157), "LIBRE", "OCCUPÉ")</f>
        <v>OCCUPÉ</v>
      </c>
      <c r="M157" s="52" t="str">
        <f>IF(ISBLANK(Tableau!$U$157), "LIBRE", "OCCUPÉ")</f>
        <v>OCCUPÉ</v>
      </c>
      <c r="N157" s="52" t="str">
        <f>IF(ISBLANK(Tableau!$W$157), "LIBRE", "OCCUPÉ")</f>
        <v>OCCUPÉ</v>
      </c>
      <c r="O157" s="54" t="str">
        <f>IF(ISBLANK(Tableau!$Y$157), "LIBRE", "OCCUPÉ")</f>
        <v>OCCUPÉ</v>
      </c>
      <c r="P157" s="52" t="str">
        <f>IF(ISBLANK(Tableau!$AA$157), "LIBRE", "OCCUPÉ")</f>
        <v>OCCUPÉ</v>
      </c>
      <c r="Q157" s="52" t="str">
        <f>IF(ISBLANK(Tableau!$AC$157), "LIBRE", "OCCUPÉ")</f>
        <v>LIBRE</v>
      </c>
      <c r="R157" s="52" t="str">
        <f>IF(ISBLANK(Tableau!$AE$157), "LIBRE", "OCCUPÉ")</f>
        <v>LIBRE</v>
      </c>
      <c r="S157" s="52" t="str">
        <f>IF(ISBLANK(Tableau!$AG$157), "LIBRE", "OCCUPÉ")</f>
        <v>LIBRE</v>
      </c>
      <c r="T157" s="52" t="str">
        <f>IF(ISBLANK(Tableau!$AI$157), "LIBRE", "OCCUPÉ")</f>
        <v>LIBRE</v>
      </c>
      <c r="U157" s="52" t="str">
        <f>IF(ISBLANK(Tableau!$AK$157), "LIBRE", "OCCUPÉ")</f>
        <v>LIBRE</v>
      </c>
      <c r="V157" s="52" t="str">
        <f>IF(ISBLANK(Tableau!$AM$157), "LIBRE", "OCCUPÉ")</f>
        <v>LIBRE</v>
      </c>
      <c r="W157" s="52" t="str">
        <f>IF(ISBLANK(Tableau!$AO$157), "LIBRE", "OCCUPÉ")</f>
        <v>LIBRE</v>
      </c>
      <c r="X157" s="52" t="str">
        <f>IF(ISBLANK(Tableau!$AQ$157), "LIBRE", "OCCUPÉ")</f>
        <v>LIBRE</v>
      </c>
      <c r="Y157" s="52" t="str">
        <f>IF(ISBLANK(Tableau!$AS$157), "LIBRE", "OCCUPÉ")</f>
        <v>LIBRE</v>
      </c>
      <c r="Z157" s="52" t="str">
        <f>IF(ISBLANK(Tableau!$AU$157), "LIBRE", "OCCUPÉ")</f>
        <v>LIBRE</v>
      </c>
      <c r="AA157" s="52" t="str">
        <f>IF(ISBLANK(Tableau!$AW$157), "LIBRE", "OCCUPÉ")</f>
        <v>LIBRE</v>
      </c>
      <c r="AB157" s="76" t="str">
        <f>IF(ISBLANK(Tableau!$AY157), "LIBRE", "OCCUPÉ")</f>
        <v>LIBRE</v>
      </c>
      <c r="AC157" s="70" t="s">
        <v>17</v>
      </c>
    </row>
    <row r="158" ht="21.75" customHeight="1">
      <c r="A158" s="72">
        <f>Tableau!A158</f>
        <v>505</v>
      </c>
      <c r="B158" s="73" t="str">
        <f>VLOOKUP($A158,LocalisationRemorque,2,0)</f>
        <v>Bastogne</v>
      </c>
      <c r="C158" s="74" t="str">
        <f>VLOOKUP($A158,LocalisationRemorque,3,0)</f>
        <v>Neffe</v>
      </c>
      <c r="D158" s="75" t="str">
        <f>CONCATENATE(VLOOKUP($A158,LocalisationRemorque,6,0)," ► ",VLOOKUP($A158,LocalisationRemorque,5,0))</f>
        <v>Bastogne ► Clervaux</v>
      </c>
      <c r="E158" s="54" t="str">
        <f>IF(ISBLANK(Tableau!$E$158), "LIBRE", "OCCUPÉ")</f>
        <v>OCCUPÉ</v>
      </c>
      <c r="F158" s="52" t="str">
        <f>IF(ISBLANK(Tableau!$G$158), "LIBRE", "OCCUPÉ")</f>
        <v>OCCUPÉ</v>
      </c>
      <c r="G158" s="54" t="str">
        <f>IF(ISBLANK(Tableau!$I$158), "LIBRE", "OCCUPÉ")</f>
        <v>OCCUPÉ</v>
      </c>
      <c r="H158" s="52" t="str">
        <f>IF(ISBLANK(Tableau!$K$158), "LIBRE", "OCCUPÉ")</f>
        <v>OCCUPÉ</v>
      </c>
      <c r="I158" s="54" t="str">
        <f>IF(ISBLANK(Tableau!$M$158), "LIBRE", "OCCUPÉ")</f>
        <v>OCCUPÉ</v>
      </c>
      <c r="J158" s="54" t="str">
        <f>IF(ISBLANK(Tableau!$M$159), "LIBRE", "OCCUPÉ")</f>
        <v>LIBRE</v>
      </c>
      <c r="K158" s="54" t="str">
        <f>IF(ISBLANK(Tableau!$Q$158), "LIBRE", "OCCUPÉ")</f>
        <v>OCCUPÉ</v>
      </c>
      <c r="L158" s="52" t="str">
        <f>IF(ISBLANK(Tableau!$S$158), "LIBRE", "OCCUPÉ")</f>
        <v>OCCUPÉ</v>
      </c>
      <c r="M158" s="54" t="str">
        <f>IF(ISBLANK(Tableau!$U$158), "LIBRE", "OCCUPÉ")</f>
        <v>OCCUPÉ</v>
      </c>
      <c r="N158" s="52" t="str">
        <f>IF(ISBLANK(Tableau!$W$158), "LIBRE", "OCCUPÉ")</f>
        <v>OCCUPÉ</v>
      </c>
      <c r="O158" s="54" t="str">
        <f>IF(ISBLANK(Tableau!$Y$158), "LIBRE", "OCCUPÉ")</f>
        <v>OCCUPÉ</v>
      </c>
      <c r="P158" s="52" t="str">
        <f>IF(ISBLANK(Tableau!$AA$158), "LIBRE", "OCCUPÉ")</f>
        <v>OCCUPÉ</v>
      </c>
      <c r="Q158" s="54" t="str">
        <f>IF(ISBLANK(Tableau!$AC$158), "LIBRE", "OCCUPÉ")</f>
        <v>OCCUPÉ</v>
      </c>
      <c r="R158" s="52" t="str">
        <f>IF(ISBLANK(Tableau!$AE$158), "LIBRE", "OCCUPÉ")</f>
        <v>LIBRE</v>
      </c>
      <c r="S158" s="54" t="str">
        <f>IF(ISBLANK(Tableau!$AG$158), "LIBRE", "OCCUPÉ")</f>
        <v>OCCUPÉ</v>
      </c>
      <c r="T158" s="52" t="str">
        <f>IF(ISBLANK(Tableau!$AI$158), "LIBRE", "OCCUPÉ")</f>
        <v>LIBRE</v>
      </c>
      <c r="U158" s="54" t="str">
        <f>IF(ISBLANK(Tableau!$AK$158), "LIBRE", "OCCUPÉ")</f>
        <v>OCCUPÉ</v>
      </c>
      <c r="V158" s="52" t="str">
        <f>IF(ISBLANK(Tableau!$AM$158), "LIBRE", "OCCUPÉ")</f>
        <v>LIBRE</v>
      </c>
      <c r="W158" s="54" t="str">
        <f>IF(ISBLANK(Tableau!$AO$158), "LIBRE", "OCCUPÉ")</f>
        <v>OCCUPÉ</v>
      </c>
      <c r="X158" s="52" t="str">
        <f>IF(ISBLANK(Tableau!$AQ$158), "LIBRE", "OCCUPÉ")</f>
        <v>LIBRE</v>
      </c>
      <c r="Y158" s="54" t="str">
        <f>IF(ISBLANK(Tableau!$AS$158), "LIBRE", "OCCUPÉ")</f>
        <v>OCCUPÉ</v>
      </c>
      <c r="Z158" s="52" t="str">
        <f>IF(ISBLANK(Tableau!$AU$158), "LIBRE", "OCCUPÉ")</f>
        <v>LIBRE</v>
      </c>
      <c r="AA158" s="54" t="str">
        <f>IF(ISBLANK(Tableau!$AW$158), "LIBRE", "OCCUPÉ")</f>
        <v>OCCUPÉ</v>
      </c>
      <c r="AB158" s="76" t="str">
        <f>IF(ISBLANK(Tableau!$AY158), "LIBRE", "OCCUPÉ")</f>
        <v>LIBRE</v>
      </c>
      <c r="AC158" s="77" t="s">
        <v>17</v>
      </c>
    </row>
    <row r="159" ht="21.75" customHeight="1">
      <c r="A159" s="40">
        <f>Tableau!A159</f>
        <v>506</v>
      </c>
      <c r="B159" s="46" t="str">
        <f>VLOOKUP($A159,LocalisationRemorque,2,0)</f>
        <v>Bouillon</v>
      </c>
      <c r="C159" s="47" t="str">
        <f>VLOOKUP($A159,LocalisationRemorque,3,0)</f>
        <v>Noirefontaine</v>
      </c>
      <c r="D159" s="49" t="str">
        <f>CONCATENATE(VLOOKUP($A159,LocalisationRemorque,6,0)," ► ",VLOOKUP($A159,LocalisationRemorque,5,0))</f>
        <v>Libramont ► Bouillon</v>
      </c>
      <c r="E159" s="52" t="str">
        <f>IF(ISBLANK(Tableau!$E$159), "LIBRE", "OCCUPÉ")</f>
        <v>LIBRE</v>
      </c>
      <c r="F159" s="54" t="str">
        <f>IF(ISBLANK(Tableau!$G$159), "LIBRE", "OCCUPÉ")</f>
        <v>OCCUPÉ</v>
      </c>
      <c r="G159" s="52" t="str">
        <f>IF(ISBLANK(Tableau!$I$159), "LIBRE", "OCCUPÉ")</f>
        <v>LIBRE</v>
      </c>
      <c r="H159" s="54" t="str">
        <f>IF(ISBLANK(Tableau!$K$159), "LIBRE", "OCCUPÉ")</f>
        <v>OCCUPÉ</v>
      </c>
      <c r="I159" s="54" t="str">
        <f>IF(ISBLANK(Tableau!$M$159), "LIBRE", "OCCUPÉ")</f>
        <v>LIBRE</v>
      </c>
      <c r="J159" s="54" t="str">
        <f>IF(ISBLANK(Tableau!$O$159), "LIBRE", "OCCUPÉ")</f>
        <v>OCCUPÉ</v>
      </c>
      <c r="K159" s="54" t="str">
        <f>IF(ISBLANK(Tableau!$Q$159), "LIBRE", "OCCUPÉ")</f>
        <v>LIBRE</v>
      </c>
      <c r="L159" s="54" t="str">
        <f>IF(ISBLANK(Tableau!$S$159), "LIBRE", "OCCUPÉ")</f>
        <v>OCCUPÉ</v>
      </c>
      <c r="M159" s="54" t="str">
        <f>IF(ISBLANK(Tableau!$U$159), "LIBRE", "OCCUPÉ")</f>
        <v>LIBRE</v>
      </c>
      <c r="N159" s="54" t="str">
        <f>IF(ISBLANK(Tableau!$W$159), "LIBRE", "OCCUPÉ")</f>
        <v>OCCUPÉ</v>
      </c>
      <c r="O159" s="54" t="str">
        <f>IF(ISBLANK(Tableau!$Y$159), "LIBRE", "OCCUPÉ")</f>
        <v>LIBRE</v>
      </c>
      <c r="P159" s="54" t="str">
        <f>IF(ISBLANK(Tableau!$AA$159), "LIBRE", "OCCUPÉ")</f>
        <v>OCCUPÉ</v>
      </c>
      <c r="Q159" s="54" t="str">
        <f>IF(ISBLANK(Tableau!$AC$159), "LIBRE", "OCCUPÉ")</f>
        <v>LIBRE</v>
      </c>
      <c r="R159" s="54" t="str">
        <f>IF(ISBLANK(Tableau!$AE$159), "LIBRE", "OCCUPÉ")</f>
        <v>OCCUPÉ</v>
      </c>
      <c r="S159" s="54" t="str">
        <f>IF(ISBLANK(Tableau!$AG$159), "LIBRE", "OCCUPÉ")</f>
        <v>LIBRE</v>
      </c>
      <c r="T159" s="54" t="str">
        <f>IF(ISBLANK(Tableau!$AI$159), "LIBRE", "OCCUPÉ")</f>
        <v>OCCUPÉ</v>
      </c>
      <c r="U159" s="54" t="str">
        <f>IF(ISBLANK(Tableau!$AK$159), "LIBRE", "OCCUPÉ")</f>
        <v>LIBRE</v>
      </c>
      <c r="V159" s="54" t="str">
        <f>IF(ISBLANK(Tableau!$AM$159), "LIBRE", "OCCUPÉ")</f>
        <v>OCCUPÉ</v>
      </c>
      <c r="W159" s="54" t="str">
        <f>IF(ISBLANK(Tableau!$AO$159), "LIBRE", "OCCUPÉ")</f>
        <v>LIBRE</v>
      </c>
      <c r="X159" s="54" t="str">
        <f>IF(ISBLANK(Tableau!$AQ$159), "LIBRE", "OCCUPÉ")</f>
        <v>OCCUPÉ</v>
      </c>
      <c r="Y159" s="52" t="str">
        <f>IF(ISBLANK(Tableau!$AS$159), "LIBRE", "OCCUPÉ")</f>
        <v>LIBRE</v>
      </c>
      <c r="Z159" s="54" t="str">
        <f>IF(ISBLANK(Tableau!$AU$159), "LIBRE", "OCCUPÉ")</f>
        <v>OCCUPÉ</v>
      </c>
      <c r="AA159" s="52" t="str">
        <f>IF(ISBLANK(Tableau!$AW$159), "LIBRE", "OCCUPÉ")</f>
        <v>LIBRE</v>
      </c>
      <c r="AB159" s="69" t="str">
        <f>IF(ISBLANK(Tableau!$AY159), "LIBRE", "OCCUPÉ")</f>
        <v>OCCUPÉ</v>
      </c>
      <c r="AC159" s="88"/>
    </row>
    <row r="160" ht="21.75" customHeight="1">
      <c r="A160" s="72">
        <f>Tableau!A160</f>
        <v>507</v>
      </c>
      <c r="B160" s="73" t="str">
        <f>VLOOKUP($A160,LocalisationRemorque,2,0)</f>
        <v>La Roche en Ardenne</v>
      </c>
      <c r="C160" s="74" t="str">
        <f>VLOOKUP($A160,LocalisationRemorque,3,0)</f>
        <v>Vecmont</v>
      </c>
      <c r="D160" s="75" t="str">
        <f>CONCATENATE(VLOOKUP($A160,LocalisationRemorque,6,0)," ► ",VLOOKUP($A160,LocalisationRemorque,5,0))</f>
        <v>La Roche en Ardenne ► Saint-Hubert</v>
      </c>
      <c r="E160" s="54" t="str">
        <f>IF(ISBLANK(Tableau!$E$160), "LIBRE", "OCCUPÉ")</f>
        <v>OCCUPÉ</v>
      </c>
      <c r="F160" s="52" t="str">
        <f>IF(ISBLANK(Tableau!$G$160), "LIBRE", "OCCUPÉ")</f>
        <v>LIBRE</v>
      </c>
      <c r="G160" s="54" t="str">
        <f>IF(ISBLANK(Tableau!$I$160), "LIBRE", "OCCUPÉ")</f>
        <v>OCCUPÉ</v>
      </c>
      <c r="H160" s="52" t="str">
        <f>IF(ISBLANK(Tableau!$K$160), "LIBRE", "OCCUPÉ")</f>
        <v>LIBRE</v>
      </c>
      <c r="I160" s="54" t="str">
        <f>IF(ISBLANK(Tableau!$M$160), "LIBRE", "OCCUPÉ")</f>
        <v>OCCUPÉ</v>
      </c>
      <c r="J160" s="52" t="str">
        <f>IF(ISBLANK(Tableau!$O$160), "LIBRE", "OCCUPÉ")</f>
        <v>LIBRE</v>
      </c>
      <c r="K160" s="54" t="str">
        <f>IF(ISBLANK(Tableau!$Q$160), "LIBRE", "OCCUPÉ")</f>
        <v>OCCUPÉ</v>
      </c>
      <c r="L160" s="52" t="str">
        <f>IF(ISBLANK(Tableau!$S$160), "LIBRE", "OCCUPÉ")</f>
        <v>LIBRE</v>
      </c>
      <c r="M160" s="54" t="str">
        <f>IF(ISBLANK(Tableau!$U$160), "LIBRE", "OCCUPÉ")</f>
        <v>OCCUPÉ</v>
      </c>
      <c r="N160" s="52" t="str">
        <f>IF(ISBLANK(Tableau!$W$160), "LIBRE", "OCCUPÉ")</f>
        <v>LIBRE</v>
      </c>
      <c r="O160" s="54" t="str">
        <f>IF(ISBLANK(Tableau!$Y$160), "LIBRE", "OCCUPÉ")</f>
        <v>OCCUPÉ</v>
      </c>
      <c r="P160" s="52" t="str">
        <f>IF(ISBLANK(Tableau!$AA$160), "LIBRE", "OCCUPÉ")</f>
        <v>LIBRE</v>
      </c>
      <c r="Q160" s="54" t="str">
        <f>IF(ISBLANK(Tableau!$AC$160), "LIBRE", "OCCUPÉ")</f>
        <v>OCCUPÉ</v>
      </c>
      <c r="R160" s="54" t="str">
        <f>IF(ISBLANK(Tableau!$AE$160), "LIBRE", "OCCUPÉ")</f>
        <v>LIBRE</v>
      </c>
      <c r="S160" s="54" t="str">
        <f>IF(ISBLANK(Tableau!$AG$160), "LIBRE", "OCCUPÉ")</f>
        <v>OCCUPÉ</v>
      </c>
      <c r="T160" s="54" t="str">
        <f>IF(ISBLANK(Tableau!$AI$160), "LIBRE", "OCCUPÉ")</f>
        <v>LIBRE</v>
      </c>
      <c r="U160" s="54" t="str">
        <f>IF(ISBLANK(Tableau!$AK$160), "LIBRE", "OCCUPÉ")</f>
        <v>OCCUPÉ</v>
      </c>
      <c r="V160" s="52" t="str">
        <f>IF(ISBLANK(Tableau!$AM$160), "LIBRE", "OCCUPÉ")</f>
        <v>LIBRE</v>
      </c>
      <c r="W160" s="54" t="str">
        <f>IF(ISBLANK(Tableau!$AO$160), "LIBRE", "OCCUPÉ")</f>
        <v>OCCUPÉ</v>
      </c>
      <c r="X160" s="54" t="str">
        <f>IF(ISBLANK(Tableau!$AQ$160), "LIBRE", "OCCUPÉ")</f>
        <v>LIBRE</v>
      </c>
      <c r="Y160" s="54" t="str">
        <f>IF(ISBLANK(Tableau!$AS$160), "LIBRE", "OCCUPÉ")</f>
        <v>OCCUPÉ</v>
      </c>
      <c r="Z160" s="52" t="str">
        <f>IF(ISBLANK(Tableau!$AU$160), "LIBRE", "OCCUPÉ")</f>
        <v>LIBRE</v>
      </c>
      <c r="AA160" s="54" t="str">
        <f>IF(ISBLANK(Tableau!$AW$160), "LIBRE", "OCCUPÉ")</f>
        <v>OCCUPÉ</v>
      </c>
      <c r="AB160" s="76" t="str">
        <f>IF(ISBLANK(Tableau!$AY160), "LIBRE", "OCCUPÉ")</f>
        <v>LIBRE</v>
      </c>
      <c r="AC160" s="77" t="s">
        <v>17</v>
      </c>
    </row>
    <row r="161" ht="21.75" customHeight="1">
      <c r="A161" s="40">
        <f>Tableau!A161</f>
        <v>508</v>
      </c>
      <c r="B161" s="46" t="str">
        <f>VLOOKUP($A161,LocalisationRemorque,2,0)</f>
        <v>Etalle</v>
      </c>
      <c r="C161" s="47" t="str">
        <f>VLOOKUP($A161,LocalisationRemorque,3,0)</f>
        <v>Vance</v>
      </c>
      <c r="D161" s="49" t="str">
        <f>CONCATENATE(VLOOKUP($A161,LocalisationRemorque,6,0)," ► ",VLOOKUP($A161,LocalisationRemorque,5,0))</f>
        <v>Arlon ► Étalle</v>
      </c>
      <c r="E161" s="52" t="str">
        <f>IF(ISBLANK(Tableau!$E$161), "LIBRE", "OCCUPÉ")</f>
        <v>LIBRE</v>
      </c>
      <c r="F161" s="54" t="str">
        <f>IF(ISBLANK(Tableau!$G$161), "LIBRE", "OCCUPÉ")</f>
        <v>OCCUPÉ</v>
      </c>
      <c r="G161" s="52" t="str">
        <f>IF(ISBLANK(Tableau!$I$161), "LIBRE", "OCCUPÉ")</f>
        <v>LIBRE</v>
      </c>
      <c r="H161" s="54" t="str">
        <f>IF(ISBLANK(Tableau!$K$161), "LIBRE", "OCCUPÉ")</f>
        <v>OCCUPÉ</v>
      </c>
      <c r="I161" s="54" t="str">
        <f>IF(ISBLANK(Tableau!$M$161), "LIBRE", "OCCUPÉ")</f>
        <v>LIBRE</v>
      </c>
      <c r="J161" s="54" t="str">
        <f>IF(ISBLANK(Tableau!$O$161), "LIBRE", "OCCUPÉ")</f>
        <v>OCCUPÉ</v>
      </c>
      <c r="K161" s="52" t="str">
        <f>IF(ISBLANK(Tableau!$Q$161), "LIBRE", "OCCUPÉ")</f>
        <v>LIBRE</v>
      </c>
      <c r="L161" s="54" t="str">
        <f>IF(ISBLANK(Tableau!$S$161), "LIBRE", "OCCUPÉ")</f>
        <v>OCCUPÉ</v>
      </c>
      <c r="M161" s="54" t="str">
        <f>IF(ISBLANK(Tableau!$U$161), "LIBRE", "OCCUPÉ")</f>
        <v>LIBRE</v>
      </c>
      <c r="N161" s="54" t="str">
        <f>IF(ISBLANK(Tableau!$W$161), "LIBRE", "OCCUPÉ")</f>
        <v>OCCUPÉ</v>
      </c>
      <c r="O161" s="54" t="str">
        <f>IF(ISBLANK(Tableau!$Y$161), "LIBRE", "OCCUPÉ")</f>
        <v>LIBRE</v>
      </c>
      <c r="P161" s="54" t="str">
        <f>IF(ISBLANK(Tableau!$AA$161), "LIBRE", "OCCUPÉ")</f>
        <v>OCCUPÉ</v>
      </c>
      <c r="Q161" s="54" t="str">
        <f>IF(ISBLANK(Tableau!$AC$161), "LIBRE", "OCCUPÉ")</f>
        <v>LIBRE</v>
      </c>
      <c r="R161" s="54" t="str">
        <f>IF(ISBLANK(Tableau!$AE$161), "LIBRE", "OCCUPÉ")</f>
        <v>OCCUPÉ</v>
      </c>
      <c r="S161" s="52" t="str">
        <f>IF(ISBLANK(Tableau!$AG$161), "LIBRE", "OCCUPÉ")</f>
        <v>LIBRE</v>
      </c>
      <c r="T161" s="54" t="str">
        <f>IF(ISBLANK(Tableau!$AI$161), "LIBRE", "OCCUPÉ")</f>
        <v>OCCUPÉ</v>
      </c>
      <c r="U161" s="54" t="str">
        <f>IF(ISBLANK(Tableau!$AK$161), "LIBRE", "OCCUPÉ")</f>
        <v>LIBRE</v>
      </c>
      <c r="V161" s="54" t="str">
        <f>IF(ISBLANK(Tableau!$AM$161), "LIBRE", "OCCUPÉ")</f>
        <v>OCCUPÉ</v>
      </c>
      <c r="W161" s="52" t="str">
        <f>IF(ISBLANK(Tableau!$AO$161), "LIBRE", "OCCUPÉ")</f>
        <v>LIBRE</v>
      </c>
      <c r="X161" s="54" t="str">
        <f>IF(ISBLANK(Tableau!$AQ$161), "LIBRE", "OCCUPÉ")</f>
        <v>OCCUPÉ</v>
      </c>
      <c r="Y161" s="52" t="str">
        <f>IF(ISBLANK(Tableau!$AS$161), "LIBRE", "OCCUPÉ")</f>
        <v>LIBRE</v>
      </c>
      <c r="Z161" s="54" t="str">
        <f>IF(ISBLANK(Tableau!$AU$161), "LIBRE", "OCCUPÉ")</f>
        <v>OCCUPÉ</v>
      </c>
      <c r="AA161" s="52" t="str">
        <f>IF(ISBLANK(Tableau!$AW$161), "LIBRE", "OCCUPÉ")</f>
        <v>LIBRE</v>
      </c>
      <c r="AB161" s="69" t="str">
        <f>IF(ISBLANK(Tableau!$AY161), "LIBRE", "OCCUPÉ")</f>
        <v>OCCUPÉ</v>
      </c>
      <c r="AC161" s="88"/>
    </row>
    <row r="162" ht="21.75" customHeight="1">
      <c r="A162" s="72">
        <f>Tableau!A162</f>
        <v>509</v>
      </c>
      <c r="B162" s="73" t="str">
        <f>VLOOKUP($A162,LocalisationRemorque,2,0)</f>
        <v>Gouvy</v>
      </c>
      <c r="C162" s="74" t="str">
        <f>VLOOKUP($A162,LocalisationRemorque,3,0)</f>
        <v>Cherain</v>
      </c>
      <c r="D162" s="75" t="str">
        <f>CONCATENATE(VLOOKUP($A162,LocalisationRemorque,6,0)," ► ",VLOOKUP($A162,LocalisationRemorque,5,0))</f>
        <v>Houffalize ► Gouvy</v>
      </c>
      <c r="E162" s="52" t="str">
        <f>IF(ISBLANK(Tableau!$E$162), "LIBRE", "OCCUPÉ")</f>
        <v>LIBRE</v>
      </c>
      <c r="F162" s="52" t="str">
        <f>IF(ISBLANK(Tableau!$G$162), "LIBRE", "OCCUPÉ")</f>
        <v>LIBRE</v>
      </c>
      <c r="G162" s="54" t="str">
        <f>IF(ISBLANK(Tableau!$I$162), "LIBRE", "OCCUPÉ")</f>
        <v>LIBRE</v>
      </c>
      <c r="H162" s="52" t="str">
        <f>IF(ISBLANK(Tableau!$K$162), "LIBRE", "OCCUPÉ")</f>
        <v>LIBRE</v>
      </c>
      <c r="I162" s="52" t="str">
        <f>IF(ISBLANK(Tableau!$M$162), "LIBRE", "OCCUPÉ")</f>
        <v>LIBRE</v>
      </c>
      <c r="J162" s="52" t="str">
        <f>IF(ISBLANK(Tableau!$O$162), "LIBRE", "OCCUPÉ")</f>
        <v>LIBRE</v>
      </c>
      <c r="K162" s="54" t="str">
        <f>IF(ISBLANK(Tableau!$Q$162), "LIBRE", "OCCUPÉ")</f>
        <v>LIBRE</v>
      </c>
      <c r="L162" s="52" t="str">
        <f>IF(ISBLANK(Tableau!$S$162), "LIBRE", "OCCUPÉ")</f>
        <v>LIBRE</v>
      </c>
      <c r="M162" s="54" t="str">
        <f>IF(ISBLANK(Tableau!$U$162), "LIBRE", "OCCUPÉ")</f>
        <v>LIBRE</v>
      </c>
      <c r="N162" s="52" t="str">
        <f>IF(ISBLANK(Tableau!$W$162), "LIBRE", "OCCUPÉ")</f>
        <v>LIBRE</v>
      </c>
      <c r="O162" s="54" t="str">
        <f>IF(ISBLANK(Tableau!$Y$162), "LIBRE", "OCCUPÉ")</f>
        <v>LIBRE</v>
      </c>
      <c r="P162" s="52" t="str">
        <f>IF(ISBLANK(Tableau!$AA$162), "LIBRE", "OCCUPÉ")</f>
        <v>LIBRE</v>
      </c>
      <c r="Q162" s="52" t="str">
        <f>IF(ISBLANK(Tableau!$AC$162), "LIBRE", "OCCUPÉ")</f>
        <v>LIBRE</v>
      </c>
      <c r="R162" s="52" t="str">
        <f>IF(ISBLANK(Tableau!$AE$162), "LIBRE", "OCCUPÉ")</f>
        <v>LIBRE</v>
      </c>
      <c r="S162" s="52" t="str">
        <f>IF(ISBLANK(Tableau!$AG$162), "LIBRE", "OCCUPÉ")</f>
        <v>LIBRE</v>
      </c>
      <c r="T162" s="52" t="str">
        <f>IF(ISBLANK(Tableau!$AI$162), "LIBRE", "OCCUPÉ")</f>
        <v>LIBRE</v>
      </c>
      <c r="U162" s="54" t="str">
        <f>IF(ISBLANK(Tableau!$AK$162), "LIBRE", "OCCUPÉ")</f>
        <v>LIBRE</v>
      </c>
      <c r="V162" s="52" t="str">
        <f>IF(ISBLANK(Tableau!$AM$162), "LIBRE", "OCCUPÉ")</f>
        <v>LIBRE</v>
      </c>
      <c r="W162" s="52" t="str">
        <f>IF(ISBLANK(Tableau!$AO$162), "LIBRE", "OCCUPÉ")</f>
        <v>LIBRE</v>
      </c>
      <c r="X162" s="52" t="str">
        <f>IF(ISBLANK(Tableau!$AQ$162), "LIBRE", "OCCUPÉ")</f>
        <v>LIBRE</v>
      </c>
      <c r="Y162" s="52" t="str">
        <f>IF(ISBLANK(Tableau!$AS$162), "LIBRE", "OCCUPÉ")</f>
        <v>LIBRE</v>
      </c>
      <c r="Z162" s="52" t="str">
        <f>IF(ISBLANK(Tableau!$AU$162), "LIBRE", "OCCUPÉ")</f>
        <v>LIBRE</v>
      </c>
      <c r="AA162" s="52" t="str">
        <f>IF(ISBLANK(Tableau!$AW$162), "LIBRE", "OCCUPÉ")</f>
        <v>LIBRE</v>
      </c>
      <c r="AB162" s="76" t="str">
        <f>IF(ISBLANK(Tableau!$AY162), "LIBRE", "OCCUPÉ")</f>
        <v>LIBRE</v>
      </c>
      <c r="AC162" s="77" t="s">
        <v>17</v>
      </c>
    </row>
    <row r="163" ht="21.75" customHeight="1">
      <c r="A163" s="40">
        <f>Tableau!A163</f>
        <v>510</v>
      </c>
      <c r="B163" s="46" t="str">
        <f>VLOOKUP($A163,LocalisationRemorque,2,0)</f>
        <v>Libramont</v>
      </c>
      <c r="C163" s="47" t="str">
        <f>VLOOKUP($A163,LocalisationRemorque,3,0)</f>
        <v>Verlaine</v>
      </c>
      <c r="D163" s="49" t="str">
        <f>CONCATENATE(VLOOKUP($A163,LocalisationRemorque,6,0)," ► ",VLOOKUP($A163,LocalisationRemorque,5,0))</f>
        <v>Libramont ► Neufchateau</v>
      </c>
      <c r="E163" s="54" t="str">
        <f>IF(ISBLANK(Tableau!$E$163), "LIBRE", "OCCUPÉ")</f>
        <v>OCCUPÉ</v>
      </c>
      <c r="F163" s="54" t="str">
        <f>IF(ISBLANK(Tableau!$G$163), "LIBRE", "OCCUPÉ")</f>
        <v>LIBRE</v>
      </c>
      <c r="G163" s="54" t="str">
        <f>IF(ISBLANK(Tableau!$I$163), "LIBRE", "OCCUPÉ")</f>
        <v>OCCUPÉ</v>
      </c>
      <c r="H163" s="54" t="str">
        <f>IF(ISBLANK(Tableau!$K$163), "LIBRE", "OCCUPÉ")</f>
        <v>LIBRE</v>
      </c>
      <c r="I163" s="54" t="str">
        <f>IF(ISBLANK(Tableau!$M$163), "LIBRE", "OCCUPÉ")</f>
        <v>OCCUPÉ</v>
      </c>
      <c r="J163" s="54" t="str">
        <f>IF(ISBLANK(Tableau!$O$163), "LIBRE", "OCCUPÉ")</f>
        <v>LIBRE</v>
      </c>
      <c r="K163" s="54" t="str">
        <f>IF(ISBLANK(Tableau!$Q$163), "LIBRE", "OCCUPÉ")</f>
        <v>OCCUPÉ</v>
      </c>
      <c r="L163" s="54" t="str">
        <f>IF(ISBLANK(Tableau!$S$163), "LIBRE", "OCCUPÉ")</f>
        <v>LIBRE</v>
      </c>
      <c r="M163" s="54" t="str">
        <f>IF(ISBLANK(Tableau!$U$163), "LIBRE", "OCCUPÉ")</f>
        <v>OCCUPÉ</v>
      </c>
      <c r="N163" s="54" t="str">
        <f>IF(ISBLANK(Tableau!$W$163), "LIBRE", "OCCUPÉ")</f>
        <v>LIBRE</v>
      </c>
      <c r="O163" s="54" t="str">
        <f>IF(ISBLANK(Tableau!$Y$163), "LIBRE", "OCCUPÉ")</f>
        <v>OCCUPÉ</v>
      </c>
      <c r="P163" s="54" t="str">
        <f>IF(ISBLANK(Tableau!$AA$163), "LIBRE", "OCCUPÉ")</f>
        <v>LIBRE</v>
      </c>
      <c r="Q163" s="54" t="str">
        <f>IF(ISBLANK(Tableau!$AC$163), "LIBRE", "OCCUPÉ")</f>
        <v>OCCUPÉ</v>
      </c>
      <c r="R163" s="54" t="str">
        <f>IF(ISBLANK(Tableau!$AE$163), "LIBRE", "OCCUPÉ")</f>
        <v>LIBRE</v>
      </c>
      <c r="S163" s="54" t="str">
        <f>IF(ISBLANK(Tableau!$AG$163), "LIBRE", "OCCUPÉ")</f>
        <v>OCCUPÉ</v>
      </c>
      <c r="T163" s="54" t="str">
        <f>IF(ISBLANK(Tableau!$AI$163), "LIBRE", "OCCUPÉ")</f>
        <v>LIBRE</v>
      </c>
      <c r="U163" s="54" t="str">
        <f>IF(ISBLANK(Tableau!$AK$163), "LIBRE", "OCCUPÉ")</f>
        <v>OCCUPÉ</v>
      </c>
      <c r="V163" s="54" t="str">
        <f>IF(ISBLANK(Tableau!$AM$163), "LIBRE", "OCCUPÉ")</f>
        <v>LIBRE</v>
      </c>
      <c r="W163" s="54" t="str">
        <f>IF(ISBLANK(Tableau!$AO$163), "LIBRE", "OCCUPÉ")</f>
        <v>OCCUPÉ</v>
      </c>
      <c r="X163" s="54" t="str">
        <f>IF(ISBLANK(Tableau!$AQ$163), "LIBRE", "OCCUPÉ")</f>
        <v>LIBRE</v>
      </c>
      <c r="Y163" s="54" t="str">
        <f>IF(ISBLANK(Tableau!$AS$163), "LIBRE", "OCCUPÉ")</f>
        <v>OCCUPÉ</v>
      </c>
      <c r="Z163" s="54" t="str">
        <f>IF(ISBLANK(Tableau!$AU$163), "LIBRE", "OCCUPÉ")</f>
        <v>LIBRE</v>
      </c>
      <c r="AA163" s="54" t="str">
        <f>IF(ISBLANK(Tableau!$AW$163), "LIBRE", "OCCUPÉ")</f>
        <v>OCCUPÉ</v>
      </c>
      <c r="AB163" s="69" t="str">
        <f>IF(ISBLANK(Tableau!$AY163), "LIBRE", "OCCUPÉ")</f>
        <v>LIBRE</v>
      </c>
      <c r="AC163" s="70" t="s">
        <v>17</v>
      </c>
    </row>
    <row r="164" ht="21.75" hidden="1" customHeight="1">
      <c r="A164" s="72" t="str">
        <f>Tableau!A164</f>
        <v/>
      </c>
      <c r="B164" s="73" t="str">
        <f>VLOOKUP($A164,LocalisationRemorque,2,0)</f>
        <v> Remorque non listée</v>
      </c>
      <c r="C164" s="74" t="str">
        <f>VLOOKUP($A164,LocalisationRemorque,3,0)</f>
        <v/>
      </c>
      <c r="D164" s="75" t="str">
        <f>CONCATENATE(VLOOKUP($A164,LocalisationRemorque,6,0)," ► ",VLOOKUP($A164,LocalisationRemorque,5,0))</f>
        <v> ► </v>
      </c>
      <c r="E164" s="52" t="str">
        <f>IF(ISBLANK(Tableau!$E$164), "LIBRE", "OCCUPÉ")</f>
        <v>LIBRE</v>
      </c>
      <c r="F164" s="52" t="str">
        <f>IF(ISBLANK(Tableau!$G$164), "LIBRE", "OCCUPÉ")</f>
        <v>LIBRE</v>
      </c>
      <c r="G164" s="52" t="str">
        <f>IF(ISBLANK(Tableau!$I$164), "LIBRE", "OCCUPÉ")</f>
        <v>LIBRE</v>
      </c>
      <c r="H164" s="52" t="str">
        <f>IF(ISBLANK(Tableau!$K$164), "LIBRE", "OCCUPÉ")</f>
        <v>LIBRE</v>
      </c>
      <c r="I164" s="54" t="str">
        <f>IF(ISBLANK(Tableau!$M$164), "LIBRE", "OCCUPÉ")</f>
        <v>LIBRE</v>
      </c>
      <c r="J164" s="54" t="str">
        <f>IF(ISBLANK(Tableau!$O$164), "LIBRE", "OCCUPÉ")</f>
        <v>LIBRE</v>
      </c>
      <c r="K164" s="54" t="str">
        <f>IF(ISBLANK(Tableau!$Q$164), "LIBRE", "OCCUPÉ")</f>
        <v>LIBRE</v>
      </c>
      <c r="L164" s="54" t="str">
        <f>IF(ISBLANK(Tableau!$S$164), "LIBRE", "OCCUPÉ")</f>
        <v>LIBRE</v>
      </c>
      <c r="M164" s="54" t="str">
        <f>IF(ISBLANK(Tableau!$U$164), "LIBRE", "OCCUPÉ")</f>
        <v>LIBRE</v>
      </c>
      <c r="N164" s="52" t="str">
        <f>IF(ISBLANK(Tableau!$W$164), "LIBRE", "OCCUPÉ")</f>
        <v>LIBRE</v>
      </c>
      <c r="O164" s="54" t="str">
        <f>IF(ISBLANK(Tableau!$Y$164), "LIBRE", "OCCUPÉ")</f>
        <v>LIBRE</v>
      </c>
      <c r="P164" s="52" t="str">
        <f>IF(ISBLANK(Tableau!$AA$164), "LIBRE", "OCCUPÉ")</f>
        <v>LIBRE</v>
      </c>
      <c r="Q164" s="52" t="str">
        <f>IF(ISBLANK(Tableau!$AC$164), "LIBRE", "OCCUPÉ")</f>
        <v>LIBRE</v>
      </c>
      <c r="R164" s="52" t="str">
        <f>IF(ISBLANK(Tableau!$AE$164), "LIBRE", "OCCUPÉ")</f>
        <v>LIBRE</v>
      </c>
      <c r="S164" s="52" t="str">
        <f>IF(ISBLANK(Tableau!$AG$164), "LIBRE", "OCCUPÉ")</f>
        <v>LIBRE</v>
      </c>
      <c r="T164" s="52" t="str">
        <f>IF(ISBLANK(Tableau!$AI$164), "LIBRE", "OCCUPÉ")</f>
        <v>LIBRE</v>
      </c>
      <c r="U164" s="54" t="str">
        <f>IF(ISBLANK(Tableau!$AK$164), "LIBRE", "OCCUPÉ")</f>
        <v>LIBRE</v>
      </c>
      <c r="V164" s="52" t="str">
        <f>IF(ISBLANK(Tableau!$AM$164), "LIBRE", "OCCUPÉ")</f>
        <v>LIBRE</v>
      </c>
      <c r="W164" s="54" t="str">
        <f>IF(ISBLANK(Tableau!$AO$164), "LIBRE", "OCCUPÉ")</f>
        <v>LIBRE</v>
      </c>
      <c r="X164" s="52" t="str">
        <f>IF(ISBLANK(Tableau!$AQ$164), "LIBRE", "OCCUPÉ")</f>
        <v>LIBRE</v>
      </c>
      <c r="Y164" s="52" t="str">
        <f>IF(ISBLANK(Tableau!$AS$164), "LIBRE", "OCCUPÉ")</f>
        <v>LIBRE</v>
      </c>
      <c r="Z164" s="52" t="str">
        <f>IF(ISBLANK(Tableau!$AU$164), "LIBRE", "OCCUPÉ")</f>
        <v>LIBRE</v>
      </c>
      <c r="AA164" s="54" t="str">
        <f>IF(ISBLANK(Tableau!$AW$164), "LIBRE", "OCCUPÉ")</f>
        <v>LIBRE</v>
      </c>
      <c r="AB164" s="76" t="str">
        <f>IF(ISBLANK(Tableau!$AY164), "LIBRE", "OCCUPÉ")</f>
        <v>LIBRE</v>
      </c>
      <c r="AC164" s="155"/>
    </row>
    <row r="165" ht="21.75" hidden="1" customHeight="1">
      <c r="A165" s="40" t="str">
        <f>Tableau!A165</f>
        <v/>
      </c>
      <c r="B165" s="46" t="str">
        <f>VLOOKUP($A165,LocalisationRemorque,2,0)</f>
        <v> Remorque non listée</v>
      </c>
      <c r="C165" s="47" t="str">
        <f>VLOOKUP($A165,LocalisationRemorque,3,0)</f>
        <v/>
      </c>
      <c r="D165" s="49" t="str">
        <f>CONCATENATE(VLOOKUP($A165,LocalisationRemorque,6,0)," ► ",VLOOKUP($A165,LocalisationRemorque,5,0))</f>
        <v> ► </v>
      </c>
      <c r="E165" s="54" t="str">
        <f>IF(ISBLANK(Tableau!$E$165), "LIBRE", "OCCUPÉ")</f>
        <v>LIBRE</v>
      </c>
      <c r="F165" s="54" t="str">
        <f>IF(ISBLANK(Tableau!$G$165), "LIBRE", "OCCUPÉ")</f>
        <v>LIBRE</v>
      </c>
      <c r="G165" s="52" t="str">
        <f>IF(ISBLANK(Tableau!$I$165), "LIBRE", "OCCUPÉ")</f>
        <v>LIBRE</v>
      </c>
      <c r="H165" s="52" t="str">
        <f>IF(ISBLANK(Tableau!$K$165), "LIBRE", "OCCUPÉ")</f>
        <v>LIBRE</v>
      </c>
      <c r="I165" s="54" t="str">
        <f>IF(ISBLANK(Tableau!$M$165), "LIBRE", "OCCUPÉ")</f>
        <v>LIBRE</v>
      </c>
      <c r="J165" s="52" t="str">
        <f>IF(ISBLANK(Tableau!$O$165), "LIBRE", "OCCUPÉ")</f>
        <v>LIBRE</v>
      </c>
      <c r="K165" s="54" t="str">
        <f>IF(ISBLANK(Tableau!$Q$165), "LIBRE", "OCCUPÉ")</f>
        <v>LIBRE</v>
      </c>
      <c r="L165" s="52" t="str">
        <f>IF(ISBLANK(Tableau!$S$165), "LIBRE", "OCCUPÉ")</f>
        <v>LIBRE</v>
      </c>
      <c r="M165" s="54" t="str">
        <f>IF(ISBLANK(Tableau!$U$165), "LIBRE", "OCCUPÉ")</f>
        <v>LIBRE</v>
      </c>
      <c r="N165" s="52" t="str">
        <f>IF(ISBLANK(Tableau!$W$165), "LIBRE", "OCCUPÉ")</f>
        <v>LIBRE</v>
      </c>
      <c r="O165" s="54" t="str">
        <f>IF(ISBLANK(Tableau!$Y$165), "LIBRE", "OCCUPÉ")</f>
        <v>LIBRE</v>
      </c>
      <c r="P165" s="52" t="str">
        <f>IF(ISBLANK(Tableau!$AA$165), "LIBRE", "OCCUPÉ")</f>
        <v>LIBRE</v>
      </c>
      <c r="Q165" s="52" t="str">
        <f>IF(ISBLANK(Tableau!$AC$165), "LIBRE", "OCCUPÉ")</f>
        <v>LIBRE</v>
      </c>
      <c r="R165" s="52" t="str">
        <f>IF(ISBLANK(Tableau!$AE$165), "LIBRE", "OCCUPÉ")</f>
        <v>LIBRE</v>
      </c>
      <c r="S165" s="52" t="str">
        <f>IF(ISBLANK(Tableau!$AG$165), "LIBRE", "OCCUPÉ")</f>
        <v>LIBRE</v>
      </c>
      <c r="T165" s="52" t="str">
        <f>IF(ISBLANK(Tableau!$AI$165), "LIBRE", "OCCUPÉ")</f>
        <v>LIBRE</v>
      </c>
      <c r="U165" s="54" t="str">
        <f>IF(ISBLANK(Tableau!$AK$165), "LIBRE", "OCCUPÉ")</f>
        <v>LIBRE</v>
      </c>
      <c r="V165" s="52" t="str">
        <f>IF(ISBLANK(Tableau!$AM$165), "LIBRE", "OCCUPÉ")</f>
        <v>LIBRE</v>
      </c>
      <c r="W165" s="52" t="str">
        <f>IF(ISBLANK(Tableau!$AO$165), "LIBRE", "OCCUPÉ")</f>
        <v>LIBRE</v>
      </c>
      <c r="X165" s="52" t="str">
        <f>IF(ISBLANK(Tableau!$AQ$165), "LIBRE", "OCCUPÉ")</f>
        <v>LIBRE</v>
      </c>
      <c r="Y165" s="54" t="str">
        <f>IF(ISBLANK(Tableau!$AS$165), "LIBRE", "OCCUPÉ")</f>
        <v>LIBRE</v>
      </c>
      <c r="Z165" s="52" t="str">
        <f>IF(ISBLANK(Tableau!$AU$165), "LIBRE", "OCCUPÉ")</f>
        <v>LIBRE</v>
      </c>
      <c r="AA165" s="52" t="str">
        <f>IF(ISBLANK(Tableau!$AW$165), "LIBRE", "OCCUPÉ")</f>
        <v>LIBRE</v>
      </c>
      <c r="AB165" s="76" t="str">
        <f>IF(ISBLANK(Tableau!$AY165), "LIBRE", "OCCUPÉ")</f>
        <v>LIBRE</v>
      </c>
      <c r="AC165" s="70" t="s">
        <v>17</v>
      </c>
    </row>
    <row r="166" ht="21.75" customHeight="1">
      <c r="A166" s="72">
        <f>Tableau!A166</f>
        <v>527</v>
      </c>
      <c r="B166" s="73" t="str">
        <f>VLOOKUP($A166,LocalisationRemorque,2,0)</f>
        <v>Tenneville</v>
      </c>
      <c r="C166" s="74" t="str">
        <f>VLOOKUP($A166,LocalisationRemorque,3,0)</f>
        <v>Moriville</v>
      </c>
      <c r="D166" s="75" t="str">
        <f>CONCATENATE(VLOOKUP($A166,LocalisationRemorque,6,0)," ► ",VLOOKUP($A166,LocalisationRemorque,5,0))</f>
        <v>Barrière Hinck ► Tenneville</v>
      </c>
      <c r="E166" s="52" t="str">
        <f>IF(ISBLANK(Tableau!$E$166), "LIBRE", "OCCUPÉ")</f>
        <v>LIBRE</v>
      </c>
      <c r="F166" s="52" t="str">
        <f>IF(ISBLANK(Tableau!$G$166), "LIBRE", "OCCUPÉ")</f>
        <v>LIBRE</v>
      </c>
      <c r="G166" s="54" t="str">
        <f>IF(ISBLANK(Tableau!$I$166), "LIBRE", "OCCUPÉ")</f>
        <v>LIBRE</v>
      </c>
      <c r="H166" s="52" t="str">
        <f>IF(ISBLANK(Tableau!$K$166), "LIBRE", "OCCUPÉ")</f>
        <v>LIBRE</v>
      </c>
      <c r="I166" s="54" t="str">
        <f>IF(ISBLANK(Tableau!$M$166), "LIBRE", "OCCUPÉ")</f>
        <v>LIBRE</v>
      </c>
      <c r="J166" s="54" t="str">
        <f>IF(ISBLANK(Tableau!$O$166), "LIBRE", "OCCUPÉ")</f>
        <v>LIBRE</v>
      </c>
      <c r="K166" s="54" t="str">
        <f>IF(ISBLANK(Tableau!$Q$166), "LIBRE", "OCCUPÉ")</f>
        <v>LIBRE</v>
      </c>
      <c r="L166" s="52" t="str">
        <f>IF(ISBLANK(Tableau!$S$166), "LIBRE", "OCCUPÉ")</f>
        <v>LIBRE</v>
      </c>
      <c r="M166" s="54" t="str">
        <f>IF(ISBLANK(Tableau!$U$166), "LIBRE", "OCCUPÉ")</f>
        <v>LIBRE</v>
      </c>
      <c r="N166" s="54" t="str">
        <f>IF(ISBLANK(Tableau!$W$166), "LIBRE", "OCCUPÉ")</f>
        <v>LIBRE</v>
      </c>
      <c r="O166" s="52" t="str">
        <f>IF(ISBLANK(Tableau!$Y$166), "LIBRE", "OCCUPÉ")</f>
        <v>LIBRE</v>
      </c>
      <c r="P166" s="54" t="str">
        <f>IF(ISBLANK(Tableau!$AA$166), "LIBRE", "OCCUPÉ")</f>
        <v>LIBRE</v>
      </c>
      <c r="Q166" s="54" t="str">
        <f>IF(ISBLANK(Tableau!$AC$166), "LIBRE", "OCCUPÉ")</f>
        <v>LIBRE</v>
      </c>
      <c r="R166" s="54" t="str">
        <f>IF(ISBLANK(Tableau!$AE$166), "LIBRE", "OCCUPÉ")</f>
        <v>LIBRE</v>
      </c>
      <c r="S166" s="54" t="str">
        <f>IF(ISBLANK(Tableau!$AG$166), "LIBRE", "OCCUPÉ")</f>
        <v>LIBRE</v>
      </c>
      <c r="T166" s="52" t="str">
        <f>IF(ISBLANK(Tableau!$AI$166), "LIBRE", "OCCUPÉ")</f>
        <v>LIBRE</v>
      </c>
      <c r="U166" s="52" t="str">
        <f>IF(ISBLANK(Tableau!$AK$166), "LIBRE", "OCCUPÉ")</f>
        <v>LIBRE</v>
      </c>
      <c r="V166" s="52" t="str">
        <f>IF(ISBLANK(Tableau!$AM$166), "LIBRE", "OCCUPÉ")</f>
        <v>LIBRE</v>
      </c>
      <c r="W166" s="54" t="str">
        <f>IF(ISBLANK(Tableau!$AO$166), "LIBRE", "OCCUPÉ")</f>
        <v>LIBRE</v>
      </c>
      <c r="X166" s="54" t="str">
        <f>IF(ISBLANK(Tableau!$AQ$166), "LIBRE", "OCCUPÉ")</f>
        <v>LIBRE</v>
      </c>
      <c r="Y166" s="52" t="str">
        <f>IF(ISBLANK(Tableau!$AS$166), "LIBRE", "OCCUPÉ")</f>
        <v>LIBRE</v>
      </c>
      <c r="Z166" s="52" t="str">
        <f>IF(ISBLANK(Tableau!$AU$166), "LIBRE", "OCCUPÉ")</f>
        <v>LIBRE</v>
      </c>
      <c r="AA166" s="52" t="str">
        <f>IF(ISBLANK(Tableau!$AW$166), "LIBRE", "OCCUPÉ")</f>
        <v>LIBRE</v>
      </c>
      <c r="AB166" s="76" t="str">
        <f>IF(ISBLANK(Tableau!$AY166), "LIBRE", "OCCUPÉ")</f>
        <v>LIBRE</v>
      </c>
      <c r="AC166" s="77" t="s">
        <v>17</v>
      </c>
    </row>
    <row r="167" ht="21.75" customHeight="1">
      <c r="A167" s="40">
        <f>Tableau!A167</f>
        <v>512</v>
      </c>
      <c r="B167" s="46" t="str">
        <f>VLOOKUP($A167,LocalisationRemorque,2,0)</f>
        <v>Tenneville</v>
      </c>
      <c r="C167" s="47" t="str">
        <f>VLOOKUP($A167,LocalisationRemorque,3,0)</f>
        <v>Tenneville</v>
      </c>
      <c r="D167" s="49" t="str">
        <f>CONCATENATE(VLOOKUP($A167,LocalisationRemorque,6,0)," ► ",VLOOKUP($A167,LocalisationRemorque,5,0))</f>
        <v>Marche-en-Famenne ► Bastogne</v>
      </c>
      <c r="E167" s="54" t="str">
        <f>IF(ISBLANK(Tableau!$E$167), "LIBRE", "OCCUPÉ")</f>
        <v>OCCUPÉ</v>
      </c>
      <c r="F167" s="54" t="str">
        <f>IF(ISBLANK(Tableau!$G$167), "LIBRE", "OCCUPÉ")</f>
        <v>LIBRE</v>
      </c>
      <c r="G167" s="54" t="str">
        <f>IF(ISBLANK(Tableau!$I$167), "LIBRE", "OCCUPÉ")</f>
        <v>OCCUPÉ</v>
      </c>
      <c r="H167" s="52" t="str">
        <f>IF(ISBLANK(Tableau!$K$167), "LIBRE", "OCCUPÉ")</f>
        <v>LIBRE</v>
      </c>
      <c r="I167" s="54" t="str">
        <f>IF(ISBLANK(Tableau!$M$167), "LIBRE", "OCCUPÉ")</f>
        <v>OCCUPÉ</v>
      </c>
      <c r="J167" s="54" t="str">
        <f>IF(ISBLANK(Tableau!$O$167), "LIBRE", "OCCUPÉ")</f>
        <v>LIBRE</v>
      </c>
      <c r="K167" s="54" t="str">
        <f>IF(ISBLANK(Tableau!$Q$167), "LIBRE", "OCCUPÉ")</f>
        <v>OCCUPÉ</v>
      </c>
      <c r="L167" s="54" t="str">
        <f>IF(ISBLANK(Tableau!$S$167), "LIBRE", "OCCUPÉ")</f>
        <v>LIBRE</v>
      </c>
      <c r="M167" s="54" t="str">
        <f>IF(ISBLANK(Tableau!$U$167), "LIBRE", "OCCUPÉ")</f>
        <v>OCCUPÉ</v>
      </c>
      <c r="N167" s="54" t="str">
        <f>IF(ISBLANK(Tableau!$W$167), "LIBRE", "OCCUPÉ")</f>
        <v>LIBRE</v>
      </c>
      <c r="O167" s="54" t="str">
        <f>IF(ISBLANK(Tableau!$Y$167), "LIBRE", "OCCUPÉ")</f>
        <v>OCCUPÉ</v>
      </c>
      <c r="P167" s="52" t="str">
        <f>IF(ISBLANK(Tableau!$AA$167), "LIBRE", "OCCUPÉ")</f>
        <v>LIBRE</v>
      </c>
      <c r="Q167" s="54" t="str">
        <f>IF(ISBLANK(Tableau!$AC$167), "LIBRE", "OCCUPÉ")</f>
        <v>OCCUPÉ</v>
      </c>
      <c r="R167" s="52" t="str">
        <f>IF(ISBLANK(Tableau!$AE$167), "LIBRE", "OCCUPÉ")</f>
        <v>OCCUPÉ</v>
      </c>
      <c r="S167" s="54" t="str">
        <f>IF(ISBLANK(Tableau!$AG$167), "LIBRE", "OCCUPÉ")</f>
        <v>OCCUPÉ</v>
      </c>
      <c r="T167" s="52" t="str">
        <f>IF(ISBLANK(Tableau!$AI$167), "LIBRE", "OCCUPÉ")</f>
        <v>OCCUPÉ</v>
      </c>
      <c r="U167" s="54" t="str">
        <f>IF(ISBLANK(Tableau!$AK$167), "LIBRE", "OCCUPÉ")</f>
        <v>LIBRE</v>
      </c>
      <c r="V167" s="52" t="str">
        <f>IF(ISBLANK(Tableau!$AM$167), "LIBRE", "OCCUPÉ")</f>
        <v>OCCUPÉ</v>
      </c>
      <c r="W167" s="54" t="str">
        <f>IF(ISBLANK(Tableau!$AO$167), "LIBRE", "OCCUPÉ")</f>
        <v>OCCUPÉ</v>
      </c>
      <c r="X167" s="54" t="str">
        <f>IF(ISBLANK(Tableau!$AQ$167), "LIBRE", "OCCUPÉ")</f>
        <v>OCCUPÉ</v>
      </c>
      <c r="Y167" s="54" t="str">
        <f>IF(ISBLANK(Tableau!$AS$167), "LIBRE", "OCCUPÉ")</f>
        <v>OCCUPÉ</v>
      </c>
      <c r="Z167" s="52" t="str">
        <f>IF(ISBLANK(Tableau!$AU$167), "LIBRE", "OCCUPÉ")</f>
        <v>LIBRE</v>
      </c>
      <c r="AA167" s="54" t="str">
        <f>IF(ISBLANK(Tableau!$AW$167), "LIBRE", "OCCUPÉ")</f>
        <v>OCCUPÉ</v>
      </c>
      <c r="AB167" s="69" t="str">
        <f>IF(ISBLANK(Tableau!$AY167), "LIBRE", "OCCUPÉ")</f>
        <v>LIBRE</v>
      </c>
      <c r="AC167" s="70" t="s">
        <v>17</v>
      </c>
    </row>
    <row r="168" ht="21.75" customHeight="1">
      <c r="A168" s="72">
        <f>Tableau!A168</f>
        <v>513</v>
      </c>
      <c r="B168" s="73" t="str">
        <f>VLOOKUP($A168,LocalisationRemorque,2,0)</f>
        <v>Saint Vith</v>
      </c>
      <c r="C168" s="74" t="str">
        <f>VLOOKUP($A168,LocalisationRemorque,3,0)</f>
        <v>Hotel Furellenhof </v>
      </c>
      <c r="D168" s="75" t="str">
        <f>CONCATENATE(VLOOKUP($A168,LocalisationRemorque,6,0)," ► ",VLOOKUP($A168,LocalisationRemorque,5,0))</f>
        <v>Saint-Vith ► Luxembourg</v>
      </c>
      <c r="E168" s="52" t="str">
        <f>IF(ISBLANK(Tableau!$E$168), "LIBRE", "OCCUPÉ")</f>
        <v>LIBRE</v>
      </c>
      <c r="F168" s="52" t="str">
        <f>IF(ISBLANK(Tableau!$G$168), "LIBRE", "OCCUPÉ")</f>
        <v>LIBRE</v>
      </c>
      <c r="G168" s="52" t="str">
        <f>IF(ISBLANK(Tableau!$I$168), "LIBRE", "OCCUPÉ")</f>
        <v>LIBRE</v>
      </c>
      <c r="H168" s="52" t="str">
        <f>IF(ISBLANK(Tableau!$K$168), "LIBRE", "OCCUPÉ")</f>
        <v>LIBRE</v>
      </c>
      <c r="I168" s="54" t="str">
        <f>IF(ISBLANK(Tableau!$M$168), "LIBRE", "OCCUPÉ")</f>
        <v>LIBRE</v>
      </c>
      <c r="J168" s="54" t="str">
        <f>IF(ISBLANK(Tableau!$O$168), "LIBRE", "OCCUPÉ")</f>
        <v>LIBRE</v>
      </c>
      <c r="K168" s="54" t="str">
        <f>IF(ISBLANK(Tableau!$Q$168), "LIBRE", "OCCUPÉ")</f>
        <v>LIBRE</v>
      </c>
      <c r="L168" s="52" t="str">
        <f>IF(ISBLANK(Tableau!$S$168), "LIBRE", "OCCUPÉ")</f>
        <v>LIBRE</v>
      </c>
      <c r="M168" s="54" t="str">
        <f>IF(ISBLANK(Tableau!$U$168), "LIBRE", "OCCUPÉ")</f>
        <v>LIBRE</v>
      </c>
      <c r="N168" s="52" t="str">
        <f>IF(ISBLANK(Tableau!$W$168), "LIBRE", "OCCUPÉ")</f>
        <v>LIBRE</v>
      </c>
      <c r="O168" s="54" t="str">
        <f>IF(ISBLANK(Tableau!$Y$168), "LIBRE", "OCCUPÉ")</f>
        <v>LIBRE</v>
      </c>
      <c r="P168" s="52" t="str">
        <f>IF(ISBLANK(Tableau!$AA$168), "LIBRE", "OCCUPÉ")</f>
        <v>LIBRE</v>
      </c>
      <c r="Q168" s="54" t="str">
        <f>IF(ISBLANK(Tableau!$AC$168), "LIBRE", "OCCUPÉ")</f>
        <v>LIBRE</v>
      </c>
      <c r="R168" s="54" t="str">
        <f>IF(ISBLANK(Tableau!$AE$168), "LIBRE", "OCCUPÉ")</f>
        <v>LIBRE</v>
      </c>
      <c r="S168" s="52" t="str">
        <f>IF(ISBLANK(Tableau!$AG$168), "LIBRE", "OCCUPÉ")</f>
        <v>LIBRE</v>
      </c>
      <c r="T168" s="52" t="str">
        <f>IF(ISBLANK(Tableau!$AI$168), "LIBRE", "OCCUPÉ")</f>
        <v>LIBRE</v>
      </c>
      <c r="U168" s="52" t="str">
        <f>IF(ISBLANK(Tableau!$AK$168), "LIBRE", "OCCUPÉ")</f>
        <v>LIBRE</v>
      </c>
      <c r="V168" s="52" t="str">
        <f>IF(ISBLANK(Tableau!$AM$168), "LIBRE", "OCCUPÉ")</f>
        <v>LIBRE</v>
      </c>
      <c r="W168" s="52" t="str">
        <f>IF(ISBLANK(Tableau!$AO$168), "LIBRE", "OCCUPÉ")</f>
        <v>LIBRE</v>
      </c>
      <c r="X168" s="52" t="str">
        <f>IF(ISBLANK(Tableau!$AQ$168), "LIBRE", "OCCUPÉ")</f>
        <v>LIBRE</v>
      </c>
      <c r="Y168" s="52" t="str">
        <f>IF(ISBLANK(Tableau!$AS$168), "LIBRE", "OCCUPÉ")</f>
        <v>LIBRE</v>
      </c>
      <c r="Z168" s="52" t="str">
        <f>IF(ISBLANK(Tableau!$AU$168), "LIBRE", "OCCUPÉ")</f>
        <v>LIBRE</v>
      </c>
      <c r="AA168" s="52" t="str">
        <f>IF(ISBLANK(Tableau!$AW$168), "LIBRE", "OCCUPÉ")</f>
        <v>LIBRE</v>
      </c>
      <c r="AB168" s="76" t="str">
        <f>IF(ISBLANK(Tableau!$AY168), "LIBRE", "OCCUPÉ")</f>
        <v>LIBRE</v>
      </c>
      <c r="AC168" s="77" t="s">
        <v>17</v>
      </c>
    </row>
    <row r="169" ht="21.75" customHeight="1">
      <c r="A169" s="40">
        <f>Tableau!A169</f>
        <v>514</v>
      </c>
      <c r="B169" s="46" t="str">
        <f>VLOOKUP($A169,LocalisationRemorque,2,0)</f>
        <v>Burg Reuland</v>
      </c>
      <c r="C169" s="47" t="str">
        <f>VLOOKUP($A169,LocalisationRemorque,3,0)</f>
        <v>East Karting </v>
      </c>
      <c r="D169" s="49" t="str">
        <f>CONCATENATE(VLOOKUP($A169,LocalisationRemorque,6,0)," ► ",VLOOKUP($A169,LocalisationRemorque,5,0))</f>
        <v>Luxembourg ► Saint Vith</v>
      </c>
      <c r="E169" s="54" t="str">
        <f>IF(ISBLANK(Tableau!$E$169), "LIBRE", "OCCUPÉ")</f>
        <v>LIBRE</v>
      </c>
      <c r="F169" s="54" t="str">
        <f>IF(ISBLANK(Tableau!$G$169), "LIBRE", "OCCUPÉ")</f>
        <v>LIBRE</v>
      </c>
      <c r="G169" s="52" t="str">
        <f>IF(ISBLANK(Tableau!$I$169), "LIBRE", "OCCUPÉ")</f>
        <v>LIBRE</v>
      </c>
      <c r="H169" s="54" t="str">
        <f>IF(ISBLANK(Tableau!$K$169), "LIBRE", "OCCUPÉ")</f>
        <v>LIBRE</v>
      </c>
      <c r="I169" s="52" t="str">
        <f>IF(ISBLANK(Tableau!$M$169), "LIBRE", "OCCUPÉ")</f>
        <v>LIBRE</v>
      </c>
      <c r="J169" s="54" t="str">
        <f>IF(ISBLANK(Tableau!$O$169), "LIBRE", "OCCUPÉ")</f>
        <v>LIBRE</v>
      </c>
      <c r="K169" s="52" t="str">
        <f>IF(ISBLANK(Tableau!$Q$169), "LIBRE", "OCCUPÉ")</f>
        <v>LIBRE</v>
      </c>
      <c r="L169" s="54" t="str">
        <f>IF(ISBLANK(Tableau!$S$169), "LIBRE", "OCCUPÉ")</f>
        <v>LIBRE</v>
      </c>
      <c r="M169" s="54" t="str">
        <f>IF(ISBLANK(Tableau!$U$169), "LIBRE", "OCCUPÉ")</f>
        <v>LIBRE</v>
      </c>
      <c r="N169" s="52" t="str">
        <f>IF(ISBLANK(Tableau!$W$169), "LIBRE", "OCCUPÉ")</f>
        <v>LIBRE</v>
      </c>
      <c r="O169" s="54" t="str">
        <f>IF(ISBLANK(Tableau!$Y$169), "LIBRE", "OCCUPÉ")</f>
        <v>LIBRE</v>
      </c>
      <c r="P169" s="54" t="str">
        <f>IF(ISBLANK(Tableau!$AA$169), "LIBRE", "OCCUPÉ")</f>
        <v>LIBRE</v>
      </c>
      <c r="Q169" s="54" t="str">
        <f>IF(ISBLANK(Tableau!$AC$169), "LIBRE", "OCCUPÉ")</f>
        <v>LIBRE</v>
      </c>
      <c r="R169" s="54" t="str">
        <f>IF(ISBLANK(Tableau!$AE$169), "LIBRE", "OCCUPÉ")</f>
        <v>LIBRE</v>
      </c>
      <c r="S169" s="54" t="str">
        <f>IF(ISBLANK(Tableau!$AG$169), "LIBRE", "OCCUPÉ")</f>
        <v>LIBRE</v>
      </c>
      <c r="T169" s="54" t="str">
        <f>IF(ISBLANK(Tableau!$AI$169), "LIBRE", "OCCUPÉ")</f>
        <v>LIBRE</v>
      </c>
      <c r="U169" s="54" t="str">
        <f>IF(ISBLANK(Tableau!$AK$169), "LIBRE", "OCCUPÉ")</f>
        <v>LIBRE</v>
      </c>
      <c r="V169" s="54" t="str">
        <f>IF(ISBLANK(Tableau!$AM$169), "LIBRE", "OCCUPÉ")</f>
        <v>LIBRE</v>
      </c>
      <c r="W169" s="52" t="str">
        <f>IF(ISBLANK(Tableau!$AO$169), "LIBRE", "OCCUPÉ")</f>
        <v>LIBRE</v>
      </c>
      <c r="X169" s="54" t="str">
        <f>IF(ISBLANK(Tableau!$AQ$169), "LIBRE", "OCCUPÉ")</f>
        <v>LIBRE</v>
      </c>
      <c r="Y169" s="54" t="str">
        <f>IF(ISBLANK(Tableau!$AS$169), "LIBRE", "OCCUPÉ")</f>
        <v>LIBRE</v>
      </c>
      <c r="Z169" s="54" t="str">
        <f>IF(ISBLANK(Tableau!$AU$169), "LIBRE", "OCCUPÉ")</f>
        <v>LIBRE</v>
      </c>
      <c r="AA169" s="52" t="str">
        <f>IF(ISBLANK(Tableau!$AW$169), "LIBRE", "OCCUPÉ")</f>
        <v>LIBRE</v>
      </c>
      <c r="AB169" s="69" t="str">
        <f>IF(ISBLANK(Tableau!$AY169), "LIBRE", "OCCUPÉ")</f>
        <v>LIBRE</v>
      </c>
      <c r="AC169" s="70" t="s">
        <v>17</v>
      </c>
    </row>
    <row r="170" ht="21.75" customHeight="1">
      <c r="A170" s="72">
        <f>Tableau!A170</f>
        <v>515</v>
      </c>
      <c r="B170" s="73" t="str">
        <f>VLOOKUP($A170,LocalisationRemorque,2,0)</f>
        <v>Burg Reuland</v>
      </c>
      <c r="C170" s="74" t="str">
        <f>VLOOKUP($A170,LocalisationRemorque,3,0)</f>
        <v>Durler </v>
      </c>
      <c r="D170" s="75" t="str">
        <f>CONCATENATE(VLOOKUP($A170,LocalisationRemorque,6,0)," ► ",VLOOKUP($A170,LocalisationRemorque,5,0))</f>
        <v>Luxembourg ► Saint Vith</v>
      </c>
      <c r="E170" s="52" t="str">
        <f>IF(ISBLANK(Tableau!$E$170), "LIBRE", "OCCUPÉ")</f>
        <v>LIBRE</v>
      </c>
      <c r="F170" s="54" t="str">
        <f>IF(ISBLANK(Tableau!$G$170), "LIBRE", "OCCUPÉ")</f>
        <v>LIBRE</v>
      </c>
      <c r="G170" s="52" t="str">
        <f>IF(ISBLANK(Tableau!$I$170), "LIBRE", "OCCUPÉ")</f>
        <v>LIBRE</v>
      </c>
      <c r="H170" s="52" t="str">
        <f>IF(ISBLANK(Tableau!$K$170), "LIBRE", "OCCUPÉ")</f>
        <v>LIBRE</v>
      </c>
      <c r="I170" s="52" t="str">
        <f>IF(ISBLANK(Tableau!$M$170), "LIBRE", "OCCUPÉ")</f>
        <v>LIBRE</v>
      </c>
      <c r="J170" s="54" t="str">
        <f>IF(ISBLANK(Tableau!$O$170), "LIBRE", "OCCUPÉ")</f>
        <v>LIBRE</v>
      </c>
      <c r="K170" s="54" t="str">
        <f>IF(ISBLANK(Tableau!$Q$170), "LIBRE", "OCCUPÉ")</f>
        <v>LIBRE</v>
      </c>
      <c r="L170" s="54" t="str">
        <f>IF(ISBLANK(Tableau!$S$170), "LIBRE", "OCCUPÉ")</f>
        <v>LIBRE</v>
      </c>
      <c r="M170" s="54" t="str">
        <f>IF(ISBLANK(Tableau!$U$170), "LIBRE", "OCCUPÉ")</f>
        <v>LIBRE</v>
      </c>
      <c r="N170" s="54" t="str">
        <f>IF(ISBLANK(Tableau!$W$170), "LIBRE", "OCCUPÉ")</f>
        <v>LIBRE</v>
      </c>
      <c r="O170" s="52" t="str">
        <f>IF(ISBLANK(Tableau!$Y$170), "LIBRE", "OCCUPÉ")</f>
        <v>LIBRE</v>
      </c>
      <c r="P170" s="52" t="str">
        <f>IF(ISBLANK(Tableau!$AA$170), "LIBRE", "OCCUPÉ")</f>
        <v>LIBRE</v>
      </c>
      <c r="Q170" s="52" t="str">
        <f>IF(ISBLANK(Tableau!$AC$170), "LIBRE", "OCCUPÉ")</f>
        <v>LIBRE</v>
      </c>
      <c r="R170" s="54" t="str">
        <f>IF(ISBLANK(Tableau!$AE$170), "LIBRE", "OCCUPÉ")</f>
        <v>LIBRE</v>
      </c>
      <c r="S170" s="52" t="str">
        <f>IF(ISBLANK(Tableau!$AG$170), "LIBRE", "OCCUPÉ")</f>
        <v>LIBRE</v>
      </c>
      <c r="T170" s="52" t="str">
        <f>IF(ISBLANK(Tableau!$AI$170), "LIBRE", "OCCUPÉ")</f>
        <v>LIBRE</v>
      </c>
      <c r="U170" s="54" t="str">
        <f>IF(ISBLANK(Tableau!$AK$170), "LIBRE", "OCCUPÉ")</f>
        <v>LIBRE</v>
      </c>
      <c r="V170" s="52" t="str">
        <f>IF(ISBLANK(Tableau!$AM$170), "LIBRE", "OCCUPÉ")</f>
        <v>LIBRE</v>
      </c>
      <c r="W170" s="52" t="str">
        <f>IF(ISBLANK(Tableau!$AO$170), "LIBRE", "OCCUPÉ")</f>
        <v>LIBRE</v>
      </c>
      <c r="X170" s="54" t="str">
        <f>IF(ISBLANK(Tableau!$AQ$170), "LIBRE", "OCCUPÉ")</f>
        <v>LIBRE</v>
      </c>
      <c r="Y170" s="52" t="str">
        <f>IF(ISBLANK(Tableau!$AS$170), "LIBRE", "OCCUPÉ")</f>
        <v>LIBRE</v>
      </c>
      <c r="Z170" s="54" t="str">
        <f>IF(ISBLANK(Tableau!$AU$170), "LIBRE", "OCCUPÉ")</f>
        <v>LIBRE</v>
      </c>
      <c r="AA170" s="52" t="str">
        <f>IF(ISBLANK(Tableau!$AW$170), "LIBRE", "OCCUPÉ")</f>
        <v>LIBRE</v>
      </c>
      <c r="AB170" s="69" t="str">
        <f>IF(ISBLANK(Tableau!$AY170), "LIBRE", "OCCUPÉ")</f>
        <v>LIBRE</v>
      </c>
      <c r="AC170" s="77" t="s">
        <v>17</v>
      </c>
    </row>
    <row r="171" ht="21.75" customHeight="1">
      <c r="A171" s="40">
        <f>Tableau!A171</f>
        <v>517</v>
      </c>
      <c r="B171" s="46" t="str">
        <f>VLOOKUP($A171,LocalisationRemorque,2,0)</f>
        <v>Beho</v>
      </c>
      <c r="C171" s="47" t="str">
        <f>VLOOKUP($A171,LocalisationRemorque,3,0)</f>
        <v>Silot 1</v>
      </c>
      <c r="D171" s="49" t="str">
        <f>CONCATENATE(VLOOKUP($A171,LocalisationRemorque,6,0)," ► ",VLOOKUP($A171,LocalisationRemorque,5,0))</f>
        <v>Salm Château ► Luxembourg</v>
      </c>
      <c r="E171" s="52" t="str">
        <f>IF(ISBLANK(Tableau!$E$171), "LIBRE", "OCCUPÉ")</f>
        <v>LIBRE</v>
      </c>
      <c r="F171" s="52" t="str">
        <f>IF(ISBLANK(Tableau!$G$171), "LIBRE", "OCCUPÉ")</f>
        <v>LIBRE</v>
      </c>
      <c r="G171" s="52" t="str">
        <f>IF(ISBLANK(Tableau!$I$171), "LIBRE", "OCCUPÉ")</f>
        <v>LIBRE</v>
      </c>
      <c r="H171" s="52" t="str">
        <f>IF(ISBLANK(Tableau!$K$171), "LIBRE", "OCCUPÉ")</f>
        <v>LIBRE</v>
      </c>
      <c r="I171" s="52" t="str">
        <f>IF(ISBLANK(Tableau!$M$171), "LIBRE", "OCCUPÉ")</f>
        <v>LIBRE</v>
      </c>
      <c r="J171" s="52" t="str">
        <f>IF(ISBLANK(Tableau!$O$171), "LIBRE", "OCCUPÉ")</f>
        <v>LIBRE</v>
      </c>
      <c r="K171" s="52" t="str">
        <f>IF(ISBLANK(Tableau!$Q$171), "LIBRE", "OCCUPÉ")</f>
        <v>LIBRE</v>
      </c>
      <c r="L171" s="52" t="str">
        <f>IF(ISBLANK(Tableau!$S$171), "LIBRE", "OCCUPÉ")</f>
        <v>LIBRE</v>
      </c>
      <c r="M171" s="54" t="str">
        <f>IF(ISBLANK(Tableau!$U$171), "LIBRE", "OCCUPÉ")</f>
        <v>LIBRE</v>
      </c>
      <c r="N171" s="54" t="str">
        <f>IF(ISBLANK(Tableau!$W$171), "LIBRE", "OCCUPÉ")</f>
        <v>LIBRE</v>
      </c>
      <c r="O171" s="54" t="str">
        <f>IF(ISBLANK(Tableau!$Y$171), "LIBRE", "OCCUPÉ")</f>
        <v>LIBRE</v>
      </c>
      <c r="P171" s="52" t="str">
        <f>IF(ISBLANK(Tableau!$AA$171), "LIBRE", "OCCUPÉ")</f>
        <v>LIBRE</v>
      </c>
      <c r="Q171" s="54" t="str">
        <f>IF(ISBLANK(Tableau!$AC$171), "LIBRE", "OCCUPÉ")</f>
        <v>LIBRE</v>
      </c>
      <c r="R171" s="52" t="str">
        <f>IF(ISBLANK(Tableau!$AE$171), "LIBRE", "OCCUPÉ")</f>
        <v>LIBRE</v>
      </c>
      <c r="S171" s="52" t="str">
        <f>IF(ISBLANK(Tableau!$AG$171), "LIBRE", "OCCUPÉ")</f>
        <v>LIBRE</v>
      </c>
      <c r="T171" s="52" t="str">
        <f>IF(ISBLANK(Tableau!$AI$171), "LIBRE", "OCCUPÉ")</f>
        <v>LIBRE</v>
      </c>
      <c r="U171" s="54" t="str">
        <f>IF(ISBLANK(Tableau!$AK$171), "LIBRE", "OCCUPÉ")</f>
        <v>LIBRE</v>
      </c>
      <c r="V171" s="52" t="str">
        <f>IF(ISBLANK(Tableau!$AM$171), "LIBRE", "OCCUPÉ")</f>
        <v>LIBRE</v>
      </c>
      <c r="W171" s="52" t="str">
        <f>IF(ISBLANK(Tableau!$AO$171), "LIBRE", "OCCUPÉ")</f>
        <v>LIBRE</v>
      </c>
      <c r="X171" s="52" t="str">
        <f>IF(ISBLANK(Tableau!$AQ$171), "LIBRE", "OCCUPÉ")</f>
        <v>LIBRE</v>
      </c>
      <c r="Y171" s="54" t="str">
        <f>IF(ISBLANK(Tableau!$AS$171), "LIBRE", "OCCUPÉ")</f>
        <v>LIBRE</v>
      </c>
      <c r="Z171" s="52" t="str">
        <f>IF(ISBLANK(Tableau!$AU$171), "LIBRE", "OCCUPÉ")</f>
        <v>LIBRE</v>
      </c>
      <c r="AA171" s="54" t="str">
        <f>IF(ISBLANK(Tableau!$AW$171), "LIBRE", "OCCUPÉ")</f>
        <v>LIBRE</v>
      </c>
      <c r="AB171" s="76" t="str">
        <f>IF(ISBLANK(Tableau!$AY171), "LIBRE", "OCCUPÉ")</f>
        <v>LIBRE</v>
      </c>
      <c r="AC171" s="70" t="s">
        <v>17</v>
      </c>
    </row>
    <row r="172" ht="21.75" customHeight="1">
      <c r="A172" s="72">
        <f>Tableau!A172</f>
        <v>518</v>
      </c>
      <c r="B172" s="73" t="str">
        <f>VLOOKUP($A172,LocalisationRemorque,2,0)</f>
        <v>Beho</v>
      </c>
      <c r="C172" s="74" t="str">
        <f>VLOOKUP($A172,LocalisationRemorque,3,0)</f>
        <v>Silot 2</v>
      </c>
      <c r="D172" s="75" t="str">
        <f>CONCATENATE(VLOOKUP($A172,LocalisationRemorque,6,0)," ► ",VLOOKUP($A172,LocalisationRemorque,5,0))</f>
        <v>Luxembourg ► Salm Château</v>
      </c>
      <c r="E172" s="52" t="str">
        <f>IF(ISBLANK(Tableau!$E$172), "LIBRE", "OCCUPÉ")</f>
        <v>LIBRE</v>
      </c>
      <c r="F172" s="54" t="str">
        <f>IF(ISBLANK(Tableau!$G$172), "LIBRE", "OCCUPÉ")</f>
        <v>LIBRE</v>
      </c>
      <c r="G172" s="54" t="str">
        <f>IF(ISBLANK(Tableau!$I$172), "LIBRE", "OCCUPÉ")</f>
        <v>LIBRE</v>
      </c>
      <c r="H172" s="54" t="str">
        <f>IF(ISBLANK(Tableau!$K$172), "LIBRE", "OCCUPÉ")</f>
        <v>LIBRE</v>
      </c>
      <c r="I172" s="52" t="str">
        <f>IF(ISBLANK(Tableau!$M$172), "LIBRE", "OCCUPÉ")</f>
        <v>LIBRE</v>
      </c>
      <c r="J172" s="54" t="str">
        <f>IF(ISBLANK(Tableau!$O$172), "LIBRE", "OCCUPÉ")</f>
        <v>LIBRE</v>
      </c>
      <c r="K172" s="54" t="str">
        <f>IF(ISBLANK(Tableau!$Q$172), "LIBRE", "OCCUPÉ")</f>
        <v>LIBRE</v>
      </c>
      <c r="L172" s="54" t="str">
        <f>IF(ISBLANK(Tableau!$S$172), "LIBRE", "OCCUPÉ")</f>
        <v>LIBRE</v>
      </c>
      <c r="M172" s="54" t="str">
        <f>IF(ISBLANK(Tableau!$U$172), "LIBRE", "OCCUPÉ")</f>
        <v>LIBRE</v>
      </c>
      <c r="N172" s="54" t="str">
        <f>IF(ISBLANK(Tableau!$W$172), "LIBRE", "OCCUPÉ")</f>
        <v>LIBRE</v>
      </c>
      <c r="O172" s="54" t="str">
        <f>IF(ISBLANK(Tableau!$Y$172), "LIBRE", "OCCUPÉ")</f>
        <v>LIBRE</v>
      </c>
      <c r="P172" s="54" t="str">
        <f>IF(ISBLANK(Tableau!$AA$172), "LIBRE", "OCCUPÉ")</f>
        <v>LIBRE</v>
      </c>
      <c r="Q172" s="52" t="str">
        <f>IF(ISBLANK(Tableau!$AC$172), "LIBRE", "OCCUPÉ")</f>
        <v>LIBRE</v>
      </c>
      <c r="R172" s="54" t="str">
        <f>IF(ISBLANK(Tableau!$AE$172), "LIBRE", "OCCUPÉ")</f>
        <v>LIBRE</v>
      </c>
      <c r="S172" s="54" t="str">
        <f>IF(ISBLANK(Tableau!$AG$172), "LIBRE", "OCCUPÉ")</f>
        <v>LIBRE</v>
      </c>
      <c r="T172" s="54" t="str">
        <f>IF(ISBLANK(Tableau!$AI$172), "LIBRE", "OCCUPÉ")</f>
        <v>LIBRE</v>
      </c>
      <c r="U172" s="52" t="str">
        <f>IF(ISBLANK(Tableau!$AK$172), "LIBRE", "OCCUPÉ")</f>
        <v>LIBRE</v>
      </c>
      <c r="V172" s="54" t="str">
        <f>IF(ISBLANK(Tableau!$AM$172), "LIBRE", "OCCUPÉ")</f>
        <v>LIBRE</v>
      </c>
      <c r="W172" s="52" t="str">
        <f>IF(ISBLANK(Tableau!$AO$172), "LIBRE", "OCCUPÉ")</f>
        <v>LIBRE</v>
      </c>
      <c r="X172" s="54" t="str">
        <f>IF(ISBLANK(Tableau!$AQ$172), "LIBRE", "OCCUPÉ")</f>
        <v>LIBRE</v>
      </c>
      <c r="Y172" s="52" t="str">
        <f>IF(ISBLANK(Tableau!$AS$172), "LIBRE", "OCCUPÉ")</f>
        <v>LIBRE</v>
      </c>
      <c r="Z172" s="54" t="str">
        <f>IF(ISBLANK(Tableau!$AU$172), "LIBRE", "OCCUPÉ")</f>
        <v>LIBRE</v>
      </c>
      <c r="AA172" s="52" t="str">
        <f>IF(ISBLANK(Tableau!$AW$172), "LIBRE", "OCCUPÉ")</f>
        <v>LIBRE</v>
      </c>
      <c r="AB172" s="69" t="str">
        <f>IF(ISBLANK(Tableau!$AY172), "LIBRE", "OCCUPÉ")</f>
        <v>LIBRE</v>
      </c>
      <c r="AC172" s="77" t="s">
        <v>17</v>
      </c>
    </row>
    <row r="173" ht="21.75" hidden="1" customHeight="1">
      <c r="A173" s="40" t="str">
        <f>Tableau!A173</f>
        <v/>
      </c>
      <c r="B173" s="46" t="str">
        <f>VLOOKUP($A173,LocalisationRemorque,2,0)</f>
        <v> Remorque non listée</v>
      </c>
      <c r="C173" s="47" t="str">
        <f>VLOOKUP($A173,LocalisationRemorque,3,0)</f>
        <v/>
      </c>
      <c r="D173" s="49" t="str">
        <f>CONCATENATE(VLOOKUP($A173,LocalisationRemorque,6,0)," ► ",VLOOKUP($A173,LocalisationRemorque,5,0))</f>
        <v> ► </v>
      </c>
      <c r="E173" s="54" t="str">
        <f>IF(ISBLANK(Tableau!$E$173), "LIBRE", "OCCUPÉ")</f>
        <v>LIBRE</v>
      </c>
      <c r="F173" s="52" t="str">
        <f>IF(ISBLANK(Tableau!$G$173), "LIBRE", "OCCUPÉ")</f>
        <v>LIBRE</v>
      </c>
      <c r="G173" s="54" t="str">
        <f>IF(ISBLANK(Tableau!$I$173), "LIBRE", "OCCUPÉ")</f>
        <v>LIBRE</v>
      </c>
      <c r="H173" s="52" t="str">
        <f>IF(ISBLANK(Tableau!$K$173), "LIBRE", "OCCUPÉ")</f>
        <v>LIBRE</v>
      </c>
      <c r="I173" s="54" t="str">
        <f>IF(ISBLANK(Tableau!$M$173), "LIBRE", "OCCUPÉ")</f>
        <v>LIBRE</v>
      </c>
      <c r="J173" s="54" t="str">
        <f>IF(ISBLANK(Tableau!$O$173), "LIBRE", "OCCUPÉ")</f>
        <v>LIBRE</v>
      </c>
      <c r="K173" s="54" t="str">
        <f>IF(ISBLANK(Tableau!$Q$173), "LIBRE", "OCCUPÉ")</f>
        <v>LIBRE</v>
      </c>
      <c r="L173" s="52" t="str">
        <f>IF(ISBLANK(Tableau!$S$173), "LIBRE", "OCCUPÉ")</f>
        <v>LIBRE</v>
      </c>
      <c r="M173" s="54" t="str">
        <f>IF(ISBLANK(Tableau!$U$173), "LIBRE", "OCCUPÉ")</f>
        <v>LIBRE</v>
      </c>
      <c r="N173" s="52" t="str">
        <f>IF(ISBLANK(Tableau!$W$173), "LIBRE", "OCCUPÉ")</f>
        <v>LIBRE</v>
      </c>
      <c r="O173" s="52" t="str">
        <f>IF(ISBLANK(Tableau!$Y$173), "LIBRE", "OCCUPÉ")</f>
        <v>LIBRE</v>
      </c>
      <c r="P173" s="52" t="str">
        <f>IF(ISBLANK(Tableau!$AA$173), "LIBRE", "OCCUPÉ")</f>
        <v>LIBRE</v>
      </c>
      <c r="Q173" s="52" t="str">
        <f>IF(ISBLANK(Tableau!$AC$173), "LIBRE", "OCCUPÉ")</f>
        <v>LIBRE</v>
      </c>
      <c r="R173" s="52" t="str">
        <f>IF(ISBLANK(Tableau!$AE$173), "LIBRE", "OCCUPÉ")</f>
        <v>LIBRE</v>
      </c>
      <c r="S173" s="52" t="str">
        <f>IF(ISBLANK(Tableau!$AG$173), "LIBRE", "OCCUPÉ")</f>
        <v>LIBRE</v>
      </c>
      <c r="T173" s="52" t="str">
        <f>IF(ISBLANK(Tableau!$AI$173), "LIBRE", "OCCUPÉ")</f>
        <v>LIBRE</v>
      </c>
      <c r="U173" s="52" t="str">
        <f>IF(ISBLANK(Tableau!$AK$173), "LIBRE", "OCCUPÉ")</f>
        <v>LIBRE</v>
      </c>
      <c r="V173" s="52" t="str">
        <f>IF(ISBLANK(Tableau!$AM$173), "LIBRE", "OCCUPÉ")</f>
        <v>LIBRE</v>
      </c>
      <c r="W173" s="52" t="str">
        <f>IF(ISBLANK(Tableau!$AO$173), "LIBRE", "OCCUPÉ")</f>
        <v>LIBRE</v>
      </c>
      <c r="X173" s="52" t="str">
        <f>IF(ISBLANK(Tableau!$AQ$173), "LIBRE", "OCCUPÉ")</f>
        <v>LIBRE</v>
      </c>
      <c r="Y173" s="52" t="str">
        <f>IF(ISBLANK(Tableau!$AS$173), "LIBRE", "OCCUPÉ")</f>
        <v>LIBRE</v>
      </c>
      <c r="Z173" s="52" t="str">
        <f>IF(ISBLANK(Tableau!$AU$173), "LIBRE", "OCCUPÉ")</f>
        <v>LIBRE</v>
      </c>
      <c r="AA173" s="52" t="str">
        <f>IF(ISBLANK(Tableau!$AW$173), "LIBRE", "OCCUPÉ")</f>
        <v>LIBRE</v>
      </c>
      <c r="AB173" s="76" t="str">
        <f>IF(ISBLANK(Tableau!$AY173), "LIBRE", "OCCUPÉ")</f>
        <v>LIBRE</v>
      </c>
      <c r="AC173" s="88"/>
    </row>
    <row r="174" ht="21.75" customHeight="1">
      <c r="A174" s="72">
        <f>Tableau!A174</f>
        <v>520</v>
      </c>
      <c r="B174" s="73" t="str">
        <f>VLOOKUP($A174,LocalisationRemorque,2,0)</f>
        <v>Vielsam</v>
      </c>
      <c r="C174" s="74" t="str">
        <f>VLOOKUP($A174,LocalisationRemorque,3,0)</f>
        <v>Regné</v>
      </c>
      <c r="D174" s="75" t="str">
        <f>CONCATENATE(VLOOKUP($A174,LocalisationRemorque,6,0)," ► ",VLOOKUP($A174,LocalisationRemorque,5,0))</f>
        <v>Baraque de Fraiture ► Vielsam</v>
      </c>
      <c r="E174" s="52" t="str">
        <f>IF(ISBLANK(Tableau!$E$174), "LIBRE", "OCCUPÉ")</f>
        <v>LIBRE</v>
      </c>
      <c r="F174" s="52" t="str">
        <f>IF(ISBLANK(Tableau!$G$174), "LIBRE", "OCCUPÉ")</f>
        <v>LIBRE</v>
      </c>
      <c r="G174" s="54" t="str">
        <f>IF(ISBLANK(Tableau!$I$174), "LIBRE", "OCCUPÉ")</f>
        <v>LIBRE</v>
      </c>
      <c r="H174" s="52" t="str">
        <f>IF(ISBLANK(Tableau!$K$174), "LIBRE", "OCCUPÉ")</f>
        <v>LIBRE</v>
      </c>
      <c r="I174" s="52" t="str">
        <f>IF(ISBLANK(Tableau!$M$174), "LIBRE", "OCCUPÉ")</f>
        <v>LIBRE</v>
      </c>
      <c r="J174" s="52" t="str">
        <f>IF(ISBLANK(Tableau!$O$174), "LIBRE", "OCCUPÉ")</f>
        <v>LIBRE</v>
      </c>
      <c r="K174" s="52" t="str">
        <f>IF(ISBLANK(Tableau!$Q$174), "LIBRE", "OCCUPÉ")</f>
        <v>LIBRE</v>
      </c>
      <c r="L174" s="52" t="str">
        <f>IF(ISBLANK(Tableau!$S$174), "LIBRE", "OCCUPÉ")</f>
        <v>LIBRE</v>
      </c>
      <c r="M174" s="54" t="str">
        <f>IF(ISBLANK(Tableau!$U$174), "LIBRE", "OCCUPÉ")</f>
        <v>LIBRE</v>
      </c>
      <c r="N174" s="54" t="str">
        <f>IF(ISBLANK(Tableau!$W$174), "LIBRE", "OCCUPÉ")</f>
        <v>LIBRE</v>
      </c>
      <c r="O174" s="54" t="str">
        <f>IF(ISBLANK(Tableau!$Y$174), "LIBRE", "OCCUPÉ")</f>
        <v>LIBRE</v>
      </c>
      <c r="P174" s="54" t="str">
        <f>IF(ISBLANK(Tableau!$AA$174), "LIBRE", "OCCUPÉ")</f>
        <v>LIBRE</v>
      </c>
      <c r="Q174" s="54" t="str">
        <f>IF(ISBLANK(Tableau!$AC$174), "LIBRE", "OCCUPÉ")</f>
        <v>LIBRE</v>
      </c>
      <c r="R174" s="52" t="str">
        <f>IF(ISBLANK(Tableau!$AE$174), "LIBRE", "OCCUPÉ")</f>
        <v>LIBRE</v>
      </c>
      <c r="S174" s="52" t="str">
        <f>IF(ISBLANK(Tableau!$AG$174), "LIBRE", "OCCUPÉ")</f>
        <v>LIBRE</v>
      </c>
      <c r="T174" s="52" t="str">
        <f>IF(ISBLANK(Tableau!$AI$174), "LIBRE", "OCCUPÉ")</f>
        <v>LIBRE</v>
      </c>
      <c r="U174" s="54" t="str">
        <f>IF(ISBLANK(Tableau!$AK$174), "LIBRE", "OCCUPÉ")</f>
        <v>LIBRE</v>
      </c>
      <c r="V174" s="52" t="str">
        <f>IF(ISBLANK(Tableau!$AM$174), "LIBRE", "OCCUPÉ")</f>
        <v>LIBRE</v>
      </c>
      <c r="W174" s="52" t="str">
        <f>IF(ISBLANK(Tableau!$AO$174), "LIBRE", "OCCUPÉ")</f>
        <v>LIBRE</v>
      </c>
      <c r="X174" s="52" t="str">
        <f>IF(ISBLANK(Tableau!$AQ$174), "LIBRE", "OCCUPÉ")</f>
        <v>LIBRE</v>
      </c>
      <c r="Y174" s="54" t="str">
        <f>IF(ISBLANK(Tableau!$AS$174), "LIBRE", "OCCUPÉ")</f>
        <v>LIBRE</v>
      </c>
      <c r="Z174" s="54" t="str">
        <f>IF(ISBLANK(Tableau!$AU$174), "LIBRE", "OCCUPÉ")</f>
        <v>LIBRE</v>
      </c>
      <c r="AA174" s="52" t="str">
        <f>IF(ISBLANK(Tableau!$AW$174), "LIBRE", "OCCUPÉ")</f>
        <v>LIBRE</v>
      </c>
      <c r="AB174" s="76" t="str">
        <f>IF(ISBLANK(Tableau!$AY174), "LIBRE", "OCCUPÉ")</f>
        <v>LIBRE</v>
      </c>
      <c r="AC174" s="77" t="s">
        <v>17</v>
      </c>
    </row>
    <row r="175" ht="21.75" customHeight="1">
      <c r="A175" s="40">
        <f>Tableau!A175</f>
        <v>521</v>
      </c>
      <c r="B175" s="46" t="str">
        <f>VLOOKUP($A175,LocalisationRemorque,2,0)</f>
        <v>Vielsam</v>
      </c>
      <c r="C175" s="47" t="str">
        <f>VLOOKUP($A175,LocalisationRemorque,3,0)</f>
        <v>Fraiture</v>
      </c>
      <c r="D175" s="49" t="str">
        <f>CONCATENATE(VLOOKUP($A175,LocalisationRemorque,6,0)," ► ",VLOOKUP($A175,LocalisationRemorque,5,0))</f>
        <v>Vielsam ► Baraque Fraiture</v>
      </c>
      <c r="E175" s="54" t="str">
        <f>IF(ISBLANK(Tableau!$E$175), "LIBRE", "OCCUPÉ")</f>
        <v>LIBRE</v>
      </c>
      <c r="F175" s="52" t="str">
        <f>IF(ISBLANK(Tableau!$G$175), "LIBRE", "OCCUPÉ")</f>
        <v>LIBRE</v>
      </c>
      <c r="G175" s="54" t="str">
        <f>IF(ISBLANK(Tableau!$I$175), "LIBRE", "OCCUPÉ")</f>
        <v>LIBRE</v>
      </c>
      <c r="H175" s="52" t="str">
        <f>IF(ISBLANK(Tableau!$K$175), "LIBRE", "OCCUPÉ")</f>
        <v>LIBRE</v>
      </c>
      <c r="I175" s="54" t="str">
        <f>IF(ISBLANK(Tableau!$M$175), "LIBRE", "OCCUPÉ")</f>
        <v>LIBRE</v>
      </c>
      <c r="J175" s="52" t="str">
        <f>IF(ISBLANK(Tableau!$O$175), "LIBRE", "OCCUPÉ")</f>
        <v>LIBRE</v>
      </c>
      <c r="K175" s="54" t="str">
        <f>IF(ISBLANK(Tableau!$Q$175), "LIBRE", "OCCUPÉ")</f>
        <v>LIBRE</v>
      </c>
      <c r="L175" s="54" t="str">
        <f>IF(ISBLANK(Tableau!$S$175), "LIBRE", "OCCUPÉ")</f>
        <v>LIBRE</v>
      </c>
      <c r="M175" s="54" t="str">
        <f>IF(ISBLANK(Tableau!$U$175), "LIBRE", "OCCUPÉ")</f>
        <v>LIBRE</v>
      </c>
      <c r="N175" s="52" t="str">
        <f>IF(ISBLANK(Tableau!$W$175), "LIBRE", "OCCUPÉ")</f>
        <v>LIBRE</v>
      </c>
      <c r="O175" s="54" t="str">
        <f>IF(ISBLANK(Tableau!$Y$175), "LIBRE", "OCCUPÉ")</f>
        <v>LIBRE</v>
      </c>
      <c r="P175" s="52" t="str">
        <f>IF(ISBLANK(Tableau!$AA$175), "LIBRE", "OCCUPÉ")</f>
        <v>LIBRE</v>
      </c>
      <c r="Q175" s="54" t="str">
        <f>IF(ISBLANK(Tableau!$AC$175), "LIBRE", "OCCUPÉ")</f>
        <v>OCCUPÉ</v>
      </c>
      <c r="R175" s="52" t="str">
        <f>IF(ISBLANK(Tableau!$AE$175), "LIBRE", "OCCUPÉ")</f>
        <v>LIBRE</v>
      </c>
      <c r="S175" s="54" t="str">
        <f>IF(ISBLANK(Tableau!$AG$175), "LIBRE", "OCCUPÉ")</f>
        <v>OCCUPÉ</v>
      </c>
      <c r="T175" s="54" t="str">
        <f>IF(ISBLANK(Tableau!$AI$175), "LIBRE", "OCCUPÉ")</f>
        <v>LIBRE</v>
      </c>
      <c r="U175" s="54" t="str">
        <f>IF(ISBLANK(Tableau!$AK$175), "LIBRE", "OCCUPÉ")</f>
        <v>LIBRE</v>
      </c>
      <c r="V175" s="52" t="str">
        <f>IF(ISBLANK(Tableau!$AM$175), "LIBRE", "OCCUPÉ")</f>
        <v>LIBRE</v>
      </c>
      <c r="W175" s="54" t="str">
        <f>IF(ISBLANK(Tableau!$AO$175), "LIBRE", "OCCUPÉ")</f>
        <v>OCCUPÉ</v>
      </c>
      <c r="X175" s="52" t="str">
        <f>IF(ISBLANK(Tableau!$AQ$175), "LIBRE", "OCCUPÉ")</f>
        <v>LIBRE</v>
      </c>
      <c r="Y175" s="54" t="str">
        <f>IF(ISBLANK(Tableau!$AS$175), "LIBRE", "OCCUPÉ")</f>
        <v>LIBRE</v>
      </c>
      <c r="Z175" s="52" t="str">
        <f>IF(ISBLANK(Tableau!$AU$175), "LIBRE", "OCCUPÉ")</f>
        <v>LIBRE</v>
      </c>
      <c r="AA175" s="54" t="str">
        <f>IF(ISBLANK(Tableau!$AW$175), "LIBRE", "OCCUPÉ")</f>
        <v>LIBRE</v>
      </c>
      <c r="AB175" s="76" t="str">
        <f>IF(ISBLANK(Tableau!$AY175), "LIBRE", "OCCUPÉ")</f>
        <v>LIBRE</v>
      </c>
      <c r="AC175" s="70" t="s">
        <v>17</v>
      </c>
    </row>
    <row r="176" ht="21.75" customHeight="1">
      <c r="A176" s="72">
        <f>Tableau!A176</f>
        <v>525</v>
      </c>
      <c r="B176" s="73" t="str">
        <f>VLOOKUP($A176,LocalisationRemorque,2,0)</f>
        <v>Durbuy</v>
      </c>
      <c r="C176" s="74" t="str">
        <f>VLOOKUP($A176,LocalisationRemorque,3,0)</f>
        <v>Grandhan</v>
      </c>
      <c r="D176" s="75" t="str">
        <f>CONCATENATE(VLOOKUP($A176,LocalisationRemorque,6,0)," ► ",VLOOKUP($A176,LocalisationRemorque,5,0))</f>
        <v>Baillonville ► Durbuy</v>
      </c>
      <c r="E176" s="52" t="str">
        <f>IF(ISBLANK(Tableau!$E$176), "LIBRE", "OCCUPÉ")</f>
        <v>OCCUPÉ</v>
      </c>
      <c r="F176" s="52" t="str">
        <f>IF(ISBLANK(Tableau!$G$176), "LIBRE", "OCCUPÉ")</f>
        <v>LIBRE</v>
      </c>
      <c r="G176" s="54" t="str">
        <f>IF(ISBLANK(Tableau!$I$176), "LIBRE", "OCCUPÉ")</f>
        <v>LIBRE</v>
      </c>
      <c r="H176" s="52" t="str">
        <f>IF(ISBLANK(Tableau!$K$176), "LIBRE", "OCCUPÉ")</f>
        <v>LIBRE</v>
      </c>
      <c r="I176" s="54" t="str">
        <f>IF(ISBLANK(Tableau!$M$176), "LIBRE", "OCCUPÉ")</f>
        <v>LIBRE</v>
      </c>
      <c r="J176" s="52" t="str">
        <f>IF(ISBLANK(Tableau!$O$176), "LIBRE", "OCCUPÉ")</f>
        <v>OCCUPÉ</v>
      </c>
      <c r="K176" s="52" t="str">
        <f>IF(ISBLANK(Tableau!$Q$176), "LIBRE", "OCCUPÉ")</f>
        <v>LIBRE</v>
      </c>
      <c r="L176" s="52" t="str">
        <f>IF(ISBLANK(Tableau!$S$176), "LIBRE", "OCCUPÉ")</f>
        <v>OCCUPÉ</v>
      </c>
      <c r="M176" s="54" t="str">
        <f>IF(ISBLANK(Tableau!$U$176), "LIBRE", "OCCUPÉ")</f>
        <v>LIBRE</v>
      </c>
      <c r="N176" s="52" t="str">
        <f>IF(ISBLANK(Tableau!$W$176), "LIBRE", "OCCUPÉ")</f>
        <v>OCCUPÉ</v>
      </c>
      <c r="O176" s="52" t="str">
        <f>IF(ISBLANK(Tableau!$Y$176), "LIBRE", "OCCUPÉ")</f>
        <v>LIBRE</v>
      </c>
      <c r="P176" s="52" t="str">
        <f>IF(ISBLANK(Tableau!$AA$176), "LIBRE", "OCCUPÉ")</f>
        <v>OCCUPÉ</v>
      </c>
      <c r="Q176" s="54" t="str">
        <f>IF(ISBLANK(Tableau!$AC$176), "LIBRE", "OCCUPÉ")</f>
        <v>OCCUPÉ</v>
      </c>
      <c r="R176" s="54" t="str">
        <f>IF(ISBLANK(Tableau!$AE$176), "LIBRE", "OCCUPÉ")</f>
        <v>LIBRE</v>
      </c>
      <c r="S176" s="54" t="str">
        <f>IF(ISBLANK(Tableau!$AG$176), "LIBRE", "OCCUPÉ")</f>
        <v>OCCUPÉ</v>
      </c>
      <c r="T176" s="52" t="str">
        <f>IF(ISBLANK(Tableau!$AI$176), "LIBRE", "OCCUPÉ")</f>
        <v>LIBRE</v>
      </c>
      <c r="U176" s="54" t="str">
        <f>IF(ISBLANK(Tableau!$AK$176), "LIBRE", "OCCUPÉ")</f>
        <v>LIBRE</v>
      </c>
      <c r="V176" s="52" t="str">
        <f>IF(ISBLANK(Tableau!$AM$176), "LIBRE", "OCCUPÉ")</f>
        <v>LIBRE</v>
      </c>
      <c r="W176" s="54" t="str">
        <f>IF(ISBLANK(Tableau!$AO$176), "LIBRE", "OCCUPÉ")</f>
        <v>OCCUPÉ</v>
      </c>
      <c r="X176" s="52" t="str">
        <f>IF(ISBLANK(Tableau!$AQ$176), "LIBRE", "OCCUPÉ")</f>
        <v>LIBRE</v>
      </c>
      <c r="Y176" s="52" t="str">
        <f>IF(ISBLANK(Tableau!$AS$176), "LIBRE", "OCCUPÉ")</f>
        <v>LIBRE</v>
      </c>
      <c r="Z176" s="52" t="str">
        <f>IF(ISBLANK(Tableau!$AU$176), "LIBRE", "OCCUPÉ")</f>
        <v>OCCUPÉ</v>
      </c>
      <c r="AA176" s="52" t="str">
        <f>IF(ISBLANK(Tableau!$AW$176), "LIBRE", "OCCUPÉ")</f>
        <v>LIBRE</v>
      </c>
      <c r="AB176" s="76" t="str">
        <f>IF(ISBLANK(Tableau!$AY176), "LIBRE", "OCCUPÉ")</f>
        <v>OCCUPÉ</v>
      </c>
      <c r="AC176" s="77" t="s">
        <v>17</v>
      </c>
    </row>
    <row r="177" ht="21.75" customHeight="1">
      <c r="A177" s="40">
        <f>Tableau!A177</f>
        <v>530</v>
      </c>
      <c r="B177" s="46" t="str">
        <f>VLOOKUP($A177,LocalisationRemorque,2,0)</f>
        <v>Arlon</v>
      </c>
      <c r="C177" s="47" t="str">
        <f>VLOOKUP($A177,LocalisationRemorque,3,0)</f>
        <v>Wolberg</v>
      </c>
      <c r="D177" s="49" t="str">
        <f>CONCATENATE(VLOOKUP($A177,LocalisationRemorque,6,0)," ► ",VLOOKUP($A177,LocalisationRemorque,5,0))</f>
        <v>Stienfort ► Arlon</v>
      </c>
      <c r="E177" s="54" t="str">
        <f>IF(ISBLANK(Tableau!$E$177), "LIBRE", "OCCUPÉ")</f>
        <v>OCCUPÉ</v>
      </c>
      <c r="F177" s="54" t="str">
        <f>IF(ISBLANK(Tableau!$G$177), "LIBRE", "OCCUPÉ")</f>
        <v>LIBRE</v>
      </c>
      <c r="G177" s="52" t="str">
        <f>IF(ISBLANK(Tableau!$I$177), "LIBRE", "OCCUPÉ")</f>
        <v>OCCUPÉ</v>
      </c>
      <c r="H177" s="52" t="str">
        <f>IF(ISBLANK(Tableau!$K$177), "LIBRE", "OCCUPÉ")</f>
        <v>LIBRE</v>
      </c>
      <c r="I177" s="54" t="str">
        <f>IF(ISBLANK(Tableau!$M$177), "LIBRE", "OCCUPÉ")</f>
        <v>OCCUPÉ</v>
      </c>
      <c r="J177" s="52" t="str">
        <f>IF(ISBLANK(Tableau!$M$177), "LIBRE", "OCCUPÉ")</f>
        <v>OCCUPÉ</v>
      </c>
      <c r="K177" s="54" t="str">
        <f>IF(ISBLANK(Tableau!$Q$177), "LIBRE", "OCCUPÉ")</f>
        <v>OCCUPÉ</v>
      </c>
      <c r="L177" s="52" t="str">
        <f>IF(ISBLANK(Tableau!$S$177), "LIBRE", "OCCUPÉ")</f>
        <v>LIBRE</v>
      </c>
      <c r="M177" s="54" t="str">
        <f>IF(ISBLANK(Tableau!$U$177), "LIBRE", "OCCUPÉ")</f>
        <v>OCCUPÉ</v>
      </c>
      <c r="N177" s="52" t="str">
        <f>IF(ISBLANK(Tableau!$W$177), "LIBRE", "OCCUPÉ")</f>
        <v>LIBRE</v>
      </c>
      <c r="O177" s="52" t="str">
        <f>IF(ISBLANK(Tableau!$Y$177), "LIBRE", "OCCUPÉ")</f>
        <v>OCCUPÉ</v>
      </c>
      <c r="P177" s="52" t="str">
        <f>IF(ISBLANK(Tableau!$AA$177), "LIBRE", "OCCUPÉ")</f>
        <v>LIBRE</v>
      </c>
      <c r="Q177" s="54" t="str">
        <f>IF(ISBLANK(Tableau!$AC$177), "LIBRE", "OCCUPÉ")</f>
        <v>OCCUPÉ</v>
      </c>
      <c r="R177" s="54" t="str">
        <f>IF(ISBLANK(Tableau!$AE$177), "LIBRE", "OCCUPÉ")</f>
        <v>OCCUPÉ</v>
      </c>
      <c r="S177" s="54" t="str">
        <f>IF(ISBLANK(Tableau!$AG$177), "LIBRE", "OCCUPÉ")</f>
        <v>OCCUPÉ</v>
      </c>
      <c r="T177" s="52" t="str">
        <f>IF(ISBLANK(Tableau!$AI$177), "LIBRE", "OCCUPÉ")</f>
        <v>OCCUPÉ</v>
      </c>
      <c r="U177" s="54" t="str">
        <f>IF(ISBLANK(Tableau!$AK$177), "LIBRE", "OCCUPÉ")</f>
        <v>OCCUPÉ</v>
      </c>
      <c r="V177" s="52" t="str">
        <f>IF(ISBLANK(Tableau!$AM$177), "LIBRE", "OCCUPÉ")</f>
        <v>LIBRE</v>
      </c>
      <c r="W177" s="54" t="str">
        <f>IF(ISBLANK(Tableau!$AO$177), "LIBRE", "OCCUPÉ")</f>
        <v>OCCUPÉ</v>
      </c>
      <c r="X177" s="54" t="str">
        <f>IF(ISBLANK(Tableau!$AQ$177), "LIBRE", "OCCUPÉ")</f>
        <v>OCCUPÉ</v>
      </c>
      <c r="Y177" s="54" t="str">
        <f>IF(ISBLANK(Tableau!$AS$177), "LIBRE", "OCCUPÉ")</f>
        <v>OCCUPÉ</v>
      </c>
      <c r="Z177" s="52" t="str">
        <f>IF(ISBLANK(Tableau!$AU$177), "LIBRE", "OCCUPÉ")</f>
        <v>LIBRE</v>
      </c>
      <c r="AA177" s="52" t="str">
        <f>IF(ISBLANK(Tableau!$AW$177), "LIBRE", "OCCUPÉ")</f>
        <v>OCCUPÉ</v>
      </c>
      <c r="AB177" s="69" t="str">
        <f>IF(ISBLANK(Tableau!$AY177), "LIBRE", "OCCUPÉ")</f>
        <v>LIBRE</v>
      </c>
      <c r="AC177" s="70" t="s">
        <v>17</v>
      </c>
    </row>
    <row r="178" ht="21.75" customHeight="1">
      <c r="A178" s="72" t="str">
        <f>Tableau!A178</f>
        <v/>
      </c>
      <c r="B178" s="438"/>
      <c r="C178" s="438"/>
      <c r="D178" s="439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1"/>
      <c r="AC178" s="155"/>
    </row>
    <row r="179" ht="21.75" hidden="1" customHeight="1">
      <c r="A179" s="114" t="str">
        <f>Tableau!A179</f>
        <v/>
      </c>
      <c r="B179" s="442"/>
      <c r="C179" s="442"/>
      <c r="D179" s="443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21"/>
      <c r="AC179" s="120"/>
    </row>
    <row r="180" ht="21.75" hidden="1" customHeight="1">
      <c r="A180" s="114" t="str">
        <f>Tableau!A180</f>
        <v/>
      </c>
      <c r="B180" s="442"/>
      <c r="C180" s="442"/>
      <c r="D180" s="443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21"/>
      <c r="AC180" s="120"/>
    </row>
    <row r="181" ht="21.75" hidden="1" customHeight="1">
      <c r="A181" s="114" t="str">
        <f>Tableau!A181</f>
        <v/>
      </c>
      <c r="B181" s="442"/>
      <c r="C181" s="442"/>
      <c r="D181" s="443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21"/>
      <c r="AC181" s="120"/>
    </row>
    <row r="182" ht="21.75" hidden="1" customHeight="1">
      <c r="A182" s="114" t="str">
        <f>Tableau!A182</f>
        <v/>
      </c>
      <c r="B182" s="442"/>
      <c r="C182" s="442"/>
      <c r="D182" s="443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21"/>
      <c r="AC182" s="120"/>
    </row>
    <row r="183" ht="21.75" hidden="1" customHeight="1">
      <c r="A183" s="114" t="str">
        <f>Tableau!A183</f>
        <v/>
      </c>
      <c r="B183" s="442"/>
      <c r="C183" s="442"/>
      <c r="D183" s="443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21"/>
      <c r="AC183" s="120"/>
    </row>
    <row r="184" ht="21.75" hidden="1" customHeight="1">
      <c r="A184" s="114" t="str">
        <f>Tableau!A184</f>
        <v/>
      </c>
      <c r="B184" s="442"/>
      <c r="C184" s="442"/>
      <c r="D184" s="443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21"/>
      <c r="AC184" s="120"/>
    </row>
    <row r="185" ht="21.75" hidden="1" customHeight="1">
      <c r="A185" s="114" t="str">
        <f>Tableau!A185</f>
        <v/>
      </c>
      <c r="B185" s="442"/>
      <c r="C185" s="442"/>
      <c r="D185" s="443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21"/>
      <c r="AC185" s="120"/>
    </row>
    <row r="186" ht="21.75" hidden="1" customHeight="1">
      <c r="A186" s="114" t="str">
        <f>Tableau!A186</f>
        <v/>
      </c>
      <c r="B186" s="442"/>
      <c r="C186" s="442"/>
      <c r="D186" s="443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21"/>
      <c r="AC186" s="120"/>
    </row>
    <row r="187" ht="21.75" hidden="1" customHeight="1">
      <c r="A187" s="114" t="str">
        <f>Tableau!A187</f>
        <v/>
      </c>
      <c r="B187" s="442"/>
      <c r="C187" s="442"/>
      <c r="D187" s="443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21"/>
      <c r="AC187" s="120"/>
    </row>
    <row r="188" ht="21.75" hidden="1" customHeight="1">
      <c r="A188" s="114" t="str">
        <f>Tableau!A188</f>
        <v/>
      </c>
      <c r="B188" s="442"/>
      <c r="C188" s="442"/>
      <c r="D188" s="443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21"/>
      <c r="AC188" s="120"/>
    </row>
    <row r="189" ht="21.75" hidden="1" customHeight="1">
      <c r="A189" s="114" t="str">
        <f>Tableau!A189</f>
        <v/>
      </c>
      <c r="B189" s="442"/>
      <c r="C189" s="442"/>
      <c r="D189" s="443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21"/>
      <c r="AC189" s="120"/>
    </row>
    <row r="190" ht="21.75" hidden="1" customHeight="1">
      <c r="A190" s="114" t="str">
        <f>Tableau!A190</f>
        <v/>
      </c>
      <c r="B190" s="442"/>
      <c r="C190" s="442"/>
      <c r="D190" s="443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21"/>
      <c r="AC190" s="120"/>
    </row>
    <row r="191" hidden="1">
      <c r="A191" s="444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  <c r="AA191" s="442"/>
      <c r="AB191" s="442"/>
      <c r="AC191" s="442"/>
    </row>
    <row r="192" hidden="1">
      <c r="A192" s="444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  <c r="AA192" s="442"/>
      <c r="AB192" s="442"/>
      <c r="AC192" s="442"/>
    </row>
    <row r="193" hidden="1">
      <c r="A193" s="444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  <c r="AA193" s="442"/>
      <c r="AB193" s="442"/>
      <c r="AC193" s="442"/>
    </row>
    <row r="194" hidden="1">
      <c r="A194" s="444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  <c r="AA194" s="442"/>
      <c r="AB194" s="442"/>
      <c r="AC194" s="442"/>
    </row>
    <row r="195" hidden="1">
      <c r="A195" s="444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  <c r="AA195" s="442"/>
      <c r="AB195" s="442"/>
      <c r="AC195" s="442"/>
    </row>
    <row r="196" hidden="1">
      <c r="A196" s="444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  <c r="AA196" s="442"/>
      <c r="AB196" s="442"/>
      <c r="AC196" s="442"/>
    </row>
    <row r="197" hidden="1">
      <c r="A197" s="444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  <c r="AA197" s="442"/>
      <c r="AB197" s="442"/>
      <c r="AC197" s="442"/>
    </row>
    <row r="198" hidden="1">
      <c r="A198" s="444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  <c r="AA198" s="442"/>
      <c r="AB198" s="442"/>
      <c r="AC198" s="442"/>
    </row>
    <row r="199" hidden="1">
      <c r="A199" s="444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  <c r="AA199" s="442"/>
      <c r="AB199" s="442"/>
      <c r="AC199" s="442"/>
    </row>
    <row r="200" hidden="1">
      <c r="A200" s="444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  <c r="AA200" s="442"/>
      <c r="AB200" s="442"/>
      <c r="AC200" s="442"/>
    </row>
    <row r="201" hidden="1">
      <c r="A201" s="444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  <c r="AA201" s="442"/>
      <c r="AB201" s="442"/>
      <c r="AC201" s="442"/>
    </row>
    <row r="202" hidden="1">
      <c r="A202" s="444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  <c r="AA202" s="442"/>
      <c r="AB202" s="442"/>
      <c r="AC202" s="442"/>
    </row>
    <row r="203" hidden="1">
      <c r="A203" s="444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  <c r="AA203" s="442"/>
      <c r="AB203" s="442"/>
      <c r="AC203" s="442"/>
    </row>
    <row r="204" hidden="1">
      <c r="A204" s="444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  <c r="AA204" s="442"/>
      <c r="AB204" s="442"/>
      <c r="AC204" s="442"/>
    </row>
    <row r="205" hidden="1">
      <c r="A205" s="444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  <c r="AA205" s="442"/>
      <c r="AB205" s="442"/>
      <c r="AC205" s="442"/>
    </row>
    <row r="206" hidden="1">
      <c r="A206" s="444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  <c r="AA206" s="442"/>
      <c r="AB206" s="442"/>
      <c r="AC206" s="442"/>
    </row>
    <row r="207" hidden="1">
      <c r="A207" s="444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  <c r="AA207" s="442"/>
      <c r="AB207" s="442"/>
      <c r="AC207" s="442"/>
    </row>
    <row r="208" hidden="1">
      <c r="A208" s="444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  <c r="AA208" s="442"/>
      <c r="AB208" s="442"/>
      <c r="AC208" s="442"/>
    </row>
    <row r="209" hidden="1">
      <c r="A209" s="444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  <c r="AA209" s="442"/>
      <c r="AB209" s="442"/>
      <c r="AC209" s="442"/>
    </row>
    <row r="210" hidden="1">
      <c r="A210" s="444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  <c r="AA210" s="442"/>
      <c r="AB210" s="442"/>
      <c r="AC210" s="442"/>
    </row>
    <row r="211" hidden="1">
      <c r="A211" s="444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  <c r="AA211" s="442"/>
      <c r="AB211" s="442"/>
      <c r="AC211" s="442"/>
    </row>
    <row r="212" hidden="1">
      <c r="A212" s="444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  <c r="AA212" s="442"/>
      <c r="AB212" s="442"/>
      <c r="AC212" s="442"/>
    </row>
    <row r="213" hidden="1">
      <c r="A213" s="444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  <c r="AA213" s="442"/>
      <c r="AB213" s="442"/>
      <c r="AC213" s="442"/>
    </row>
    <row r="214" hidden="1">
      <c r="A214" s="444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  <c r="AA214" s="442"/>
      <c r="AB214" s="442"/>
      <c r="AC214" s="442"/>
    </row>
    <row r="215" hidden="1">
      <c r="A215" s="444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  <c r="AA215" s="442"/>
      <c r="AB215" s="442"/>
      <c r="AC215" s="442"/>
    </row>
    <row r="216" hidden="1">
      <c r="A216" s="444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  <c r="AA216" s="442"/>
      <c r="AB216" s="442"/>
      <c r="AC216" s="442"/>
    </row>
    <row r="217" hidden="1">
      <c r="A217" s="444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  <c r="AA217" s="442"/>
      <c r="AB217" s="442"/>
      <c r="AC217" s="442"/>
    </row>
    <row r="218" hidden="1">
      <c r="A218" s="444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  <c r="AA218" s="442"/>
      <c r="AB218" s="442"/>
      <c r="AC218" s="442"/>
    </row>
    <row r="219" hidden="1">
      <c r="A219" s="444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  <c r="AA219" s="442"/>
      <c r="AB219" s="442"/>
      <c r="AC219" s="442"/>
    </row>
    <row r="220" hidden="1">
      <c r="A220" s="444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  <c r="AA220" s="442"/>
      <c r="AB220" s="442"/>
      <c r="AC220" s="442"/>
    </row>
    <row r="221" hidden="1">
      <c r="A221" s="444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  <c r="AA221" s="442"/>
      <c r="AB221" s="442"/>
      <c r="AC221" s="442"/>
    </row>
    <row r="222" hidden="1">
      <c r="A222" s="444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  <c r="AA222" s="442"/>
      <c r="AB222" s="442"/>
      <c r="AC222" s="442"/>
    </row>
    <row r="223" hidden="1">
      <c r="A223" s="444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  <c r="AA223" s="442"/>
      <c r="AB223" s="442"/>
      <c r="AC223" s="442"/>
    </row>
    <row r="224" hidden="1">
      <c r="A224" s="444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  <c r="AA224" s="442"/>
      <c r="AB224" s="442"/>
      <c r="AC224" s="442"/>
    </row>
    <row r="225" hidden="1">
      <c r="A225" s="444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  <c r="AA225" s="442"/>
      <c r="AB225" s="442"/>
      <c r="AC225" s="442"/>
    </row>
    <row r="226" hidden="1">
      <c r="A226" s="444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  <c r="AA226" s="442"/>
      <c r="AB226" s="442"/>
      <c r="AC226" s="442"/>
    </row>
    <row r="227" hidden="1">
      <c r="A227" s="444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  <c r="AA227" s="442"/>
      <c r="AB227" s="442"/>
      <c r="AC227" s="442"/>
    </row>
    <row r="228" hidden="1">
      <c r="A228" s="444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  <c r="AA228" s="442"/>
      <c r="AB228" s="442"/>
      <c r="AC228" s="442"/>
    </row>
    <row r="229" hidden="1">
      <c r="A229" s="444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  <c r="AA229" s="442"/>
      <c r="AB229" s="442"/>
      <c r="AC229" s="442"/>
    </row>
    <row r="230" hidden="1">
      <c r="A230" s="444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  <c r="AA230" s="442"/>
      <c r="AB230" s="442"/>
      <c r="AC230" s="442"/>
    </row>
    <row r="231" hidden="1">
      <c r="A231" s="444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  <c r="AA231" s="442"/>
      <c r="AB231" s="442"/>
      <c r="AC231" s="442"/>
    </row>
    <row r="232" hidden="1">
      <c r="A232" s="444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  <c r="AA232" s="442"/>
      <c r="AB232" s="442"/>
      <c r="AC232" s="442"/>
    </row>
    <row r="233" hidden="1">
      <c r="A233" s="444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  <c r="AA233" s="442"/>
      <c r="AB233" s="442"/>
      <c r="AC233" s="442"/>
    </row>
    <row r="234" hidden="1">
      <c r="A234" s="444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  <c r="AA234" s="442"/>
      <c r="AB234" s="442"/>
      <c r="AC234" s="442"/>
    </row>
    <row r="235" hidden="1">
      <c r="A235" s="444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  <c r="AA235" s="442"/>
      <c r="AB235" s="442"/>
      <c r="AC235" s="442"/>
    </row>
    <row r="236" hidden="1">
      <c r="A236" s="444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  <c r="AA236" s="442"/>
      <c r="AB236" s="442"/>
      <c r="AC236" s="442"/>
    </row>
    <row r="237" hidden="1">
      <c r="A237" s="444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  <c r="AA237" s="442"/>
      <c r="AB237" s="442"/>
      <c r="AC237" s="442"/>
    </row>
    <row r="238" hidden="1">
      <c r="A238" s="444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  <c r="AA238" s="442"/>
      <c r="AB238" s="442"/>
      <c r="AC238" s="442"/>
    </row>
    <row r="239" hidden="1">
      <c r="A239" s="444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  <c r="AA239" s="442"/>
      <c r="AB239" s="442"/>
      <c r="AC239" s="442"/>
    </row>
    <row r="240" hidden="1">
      <c r="A240" s="444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  <c r="AA240" s="442"/>
      <c r="AB240" s="442"/>
      <c r="AC240" s="442"/>
    </row>
    <row r="241" hidden="1">
      <c r="A241" s="444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  <c r="AA241" s="442"/>
      <c r="AB241" s="442"/>
      <c r="AC241" s="442"/>
    </row>
    <row r="242" hidden="1">
      <c r="A242" s="444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  <c r="AA242" s="442"/>
      <c r="AB242" s="442"/>
      <c r="AC242" s="442"/>
    </row>
    <row r="243" hidden="1">
      <c r="A243" s="444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  <c r="AA243" s="442"/>
      <c r="AB243" s="442"/>
      <c r="AC243" s="442"/>
    </row>
    <row r="244" hidden="1">
      <c r="A244" s="444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  <c r="AA244" s="442"/>
      <c r="AB244" s="442"/>
      <c r="AC244" s="442"/>
    </row>
    <row r="245" hidden="1">
      <c r="A245" s="444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  <c r="AA245" s="442"/>
      <c r="AB245" s="442"/>
      <c r="AC245" s="442"/>
    </row>
    <row r="246" hidden="1">
      <c r="A246" s="444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  <c r="AA246" s="442"/>
      <c r="AB246" s="442"/>
      <c r="AC246" s="442"/>
    </row>
    <row r="247" hidden="1">
      <c r="A247" s="444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  <c r="AA247" s="442"/>
      <c r="AB247" s="442"/>
      <c r="AC247" s="442"/>
    </row>
    <row r="248" hidden="1">
      <c r="A248" s="444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  <c r="AA248" s="442"/>
      <c r="AB248" s="442"/>
      <c r="AC248" s="442"/>
    </row>
    <row r="249" hidden="1">
      <c r="A249" s="444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  <c r="AA249" s="442"/>
      <c r="AB249" s="442"/>
      <c r="AC249" s="442"/>
    </row>
    <row r="250" hidden="1">
      <c r="A250" s="444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  <c r="AA250" s="442"/>
      <c r="AB250" s="442"/>
      <c r="AC250" s="442"/>
    </row>
    <row r="251" hidden="1">
      <c r="A251" s="444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  <c r="AA251" s="442"/>
      <c r="AB251" s="442"/>
      <c r="AC251" s="442"/>
    </row>
    <row r="252" hidden="1">
      <c r="A252" s="444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  <c r="AA252" s="442"/>
      <c r="AB252" s="442"/>
      <c r="AC252" s="442"/>
    </row>
    <row r="253" hidden="1">
      <c r="A253" s="444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  <c r="AA253" s="442"/>
      <c r="AB253" s="442"/>
      <c r="AC253" s="442"/>
    </row>
    <row r="254" hidden="1">
      <c r="A254" s="444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  <c r="AA254" s="442"/>
      <c r="AB254" s="442"/>
      <c r="AC254" s="442"/>
    </row>
    <row r="255" hidden="1">
      <c r="A255" s="444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  <c r="AA255" s="442"/>
      <c r="AB255" s="442"/>
      <c r="AC255" s="442"/>
    </row>
    <row r="256" hidden="1">
      <c r="A256" s="444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  <c r="AA256" s="442"/>
      <c r="AB256" s="442"/>
      <c r="AC256" s="442"/>
    </row>
    <row r="257" hidden="1">
      <c r="A257" s="444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  <c r="AA257" s="442"/>
      <c r="AB257" s="442"/>
      <c r="AC257" s="442"/>
    </row>
    <row r="258" hidden="1">
      <c r="A258" s="444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  <c r="AA258" s="442"/>
      <c r="AB258" s="442"/>
      <c r="AC258" s="442"/>
    </row>
    <row r="259" hidden="1">
      <c r="A259" s="444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  <c r="AA259" s="442"/>
      <c r="AB259" s="442"/>
      <c r="AC259" s="442"/>
    </row>
    <row r="260" hidden="1">
      <c r="A260" s="444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  <c r="AA260" s="442"/>
      <c r="AB260" s="442"/>
      <c r="AC260" s="442"/>
    </row>
    <row r="261" hidden="1">
      <c r="A261" s="444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  <c r="AA261" s="442"/>
      <c r="AB261" s="442"/>
      <c r="AC261" s="442"/>
    </row>
    <row r="262" hidden="1">
      <c r="A262" s="444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  <c r="AA262" s="442"/>
      <c r="AB262" s="442"/>
      <c r="AC262" s="442"/>
    </row>
    <row r="263" hidden="1">
      <c r="A263" s="444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  <c r="AA263" s="442"/>
      <c r="AB263" s="442"/>
      <c r="AC263" s="442"/>
    </row>
    <row r="264" hidden="1">
      <c r="A264" s="444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  <c r="AA264" s="442"/>
      <c r="AB264" s="442"/>
      <c r="AC264" s="442"/>
    </row>
    <row r="265" hidden="1">
      <c r="A265" s="444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  <c r="AA265" s="442"/>
      <c r="AB265" s="442"/>
      <c r="AC265" s="442"/>
    </row>
    <row r="266" hidden="1">
      <c r="A266" s="444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  <c r="AA266" s="442"/>
      <c r="AB266" s="442"/>
      <c r="AC266" s="442"/>
    </row>
    <row r="267" hidden="1">
      <c r="A267" s="444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  <c r="AA267" s="442"/>
      <c r="AB267" s="442"/>
      <c r="AC267" s="442"/>
    </row>
    <row r="268" hidden="1">
      <c r="A268" s="444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  <c r="AA268" s="442"/>
      <c r="AB268" s="442"/>
      <c r="AC268" s="442"/>
    </row>
    <row r="269" hidden="1">
      <c r="A269" s="444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  <c r="AA269" s="442"/>
      <c r="AB269" s="442"/>
      <c r="AC269" s="442"/>
    </row>
    <row r="270" hidden="1">
      <c r="A270" s="444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  <c r="AA270" s="442"/>
      <c r="AB270" s="442"/>
      <c r="AC270" s="442"/>
    </row>
    <row r="271" hidden="1">
      <c r="A271" s="444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  <c r="AA271" s="442"/>
      <c r="AB271" s="442"/>
      <c r="AC271" s="442"/>
    </row>
    <row r="272" hidden="1">
      <c r="A272" s="444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  <c r="AA272" s="442"/>
      <c r="AB272" s="442"/>
      <c r="AC272" s="442"/>
    </row>
    <row r="273" hidden="1">
      <c r="A273" s="444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  <c r="AA273" s="442"/>
      <c r="AB273" s="442"/>
      <c r="AC273" s="442"/>
    </row>
    <row r="274" hidden="1">
      <c r="A274" s="444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  <c r="AA274" s="442"/>
      <c r="AB274" s="442"/>
      <c r="AC274" s="442"/>
    </row>
    <row r="275" hidden="1">
      <c r="A275" s="444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  <c r="AA275" s="442"/>
      <c r="AB275" s="442"/>
      <c r="AC275" s="442"/>
    </row>
    <row r="276" hidden="1">
      <c r="A276" s="444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  <c r="AA276" s="442"/>
      <c r="AB276" s="442"/>
      <c r="AC276" s="442"/>
    </row>
    <row r="277" hidden="1">
      <c r="A277" s="444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  <c r="AA277" s="442"/>
      <c r="AB277" s="442"/>
      <c r="AC277" s="442"/>
    </row>
    <row r="278" hidden="1">
      <c r="A278" s="444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  <c r="AA278" s="442"/>
      <c r="AB278" s="442"/>
      <c r="AC278" s="442"/>
    </row>
    <row r="279" hidden="1">
      <c r="A279" s="444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  <c r="AA279" s="442"/>
      <c r="AB279" s="442"/>
      <c r="AC279" s="442"/>
    </row>
    <row r="280" hidden="1">
      <c r="A280" s="444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  <c r="AA280" s="442"/>
      <c r="AB280" s="442"/>
      <c r="AC280" s="442"/>
    </row>
    <row r="281" hidden="1">
      <c r="A281" s="444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  <c r="AA281" s="442"/>
      <c r="AB281" s="442"/>
      <c r="AC281" s="442"/>
    </row>
    <row r="282" hidden="1">
      <c r="A282" s="444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  <c r="AA282" s="442"/>
      <c r="AB282" s="442"/>
      <c r="AC282" s="442"/>
    </row>
    <row r="283" hidden="1">
      <c r="A283" s="444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  <c r="AA283" s="442"/>
      <c r="AB283" s="442"/>
      <c r="AC283" s="442"/>
    </row>
    <row r="284" hidden="1">
      <c r="A284" s="444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  <c r="AA284" s="442"/>
      <c r="AB284" s="442"/>
      <c r="AC284" s="442"/>
    </row>
    <row r="285" hidden="1">
      <c r="A285" s="444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  <c r="AA285" s="442"/>
      <c r="AB285" s="442"/>
      <c r="AC285" s="442"/>
    </row>
    <row r="286" hidden="1">
      <c r="A286" s="444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  <c r="AA286" s="442"/>
      <c r="AB286" s="442"/>
      <c r="AC286" s="442"/>
    </row>
    <row r="287" hidden="1">
      <c r="A287" s="444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  <c r="AA287" s="442"/>
      <c r="AB287" s="442"/>
      <c r="AC287" s="442"/>
    </row>
    <row r="288" hidden="1">
      <c r="A288" s="444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  <c r="AA288" s="442"/>
      <c r="AB288" s="442"/>
      <c r="AC288" s="442"/>
    </row>
    <row r="289" hidden="1">
      <c r="A289" s="444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  <c r="AA289" s="442"/>
      <c r="AB289" s="442"/>
      <c r="AC289" s="442"/>
    </row>
    <row r="290" hidden="1">
      <c r="A290" s="444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  <c r="AA290" s="442"/>
      <c r="AB290" s="442"/>
      <c r="AC290" s="442"/>
    </row>
    <row r="291" hidden="1">
      <c r="A291" s="444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  <c r="AA291" s="442"/>
      <c r="AB291" s="442"/>
      <c r="AC291" s="442"/>
    </row>
    <row r="292" hidden="1">
      <c r="A292" s="444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  <c r="AA292" s="442"/>
      <c r="AB292" s="442"/>
      <c r="AC292" s="442"/>
    </row>
    <row r="293" hidden="1">
      <c r="A293" s="444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  <c r="AA293" s="442"/>
      <c r="AB293" s="442"/>
      <c r="AC293" s="442"/>
    </row>
    <row r="294" hidden="1">
      <c r="A294" s="444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  <c r="AA294" s="442"/>
      <c r="AB294" s="442"/>
      <c r="AC294" s="442"/>
    </row>
    <row r="295" hidden="1">
      <c r="A295" s="444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  <c r="AA295" s="442"/>
      <c r="AB295" s="442"/>
      <c r="AC295" s="442"/>
    </row>
    <row r="296" hidden="1">
      <c r="A296" s="444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  <c r="AA296" s="442"/>
      <c r="AB296" s="442"/>
      <c r="AC296" s="442"/>
    </row>
    <row r="297" hidden="1">
      <c r="A297" s="444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  <c r="AA297" s="442"/>
      <c r="AB297" s="442"/>
      <c r="AC297" s="442"/>
    </row>
    <row r="298" hidden="1">
      <c r="A298" s="444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  <c r="AA298" s="442"/>
      <c r="AB298" s="442"/>
      <c r="AC298" s="442"/>
    </row>
    <row r="299" hidden="1">
      <c r="A299" s="444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  <c r="AA299" s="442"/>
      <c r="AB299" s="442"/>
      <c r="AC299" s="442"/>
    </row>
    <row r="300" hidden="1">
      <c r="A300" s="444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  <c r="AA300" s="442"/>
      <c r="AB300" s="442"/>
      <c r="AC300" s="442"/>
    </row>
    <row r="301" hidden="1">
      <c r="A301" s="444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  <c r="AA301" s="442"/>
      <c r="AB301" s="442"/>
      <c r="AC301" s="442"/>
    </row>
    <row r="302" hidden="1">
      <c r="A302" s="444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  <c r="AA302" s="442"/>
      <c r="AB302" s="442"/>
      <c r="AC302" s="442"/>
    </row>
    <row r="303" hidden="1">
      <c r="A303" s="444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  <c r="AA303" s="442"/>
      <c r="AB303" s="442"/>
      <c r="AC303" s="442"/>
    </row>
    <row r="304" hidden="1">
      <c r="A304" s="444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  <c r="AA304" s="442"/>
      <c r="AB304" s="442"/>
      <c r="AC304" s="442"/>
    </row>
    <row r="305" hidden="1">
      <c r="A305" s="444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  <c r="AA305" s="442"/>
      <c r="AB305" s="442"/>
      <c r="AC305" s="442"/>
    </row>
    <row r="306" hidden="1">
      <c r="A306" s="444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  <c r="AA306" s="442"/>
      <c r="AB306" s="442"/>
      <c r="AC306" s="442"/>
    </row>
    <row r="307" hidden="1">
      <c r="A307" s="444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  <c r="AA307" s="442"/>
      <c r="AB307" s="442"/>
      <c r="AC307" s="442"/>
    </row>
    <row r="308" hidden="1">
      <c r="A308" s="444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  <c r="AA308" s="442"/>
      <c r="AB308" s="442"/>
      <c r="AC308" s="442"/>
    </row>
    <row r="309" hidden="1">
      <c r="A309" s="444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  <c r="AA309" s="442"/>
      <c r="AB309" s="442"/>
      <c r="AC309" s="442"/>
    </row>
    <row r="310" hidden="1">
      <c r="A310" s="444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  <c r="AA310" s="442"/>
      <c r="AB310" s="442"/>
      <c r="AC310" s="442"/>
    </row>
    <row r="311" hidden="1">
      <c r="A311" s="444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  <c r="AA311" s="442"/>
      <c r="AB311" s="442"/>
      <c r="AC311" s="442"/>
    </row>
    <row r="312" hidden="1">
      <c r="A312" s="444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  <c r="AA312" s="442"/>
      <c r="AB312" s="442"/>
      <c r="AC312" s="442"/>
    </row>
    <row r="313" hidden="1">
      <c r="A313" s="444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  <c r="AA313" s="442"/>
      <c r="AB313" s="442"/>
      <c r="AC313" s="442"/>
    </row>
    <row r="314" hidden="1">
      <c r="A314" s="444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  <c r="AA314" s="442"/>
      <c r="AB314" s="442"/>
      <c r="AC314" s="442"/>
    </row>
    <row r="315" hidden="1">
      <c r="A315" s="444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  <c r="AA315" s="442"/>
      <c r="AB315" s="442"/>
      <c r="AC315" s="442"/>
    </row>
    <row r="316" hidden="1">
      <c r="A316" s="444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  <c r="AA316" s="442"/>
      <c r="AB316" s="442"/>
      <c r="AC316" s="442"/>
    </row>
    <row r="317" hidden="1">
      <c r="A317" s="444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  <c r="AA317" s="442"/>
      <c r="AB317" s="442"/>
      <c r="AC317" s="442"/>
    </row>
    <row r="318" hidden="1">
      <c r="A318" s="444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  <c r="AA318" s="442"/>
      <c r="AB318" s="442"/>
      <c r="AC318" s="442"/>
    </row>
    <row r="319" hidden="1">
      <c r="A319" s="444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  <c r="AA319" s="442"/>
      <c r="AB319" s="442"/>
      <c r="AC319" s="442"/>
    </row>
    <row r="320" hidden="1">
      <c r="A320" s="444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  <c r="AA320" s="442"/>
      <c r="AB320" s="442"/>
      <c r="AC320" s="442"/>
    </row>
    <row r="321" hidden="1">
      <c r="A321" s="444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  <c r="AA321" s="442"/>
      <c r="AB321" s="442"/>
      <c r="AC321" s="442"/>
    </row>
    <row r="322" hidden="1">
      <c r="A322" s="444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  <c r="AA322" s="442"/>
      <c r="AB322" s="442"/>
      <c r="AC322" s="442"/>
    </row>
    <row r="323" hidden="1">
      <c r="A323" s="444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  <c r="AA323" s="442"/>
      <c r="AB323" s="442"/>
      <c r="AC323" s="442"/>
    </row>
    <row r="324" hidden="1">
      <c r="A324" s="444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  <c r="AA324" s="442"/>
      <c r="AB324" s="442"/>
      <c r="AC324" s="442"/>
    </row>
    <row r="325" hidden="1">
      <c r="A325" s="444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  <c r="AA325" s="442"/>
      <c r="AB325" s="442"/>
      <c r="AC325" s="442"/>
    </row>
    <row r="326" hidden="1">
      <c r="A326" s="444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  <c r="AA326" s="442"/>
      <c r="AB326" s="442"/>
      <c r="AC326" s="442"/>
    </row>
    <row r="327" hidden="1">
      <c r="A327" s="444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  <c r="AA327" s="442"/>
      <c r="AB327" s="442"/>
      <c r="AC327" s="442"/>
    </row>
    <row r="328" hidden="1">
      <c r="A328" s="444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  <c r="AA328" s="442"/>
      <c r="AB328" s="442"/>
      <c r="AC328" s="442"/>
    </row>
    <row r="329" hidden="1">
      <c r="A329" s="444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  <c r="AA329" s="442"/>
      <c r="AB329" s="442"/>
      <c r="AC329" s="442"/>
    </row>
    <row r="330" hidden="1">
      <c r="A330" s="444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  <c r="AA330" s="442"/>
      <c r="AB330" s="442"/>
      <c r="AC330" s="442"/>
    </row>
    <row r="331" hidden="1">
      <c r="A331" s="444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  <c r="AA331" s="442"/>
      <c r="AB331" s="442"/>
      <c r="AC331" s="442"/>
    </row>
    <row r="332" hidden="1">
      <c r="A332" s="444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  <c r="AA332" s="442"/>
      <c r="AB332" s="442"/>
      <c r="AC332" s="442"/>
    </row>
    <row r="333" hidden="1">
      <c r="A333" s="444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  <c r="AA333" s="442"/>
      <c r="AB333" s="442"/>
      <c r="AC333" s="442"/>
    </row>
    <row r="334" hidden="1">
      <c r="A334" s="444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  <c r="AA334" s="442"/>
      <c r="AB334" s="442"/>
      <c r="AC334" s="442"/>
    </row>
    <row r="335" hidden="1">
      <c r="A335" s="444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  <c r="AA335" s="442"/>
      <c r="AB335" s="442"/>
      <c r="AC335" s="442"/>
    </row>
    <row r="336" hidden="1">
      <c r="A336" s="444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  <c r="AA336" s="442"/>
      <c r="AB336" s="442"/>
      <c r="AC336" s="442"/>
    </row>
    <row r="337" hidden="1">
      <c r="A337" s="444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  <c r="AA337" s="442"/>
      <c r="AB337" s="442"/>
      <c r="AC337" s="442"/>
    </row>
    <row r="338" hidden="1">
      <c r="A338" s="444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  <c r="AA338" s="442"/>
      <c r="AB338" s="442"/>
      <c r="AC338" s="442"/>
    </row>
    <row r="339" hidden="1">
      <c r="A339" s="444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  <c r="AA339" s="442"/>
      <c r="AB339" s="442"/>
      <c r="AC339" s="442"/>
    </row>
    <row r="340" hidden="1">
      <c r="A340" s="444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  <c r="AA340" s="442"/>
      <c r="AB340" s="442"/>
      <c r="AC340" s="442"/>
    </row>
    <row r="341" hidden="1">
      <c r="A341" s="444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  <c r="AA341" s="442"/>
      <c r="AB341" s="442"/>
      <c r="AC341" s="442"/>
    </row>
    <row r="342" hidden="1">
      <c r="A342" s="444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  <c r="AA342" s="442"/>
      <c r="AB342" s="442"/>
      <c r="AC342" s="442"/>
    </row>
    <row r="343" hidden="1">
      <c r="A343" s="444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  <c r="AA343" s="442"/>
      <c r="AB343" s="442"/>
      <c r="AC343" s="442"/>
    </row>
    <row r="344" hidden="1">
      <c r="A344" s="444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  <c r="AA344" s="442"/>
      <c r="AB344" s="442"/>
      <c r="AC344" s="442"/>
    </row>
    <row r="345" hidden="1">
      <c r="A345" s="444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  <c r="AA345" s="442"/>
      <c r="AB345" s="442"/>
      <c r="AC345" s="442"/>
    </row>
    <row r="346" hidden="1">
      <c r="A346" s="444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  <c r="AA346" s="442"/>
      <c r="AB346" s="442"/>
      <c r="AC346" s="442"/>
    </row>
    <row r="347" hidden="1">
      <c r="A347" s="444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  <c r="AA347" s="442"/>
      <c r="AB347" s="442"/>
      <c r="AC347" s="442"/>
    </row>
    <row r="348" hidden="1">
      <c r="A348" s="444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  <c r="AA348" s="442"/>
      <c r="AB348" s="442"/>
      <c r="AC348" s="442"/>
    </row>
    <row r="349" hidden="1">
      <c r="A349" s="444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  <c r="AA349" s="442"/>
      <c r="AB349" s="442"/>
      <c r="AC349" s="442"/>
    </row>
    <row r="350" hidden="1">
      <c r="A350" s="444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  <c r="AA350" s="442"/>
      <c r="AB350" s="442"/>
      <c r="AC350" s="442"/>
    </row>
    <row r="351" hidden="1">
      <c r="A351" s="444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  <c r="AA351" s="442"/>
      <c r="AB351" s="442"/>
      <c r="AC351" s="442"/>
    </row>
    <row r="352" hidden="1">
      <c r="A352" s="444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  <c r="AA352" s="442"/>
      <c r="AB352" s="442"/>
      <c r="AC352" s="442"/>
    </row>
    <row r="353" hidden="1">
      <c r="A353" s="444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  <c r="AA353" s="442"/>
      <c r="AB353" s="442"/>
      <c r="AC353" s="442"/>
    </row>
    <row r="354" hidden="1">
      <c r="A354" s="444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  <c r="AA354" s="442"/>
      <c r="AB354" s="442"/>
      <c r="AC354" s="442"/>
    </row>
    <row r="355" hidden="1">
      <c r="A355" s="444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  <c r="AA355" s="442"/>
      <c r="AB355" s="442"/>
      <c r="AC355" s="442"/>
    </row>
    <row r="356" hidden="1">
      <c r="A356" s="444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  <c r="AA356" s="442"/>
      <c r="AB356" s="442"/>
      <c r="AC356" s="442"/>
    </row>
    <row r="357" hidden="1">
      <c r="A357" s="444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  <c r="AA357" s="442"/>
      <c r="AB357" s="442"/>
      <c r="AC357" s="442"/>
    </row>
    <row r="358" hidden="1">
      <c r="A358" s="444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  <c r="AA358" s="442"/>
      <c r="AB358" s="442"/>
      <c r="AC358" s="442"/>
    </row>
    <row r="359" hidden="1">
      <c r="A359" s="444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  <c r="AA359" s="442"/>
      <c r="AB359" s="442"/>
      <c r="AC359" s="442"/>
    </row>
    <row r="360" hidden="1">
      <c r="A360" s="444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  <c r="AA360" s="442"/>
      <c r="AB360" s="442"/>
      <c r="AC360" s="442"/>
    </row>
    <row r="361" hidden="1">
      <c r="A361" s="444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  <c r="AA361" s="442"/>
      <c r="AB361" s="442"/>
      <c r="AC361" s="442"/>
    </row>
    <row r="362" hidden="1">
      <c r="A362" s="444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  <c r="AA362" s="442"/>
      <c r="AB362" s="442"/>
      <c r="AC362" s="442"/>
    </row>
    <row r="363" hidden="1">
      <c r="A363" s="444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  <c r="AA363" s="442"/>
      <c r="AB363" s="442"/>
      <c r="AC363" s="442"/>
    </row>
    <row r="364" hidden="1">
      <c r="A364" s="444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  <c r="AA364" s="442"/>
      <c r="AB364" s="442"/>
      <c r="AC364" s="442"/>
    </row>
    <row r="365" hidden="1">
      <c r="A365" s="444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  <c r="AA365" s="442"/>
      <c r="AB365" s="442"/>
      <c r="AC365" s="442"/>
    </row>
    <row r="366" hidden="1">
      <c r="A366" s="444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  <c r="AA366" s="442"/>
      <c r="AB366" s="442"/>
      <c r="AC366" s="442"/>
    </row>
    <row r="367" hidden="1">
      <c r="A367" s="444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  <c r="AA367" s="442"/>
      <c r="AB367" s="442"/>
      <c r="AC367" s="442"/>
    </row>
    <row r="368" hidden="1">
      <c r="A368" s="444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  <c r="AA368" s="442"/>
      <c r="AB368" s="442"/>
      <c r="AC368" s="442"/>
    </row>
    <row r="369" hidden="1">
      <c r="A369" s="444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  <c r="AA369" s="442"/>
      <c r="AB369" s="442"/>
      <c r="AC369" s="442"/>
    </row>
    <row r="370" hidden="1">
      <c r="A370" s="444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  <c r="AA370" s="442"/>
      <c r="AB370" s="442"/>
      <c r="AC370" s="442"/>
    </row>
    <row r="371" hidden="1">
      <c r="A371" s="444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  <c r="AA371" s="442"/>
      <c r="AB371" s="442"/>
      <c r="AC371" s="442"/>
    </row>
    <row r="372" hidden="1">
      <c r="A372" s="444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  <c r="AA372" s="442"/>
      <c r="AB372" s="442"/>
      <c r="AC372" s="442"/>
    </row>
    <row r="373" hidden="1">
      <c r="A373" s="444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  <c r="AA373" s="442"/>
      <c r="AB373" s="442"/>
      <c r="AC373" s="442"/>
    </row>
    <row r="374" hidden="1">
      <c r="A374" s="444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  <c r="AA374" s="442"/>
      <c r="AB374" s="442"/>
      <c r="AC374" s="442"/>
    </row>
    <row r="375" hidden="1">
      <c r="A375" s="444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  <c r="AA375" s="442"/>
      <c r="AB375" s="442"/>
      <c r="AC375" s="442"/>
    </row>
    <row r="376" hidden="1">
      <c r="A376" s="444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  <c r="AA376" s="442"/>
      <c r="AB376" s="442"/>
      <c r="AC376" s="442"/>
    </row>
    <row r="377" hidden="1">
      <c r="A377" s="444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  <c r="AA377" s="442"/>
      <c r="AB377" s="442"/>
      <c r="AC377" s="442"/>
    </row>
    <row r="378" hidden="1">
      <c r="A378" s="444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  <c r="AA378" s="442"/>
      <c r="AB378" s="442"/>
      <c r="AC378" s="442"/>
    </row>
    <row r="379" hidden="1">
      <c r="A379" s="444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  <c r="AA379" s="442"/>
      <c r="AB379" s="442"/>
      <c r="AC379" s="442"/>
    </row>
    <row r="380" hidden="1">
      <c r="A380" s="444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  <c r="AA380" s="442"/>
      <c r="AB380" s="442"/>
      <c r="AC380" s="442"/>
    </row>
    <row r="381" hidden="1">
      <c r="A381" s="444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  <c r="AA381" s="442"/>
      <c r="AB381" s="442"/>
      <c r="AC381" s="442"/>
    </row>
    <row r="382" hidden="1">
      <c r="A382" s="444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  <c r="AA382" s="442"/>
      <c r="AB382" s="442"/>
      <c r="AC382" s="442"/>
    </row>
    <row r="383" hidden="1">
      <c r="A383" s="444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  <c r="AA383" s="442"/>
      <c r="AB383" s="442"/>
      <c r="AC383" s="442"/>
    </row>
    <row r="384" hidden="1">
      <c r="A384" s="444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  <c r="AA384" s="442"/>
      <c r="AB384" s="442"/>
      <c r="AC384" s="442"/>
    </row>
    <row r="385" hidden="1">
      <c r="A385" s="444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  <c r="AA385" s="442"/>
      <c r="AB385" s="442"/>
      <c r="AC385" s="442"/>
    </row>
    <row r="386" hidden="1">
      <c r="A386" s="444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  <c r="AA386" s="442"/>
      <c r="AB386" s="442"/>
      <c r="AC386" s="442"/>
    </row>
    <row r="387" hidden="1">
      <c r="A387" s="444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  <c r="AA387" s="442"/>
      <c r="AB387" s="442"/>
      <c r="AC387" s="442"/>
    </row>
    <row r="388" hidden="1">
      <c r="A388" s="444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  <c r="AA388" s="442"/>
      <c r="AB388" s="442"/>
      <c r="AC388" s="442"/>
    </row>
    <row r="389" hidden="1">
      <c r="A389" s="444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  <c r="AA389" s="442"/>
      <c r="AB389" s="442"/>
      <c r="AC389" s="442"/>
    </row>
    <row r="390" hidden="1">
      <c r="A390" s="444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  <c r="AA390" s="442"/>
      <c r="AB390" s="442"/>
      <c r="AC390" s="442"/>
    </row>
    <row r="391" hidden="1">
      <c r="A391" s="444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  <c r="AA391" s="442"/>
      <c r="AB391" s="442"/>
      <c r="AC391" s="442"/>
    </row>
    <row r="392" hidden="1">
      <c r="A392" s="444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  <c r="AA392" s="442"/>
      <c r="AB392" s="442"/>
      <c r="AC392" s="442"/>
    </row>
    <row r="393" hidden="1">
      <c r="A393" s="444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  <c r="AA393" s="442"/>
      <c r="AB393" s="442"/>
      <c r="AC393" s="442"/>
    </row>
    <row r="394" hidden="1">
      <c r="A394" s="444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  <c r="AA394" s="442"/>
      <c r="AB394" s="442"/>
      <c r="AC394" s="442"/>
    </row>
    <row r="395" hidden="1">
      <c r="A395" s="444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  <c r="AA395" s="442"/>
      <c r="AB395" s="442"/>
      <c r="AC395" s="442"/>
    </row>
    <row r="396" hidden="1">
      <c r="A396" s="444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  <c r="AA396" s="442"/>
      <c r="AB396" s="442"/>
      <c r="AC396" s="442"/>
    </row>
    <row r="397" hidden="1">
      <c r="A397" s="444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  <c r="AA397" s="442"/>
      <c r="AB397" s="442"/>
      <c r="AC397" s="442"/>
    </row>
    <row r="398" hidden="1">
      <c r="A398" s="444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  <c r="AA398" s="442"/>
      <c r="AB398" s="442"/>
      <c r="AC398" s="442"/>
    </row>
    <row r="399" hidden="1">
      <c r="A399" s="444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  <c r="AA399" s="442"/>
      <c r="AB399" s="442"/>
      <c r="AC399" s="442"/>
    </row>
    <row r="400" hidden="1">
      <c r="A400" s="444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  <c r="AA400" s="442"/>
      <c r="AB400" s="442"/>
      <c r="AC400" s="442"/>
    </row>
    <row r="401" hidden="1">
      <c r="A401" s="444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  <c r="AA401" s="442"/>
      <c r="AB401" s="442"/>
      <c r="AC401" s="442"/>
    </row>
    <row r="402" hidden="1">
      <c r="A402" s="444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  <c r="AA402" s="442"/>
      <c r="AB402" s="442"/>
      <c r="AC402" s="442"/>
    </row>
    <row r="403" hidden="1">
      <c r="A403" s="444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  <c r="AA403" s="442"/>
      <c r="AB403" s="442"/>
      <c r="AC403" s="442"/>
    </row>
    <row r="404" hidden="1">
      <c r="A404" s="444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  <c r="AA404" s="442"/>
      <c r="AB404" s="442"/>
      <c r="AC404" s="442"/>
    </row>
    <row r="405" hidden="1">
      <c r="A405" s="444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  <c r="AA405" s="442"/>
      <c r="AB405" s="442"/>
      <c r="AC405" s="442"/>
    </row>
    <row r="406" hidden="1">
      <c r="A406" s="444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  <c r="AA406" s="442"/>
      <c r="AB406" s="442"/>
      <c r="AC406" s="442"/>
    </row>
    <row r="407" hidden="1">
      <c r="A407" s="444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  <c r="AA407" s="442"/>
      <c r="AB407" s="442"/>
      <c r="AC407" s="442"/>
    </row>
    <row r="408" hidden="1">
      <c r="A408" s="444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  <c r="AA408" s="442"/>
      <c r="AB408" s="442"/>
      <c r="AC408" s="442"/>
    </row>
    <row r="409" hidden="1">
      <c r="A409" s="444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  <c r="AA409" s="442"/>
      <c r="AB409" s="442"/>
      <c r="AC409" s="442"/>
    </row>
    <row r="410" hidden="1">
      <c r="A410" s="444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  <c r="AA410" s="442"/>
      <c r="AB410" s="442"/>
      <c r="AC410" s="442"/>
    </row>
    <row r="411" hidden="1">
      <c r="A411" s="444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  <c r="AA411" s="442"/>
      <c r="AB411" s="442"/>
      <c r="AC411" s="442"/>
    </row>
    <row r="412" hidden="1">
      <c r="A412" s="444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  <c r="AA412" s="442"/>
      <c r="AB412" s="442"/>
      <c r="AC412" s="442"/>
    </row>
    <row r="413" hidden="1">
      <c r="A413" s="444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  <c r="AA413" s="442"/>
      <c r="AB413" s="442"/>
      <c r="AC413" s="442"/>
    </row>
    <row r="414" hidden="1">
      <c r="A414" s="444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  <c r="AA414" s="442"/>
      <c r="AB414" s="442"/>
      <c r="AC414" s="442"/>
    </row>
    <row r="415" hidden="1">
      <c r="A415" s="444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  <c r="AA415" s="442"/>
      <c r="AB415" s="442"/>
      <c r="AC415" s="442"/>
    </row>
    <row r="416" hidden="1">
      <c r="A416" s="444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  <c r="AA416" s="442"/>
      <c r="AB416" s="442"/>
      <c r="AC416" s="442"/>
    </row>
    <row r="417" hidden="1">
      <c r="A417" s="444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  <c r="AA417" s="442"/>
      <c r="AB417" s="442"/>
      <c r="AC417" s="442"/>
    </row>
    <row r="418" hidden="1">
      <c r="A418" s="444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  <c r="AA418" s="442"/>
      <c r="AB418" s="442"/>
      <c r="AC418" s="442"/>
    </row>
    <row r="419" hidden="1">
      <c r="A419" s="444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  <c r="AA419" s="442"/>
      <c r="AB419" s="442"/>
      <c r="AC419" s="442"/>
    </row>
    <row r="420" hidden="1">
      <c r="A420" s="444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  <c r="AA420" s="442"/>
      <c r="AB420" s="442"/>
      <c r="AC420" s="442"/>
    </row>
    <row r="421" hidden="1">
      <c r="A421" s="444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  <c r="AA421" s="442"/>
      <c r="AB421" s="442"/>
      <c r="AC421" s="442"/>
    </row>
    <row r="422" hidden="1">
      <c r="A422" s="444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  <c r="AA422" s="442"/>
      <c r="AB422" s="442"/>
      <c r="AC422" s="442"/>
    </row>
    <row r="423" hidden="1">
      <c r="A423" s="444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  <c r="AA423" s="442"/>
      <c r="AB423" s="442"/>
      <c r="AC423" s="442"/>
    </row>
    <row r="424" hidden="1">
      <c r="A424" s="444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  <c r="AA424" s="442"/>
      <c r="AB424" s="442"/>
      <c r="AC424" s="442"/>
    </row>
    <row r="425" hidden="1">
      <c r="A425" s="444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  <c r="AA425" s="442"/>
      <c r="AB425" s="442"/>
      <c r="AC425" s="442"/>
    </row>
    <row r="426" hidden="1">
      <c r="A426" s="444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  <c r="AA426" s="442"/>
      <c r="AB426" s="442"/>
      <c r="AC426" s="442"/>
    </row>
    <row r="427" hidden="1">
      <c r="A427" s="444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  <c r="AA427" s="442"/>
      <c r="AB427" s="442"/>
      <c r="AC427" s="442"/>
    </row>
    <row r="428" hidden="1">
      <c r="A428" s="444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  <c r="AA428" s="442"/>
      <c r="AB428" s="442"/>
      <c r="AC428" s="442"/>
    </row>
    <row r="429" hidden="1">
      <c r="A429" s="444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  <c r="AA429" s="442"/>
      <c r="AB429" s="442"/>
      <c r="AC429" s="442"/>
    </row>
    <row r="430" hidden="1">
      <c r="A430" s="444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  <c r="AA430" s="442"/>
      <c r="AB430" s="442"/>
      <c r="AC430" s="442"/>
    </row>
    <row r="431" hidden="1">
      <c r="A431" s="444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  <c r="AA431" s="442"/>
      <c r="AB431" s="442"/>
      <c r="AC431" s="442"/>
    </row>
    <row r="432" hidden="1">
      <c r="A432" s="444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  <c r="AA432" s="442"/>
      <c r="AB432" s="442"/>
      <c r="AC432" s="442"/>
    </row>
    <row r="433" hidden="1">
      <c r="A433" s="444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  <c r="AA433" s="442"/>
      <c r="AB433" s="442"/>
      <c r="AC433" s="442"/>
    </row>
    <row r="434" hidden="1">
      <c r="A434" s="444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  <c r="AA434" s="442"/>
      <c r="AB434" s="442"/>
      <c r="AC434" s="442"/>
    </row>
    <row r="435" hidden="1">
      <c r="A435" s="444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  <c r="AA435" s="442"/>
      <c r="AB435" s="442"/>
      <c r="AC435" s="442"/>
    </row>
    <row r="436" hidden="1">
      <c r="A436" s="444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  <c r="AA436" s="442"/>
      <c r="AB436" s="442"/>
      <c r="AC436" s="442"/>
    </row>
    <row r="437" hidden="1">
      <c r="A437" s="444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  <c r="AA437" s="442"/>
      <c r="AB437" s="442"/>
      <c r="AC437" s="442"/>
    </row>
    <row r="438" hidden="1">
      <c r="A438" s="444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  <c r="AA438" s="442"/>
      <c r="AB438" s="442"/>
      <c r="AC438" s="442"/>
    </row>
    <row r="439" hidden="1">
      <c r="A439" s="444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  <c r="AA439" s="442"/>
      <c r="AB439" s="442"/>
      <c r="AC439" s="442"/>
    </row>
    <row r="440" hidden="1">
      <c r="A440" s="444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  <c r="AA440" s="442"/>
      <c r="AB440" s="442"/>
      <c r="AC440" s="442"/>
    </row>
    <row r="441" hidden="1">
      <c r="A441" s="444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  <c r="AA441" s="442"/>
      <c r="AB441" s="442"/>
      <c r="AC441" s="442"/>
    </row>
    <row r="442" hidden="1">
      <c r="A442" s="444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  <c r="AA442" s="442"/>
      <c r="AB442" s="442"/>
      <c r="AC442" s="442"/>
    </row>
    <row r="443" hidden="1">
      <c r="A443" s="444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  <c r="AA443" s="442"/>
      <c r="AB443" s="442"/>
      <c r="AC443" s="442"/>
    </row>
    <row r="444" hidden="1">
      <c r="A444" s="444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  <c r="AA444" s="442"/>
      <c r="AB444" s="442"/>
      <c r="AC444" s="442"/>
    </row>
    <row r="445" hidden="1">
      <c r="A445" s="444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  <c r="AA445" s="442"/>
      <c r="AB445" s="442"/>
      <c r="AC445" s="442"/>
    </row>
    <row r="446" hidden="1">
      <c r="A446" s="444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  <c r="AA446" s="442"/>
      <c r="AB446" s="442"/>
      <c r="AC446" s="442"/>
    </row>
    <row r="447" hidden="1">
      <c r="A447" s="444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  <c r="AA447" s="442"/>
      <c r="AB447" s="442"/>
      <c r="AC447" s="442"/>
    </row>
    <row r="448" hidden="1">
      <c r="A448" s="444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  <c r="AA448" s="442"/>
      <c r="AB448" s="442"/>
      <c r="AC448" s="442"/>
    </row>
    <row r="449" hidden="1">
      <c r="A449" s="444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  <c r="AA449" s="442"/>
      <c r="AB449" s="442"/>
      <c r="AC449" s="442"/>
    </row>
    <row r="450" hidden="1">
      <c r="A450" s="444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  <c r="AA450" s="442"/>
      <c r="AB450" s="442"/>
      <c r="AC450" s="442"/>
    </row>
    <row r="451" hidden="1">
      <c r="A451" s="444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  <c r="AA451" s="442"/>
      <c r="AB451" s="442"/>
      <c r="AC451" s="442"/>
    </row>
    <row r="452" hidden="1">
      <c r="A452" s="444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  <c r="AA452" s="442"/>
      <c r="AB452" s="442"/>
      <c r="AC452" s="442"/>
    </row>
    <row r="453" hidden="1">
      <c r="A453" s="444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  <c r="AA453" s="442"/>
      <c r="AB453" s="442"/>
      <c r="AC453" s="442"/>
    </row>
    <row r="454" hidden="1">
      <c r="A454" s="444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  <c r="AA454" s="442"/>
      <c r="AB454" s="442"/>
      <c r="AC454" s="442"/>
    </row>
    <row r="455" hidden="1">
      <c r="A455" s="444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  <c r="AA455" s="442"/>
      <c r="AB455" s="442"/>
      <c r="AC455" s="442"/>
    </row>
    <row r="456" hidden="1">
      <c r="A456" s="444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  <c r="AA456" s="442"/>
      <c r="AB456" s="442"/>
      <c r="AC456" s="442"/>
    </row>
    <row r="457" hidden="1">
      <c r="A457" s="444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  <c r="AA457" s="442"/>
      <c r="AB457" s="442"/>
      <c r="AC457" s="442"/>
    </row>
    <row r="458" hidden="1">
      <c r="A458" s="444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  <c r="AA458" s="442"/>
      <c r="AB458" s="442"/>
      <c r="AC458" s="442"/>
    </row>
    <row r="459" hidden="1">
      <c r="A459" s="444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  <c r="AA459" s="442"/>
      <c r="AB459" s="442"/>
      <c r="AC459" s="442"/>
    </row>
    <row r="460" hidden="1">
      <c r="A460" s="444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  <c r="AA460" s="442"/>
      <c r="AB460" s="442"/>
      <c r="AC460" s="442"/>
    </row>
    <row r="461" hidden="1">
      <c r="A461" s="444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  <c r="AA461" s="442"/>
      <c r="AB461" s="442"/>
      <c r="AC461" s="442"/>
    </row>
    <row r="462" hidden="1">
      <c r="A462" s="444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  <c r="AA462" s="442"/>
      <c r="AB462" s="442"/>
      <c r="AC462" s="442"/>
    </row>
    <row r="463" hidden="1">
      <c r="A463" s="444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  <c r="AA463" s="442"/>
      <c r="AB463" s="442"/>
      <c r="AC463" s="442"/>
    </row>
    <row r="464" hidden="1">
      <c r="A464" s="444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  <c r="AA464" s="442"/>
      <c r="AB464" s="442"/>
      <c r="AC464" s="442"/>
    </row>
    <row r="465" hidden="1">
      <c r="A465" s="444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  <c r="AA465" s="442"/>
      <c r="AB465" s="442"/>
      <c r="AC465" s="442"/>
    </row>
    <row r="466" hidden="1">
      <c r="A466" s="444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  <c r="AA466" s="442"/>
      <c r="AB466" s="442"/>
      <c r="AC466" s="442"/>
    </row>
    <row r="467" hidden="1">
      <c r="A467" s="444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  <c r="AA467" s="442"/>
      <c r="AB467" s="442"/>
      <c r="AC467" s="442"/>
    </row>
    <row r="468" hidden="1">
      <c r="A468" s="444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  <c r="AA468" s="442"/>
      <c r="AB468" s="442"/>
      <c r="AC468" s="442"/>
    </row>
    <row r="469" hidden="1">
      <c r="A469" s="444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  <c r="AA469" s="442"/>
      <c r="AB469" s="442"/>
      <c r="AC469" s="442"/>
    </row>
    <row r="470" hidden="1">
      <c r="A470" s="444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  <c r="AA470" s="442"/>
      <c r="AB470" s="442"/>
      <c r="AC470" s="442"/>
    </row>
    <row r="471" hidden="1">
      <c r="A471" s="444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  <c r="AA471" s="442"/>
      <c r="AB471" s="442"/>
      <c r="AC471" s="442"/>
    </row>
    <row r="472" hidden="1">
      <c r="A472" s="444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  <c r="AA472" s="442"/>
      <c r="AB472" s="442"/>
      <c r="AC472" s="442"/>
    </row>
    <row r="473" hidden="1">
      <c r="A473" s="444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  <c r="AA473" s="442"/>
      <c r="AB473" s="442"/>
      <c r="AC473" s="442"/>
    </row>
    <row r="474" hidden="1">
      <c r="A474" s="444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  <c r="AA474" s="442"/>
      <c r="AB474" s="442"/>
      <c r="AC474" s="442"/>
    </row>
    <row r="475" hidden="1">
      <c r="A475" s="444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  <c r="AA475" s="442"/>
      <c r="AB475" s="442"/>
      <c r="AC475" s="442"/>
    </row>
    <row r="476" hidden="1">
      <c r="A476" s="444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  <c r="AA476" s="442"/>
      <c r="AB476" s="442"/>
      <c r="AC476" s="442"/>
    </row>
    <row r="477" hidden="1">
      <c r="A477" s="444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  <c r="AA477" s="442"/>
      <c r="AB477" s="442"/>
      <c r="AC477" s="442"/>
    </row>
    <row r="478" hidden="1">
      <c r="A478" s="444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  <c r="AA478" s="442"/>
      <c r="AB478" s="442"/>
      <c r="AC478" s="442"/>
    </row>
    <row r="479" hidden="1">
      <c r="A479" s="444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  <c r="AA479" s="442"/>
      <c r="AB479" s="442"/>
      <c r="AC479" s="442"/>
    </row>
    <row r="480" hidden="1">
      <c r="A480" s="444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  <c r="AA480" s="442"/>
      <c r="AB480" s="442"/>
      <c r="AC480" s="442"/>
    </row>
    <row r="481" hidden="1">
      <c r="A481" s="444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  <c r="AA481" s="442"/>
      <c r="AB481" s="442"/>
      <c r="AC481" s="442"/>
    </row>
    <row r="482" hidden="1">
      <c r="A482" s="444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  <c r="AA482" s="442"/>
      <c r="AB482" s="442"/>
      <c r="AC482" s="442"/>
    </row>
    <row r="483" hidden="1">
      <c r="A483" s="444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  <c r="AA483" s="442"/>
      <c r="AB483" s="442"/>
      <c r="AC483" s="442"/>
    </row>
    <row r="484" hidden="1">
      <c r="A484" s="444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  <c r="AA484" s="442"/>
      <c r="AB484" s="442"/>
      <c r="AC484" s="442"/>
    </row>
    <row r="485" hidden="1">
      <c r="A485" s="444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  <c r="AA485" s="442"/>
      <c r="AB485" s="442"/>
      <c r="AC485" s="442"/>
    </row>
    <row r="486" hidden="1">
      <c r="A486" s="444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  <c r="AA486" s="442"/>
      <c r="AB486" s="442"/>
      <c r="AC486" s="442"/>
    </row>
    <row r="487" hidden="1">
      <c r="A487" s="444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  <c r="AA487" s="442"/>
      <c r="AB487" s="442"/>
      <c r="AC487" s="442"/>
    </row>
    <row r="488" hidden="1">
      <c r="A488" s="444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  <c r="AA488" s="442"/>
      <c r="AB488" s="442"/>
      <c r="AC488" s="442"/>
    </row>
    <row r="489" hidden="1">
      <c r="A489" s="444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  <c r="AA489" s="442"/>
      <c r="AB489" s="442"/>
      <c r="AC489" s="442"/>
    </row>
    <row r="490" hidden="1">
      <c r="A490" s="444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  <c r="AA490" s="442"/>
      <c r="AB490" s="442"/>
      <c r="AC490" s="442"/>
    </row>
    <row r="491" hidden="1">
      <c r="A491" s="444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  <c r="AA491" s="442"/>
      <c r="AB491" s="442"/>
      <c r="AC491" s="442"/>
    </row>
    <row r="492" hidden="1">
      <c r="A492" s="444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  <c r="AA492" s="442"/>
      <c r="AB492" s="442"/>
      <c r="AC492" s="442"/>
    </row>
    <row r="493" hidden="1">
      <c r="A493" s="444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  <c r="AA493" s="442"/>
      <c r="AB493" s="442"/>
      <c r="AC493" s="442"/>
    </row>
    <row r="494" hidden="1">
      <c r="A494" s="444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  <c r="AA494" s="442"/>
      <c r="AB494" s="442"/>
      <c r="AC494" s="442"/>
    </row>
    <row r="495" hidden="1">
      <c r="A495" s="444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  <c r="AA495" s="442"/>
      <c r="AB495" s="442"/>
      <c r="AC495" s="442"/>
    </row>
    <row r="496" hidden="1">
      <c r="A496" s="444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  <c r="AA496" s="442"/>
      <c r="AB496" s="442"/>
      <c r="AC496" s="442"/>
    </row>
    <row r="497" hidden="1">
      <c r="A497" s="444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  <c r="AA497" s="442"/>
      <c r="AB497" s="442"/>
      <c r="AC497" s="442"/>
    </row>
    <row r="498" hidden="1">
      <c r="A498" s="444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  <c r="AA498" s="442"/>
      <c r="AB498" s="442"/>
      <c r="AC498" s="442"/>
    </row>
    <row r="499" hidden="1">
      <c r="A499" s="444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  <c r="AA499" s="442"/>
      <c r="AB499" s="442"/>
      <c r="AC499" s="442"/>
    </row>
    <row r="500" hidden="1">
      <c r="A500" s="444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  <c r="AA500" s="442"/>
      <c r="AB500" s="442"/>
      <c r="AC500" s="442"/>
    </row>
    <row r="501" hidden="1">
      <c r="A501" s="444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  <c r="AA501" s="442"/>
      <c r="AB501" s="442"/>
      <c r="AC501" s="442"/>
    </row>
    <row r="502" hidden="1">
      <c r="A502" s="444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  <c r="AA502" s="442"/>
      <c r="AB502" s="442"/>
      <c r="AC502" s="442"/>
    </row>
    <row r="503" hidden="1">
      <c r="A503" s="444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  <c r="AA503" s="442"/>
      <c r="AB503" s="442"/>
      <c r="AC503" s="442"/>
    </row>
    <row r="504" hidden="1">
      <c r="A504" s="444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  <c r="AA504" s="442"/>
      <c r="AB504" s="442"/>
      <c r="AC504" s="442"/>
    </row>
    <row r="505" hidden="1">
      <c r="A505" s="444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  <c r="AA505" s="442"/>
      <c r="AB505" s="442"/>
      <c r="AC505" s="442"/>
    </row>
    <row r="506" hidden="1">
      <c r="A506" s="444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  <c r="AA506" s="442"/>
      <c r="AB506" s="442"/>
      <c r="AC506" s="442"/>
    </row>
    <row r="507" hidden="1">
      <c r="A507" s="444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  <c r="AA507" s="442"/>
      <c r="AB507" s="442"/>
      <c r="AC507" s="442"/>
    </row>
    <row r="508" hidden="1">
      <c r="A508" s="444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  <c r="AA508" s="442"/>
      <c r="AB508" s="442"/>
      <c r="AC508" s="442"/>
    </row>
    <row r="509" hidden="1">
      <c r="A509" s="444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  <c r="AA509" s="442"/>
      <c r="AB509" s="442"/>
      <c r="AC509" s="442"/>
    </row>
    <row r="510" hidden="1">
      <c r="A510" s="444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  <c r="AA510" s="442"/>
      <c r="AB510" s="442"/>
      <c r="AC510" s="442"/>
    </row>
    <row r="511" hidden="1">
      <c r="A511" s="444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  <c r="AA511" s="442"/>
      <c r="AB511" s="442"/>
      <c r="AC511" s="442"/>
    </row>
    <row r="512" hidden="1">
      <c r="A512" s="444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  <c r="AA512" s="442"/>
      <c r="AB512" s="442"/>
      <c r="AC512" s="442"/>
    </row>
    <row r="513" hidden="1">
      <c r="A513" s="444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  <c r="AA513" s="442"/>
      <c r="AB513" s="442"/>
      <c r="AC513" s="442"/>
    </row>
    <row r="514" hidden="1">
      <c r="A514" s="444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  <c r="AA514" s="442"/>
      <c r="AB514" s="442"/>
      <c r="AC514" s="442"/>
    </row>
    <row r="515" hidden="1">
      <c r="A515" s="444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  <c r="AA515" s="442"/>
      <c r="AB515" s="442"/>
      <c r="AC515" s="442"/>
    </row>
    <row r="516" hidden="1">
      <c r="A516" s="444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  <c r="AA516" s="442"/>
      <c r="AB516" s="442"/>
      <c r="AC516" s="442"/>
    </row>
    <row r="517" hidden="1">
      <c r="A517" s="444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  <c r="AA517" s="442"/>
      <c r="AB517" s="442"/>
      <c r="AC517" s="442"/>
    </row>
    <row r="518" hidden="1">
      <c r="A518" s="444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  <c r="AA518" s="442"/>
      <c r="AB518" s="442"/>
      <c r="AC518" s="442"/>
    </row>
    <row r="519" hidden="1">
      <c r="A519" s="444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  <c r="AA519" s="442"/>
      <c r="AB519" s="442"/>
      <c r="AC519" s="442"/>
    </row>
    <row r="520" hidden="1">
      <c r="A520" s="444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  <c r="AA520" s="442"/>
      <c r="AB520" s="442"/>
      <c r="AC520" s="442"/>
    </row>
    <row r="521" hidden="1">
      <c r="A521" s="444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  <c r="AA521" s="442"/>
      <c r="AB521" s="442"/>
      <c r="AC521" s="442"/>
    </row>
    <row r="522" hidden="1">
      <c r="A522" s="444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  <c r="AA522" s="442"/>
      <c r="AB522" s="442"/>
      <c r="AC522" s="442"/>
    </row>
    <row r="523" hidden="1">
      <c r="A523" s="444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  <c r="AA523" s="442"/>
      <c r="AB523" s="442"/>
      <c r="AC523" s="442"/>
    </row>
    <row r="524" hidden="1">
      <c r="A524" s="444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  <c r="AA524" s="442"/>
      <c r="AB524" s="442"/>
      <c r="AC524" s="442"/>
    </row>
    <row r="525" hidden="1">
      <c r="A525" s="444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  <c r="AA525" s="442"/>
      <c r="AB525" s="442"/>
      <c r="AC525" s="442"/>
    </row>
    <row r="526" hidden="1">
      <c r="A526" s="444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  <c r="AA526" s="442"/>
      <c r="AB526" s="442"/>
      <c r="AC526" s="442"/>
    </row>
    <row r="527" hidden="1">
      <c r="A527" s="444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  <c r="AA527" s="442"/>
      <c r="AB527" s="442"/>
      <c r="AC527" s="442"/>
    </row>
    <row r="528" hidden="1">
      <c r="A528" s="444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  <c r="AA528" s="442"/>
      <c r="AB528" s="442"/>
      <c r="AC528" s="442"/>
    </row>
    <row r="529" hidden="1">
      <c r="A529" s="444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  <c r="AA529" s="442"/>
      <c r="AB529" s="442"/>
      <c r="AC529" s="442"/>
    </row>
    <row r="530" hidden="1">
      <c r="A530" s="444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  <c r="AA530" s="442"/>
      <c r="AB530" s="442"/>
      <c r="AC530" s="442"/>
    </row>
    <row r="531" hidden="1">
      <c r="A531" s="444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  <c r="AA531" s="442"/>
      <c r="AB531" s="442"/>
      <c r="AC531" s="442"/>
    </row>
    <row r="532" hidden="1">
      <c r="A532" s="444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  <c r="AA532" s="442"/>
      <c r="AB532" s="442"/>
      <c r="AC532" s="442"/>
    </row>
    <row r="533" hidden="1">
      <c r="A533" s="444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  <c r="AA533" s="442"/>
      <c r="AB533" s="442"/>
      <c r="AC533" s="442"/>
    </row>
    <row r="534" hidden="1">
      <c r="A534" s="444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  <c r="AA534" s="442"/>
      <c r="AB534" s="442"/>
      <c r="AC534" s="442"/>
    </row>
    <row r="535" hidden="1">
      <c r="A535" s="444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  <c r="AA535" s="442"/>
      <c r="AB535" s="442"/>
      <c r="AC535" s="442"/>
    </row>
    <row r="536" hidden="1">
      <c r="A536" s="444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  <c r="AA536" s="442"/>
      <c r="AB536" s="442"/>
      <c r="AC536" s="442"/>
    </row>
    <row r="537" hidden="1">
      <c r="A537" s="444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  <c r="AA537" s="442"/>
      <c r="AB537" s="442"/>
      <c r="AC537" s="442"/>
    </row>
    <row r="538" hidden="1">
      <c r="A538" s="444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  <c r="AA538" s="442"/>
      <c r="AB538" s="442"/>
      <c r="AC538" s="442"/>
    </row>
    <row r="539" hidden="1">
      <c r="A539" s="444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  <c r="AA539" s="442"/>
      <c r="AB539" s="442"/>
      <c r="AC539" s="442"/>
    </row>
    <row r="540" hidden="1">
      <c r="A540" s="444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  <c r="AA540" s="442"/>
      <c r="AB540" s="442"/>
      <c r="AC540" s="442"/>
    </row>
    <row r="541" hidden="1">
      <c r="A541" s="444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  <c r="AA541" s="442"/>
      <c r="AB541" s="442"/>
      <c r="AC541" s="442"/>
    </row>
    <row r="542" hidden="1">
      <c r="A542" s="444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  <c r="AA542" s="442"/>
      <c r="AB542" s="442"/>
      <c r="AC542" s="442"/>
    </row>
    <row r="543" hidden="1">
      <c r="A543" s="444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  <c r="AA543" s="442"/>
      <c r="AB543" s="442"/>
      <c r="AC543" s="442"/>
    </row>
    <row r="544" hidden="1">
      <c r="A544" s="444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  <c r="AA544" s="442"/>
      <c r="AB544" s="442"/>
      <c r="AC544" s="442"/>
    </row>
    <row r="545" hidden="1">
      <c r="A545" s="444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  <c r="AA545" s="442"/>
      <c r="AB545" s="442"/>
      <c r="AC545" s="442"/>
    </row>
    <row r="546" hidden="1">
      <c r="A546" s="444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  <c r="AA546" s="442"/>
      <c r="AB546" s="442"/>
      <c r="AC546" s="442"/>
    </row>
    <row r="547" hidden="1">
      <c r="A547" s="444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  <c r="AA547" s="442"/>
      <c r="AB547" s="442"/>
      <c r="AC547" s="442"/>
    </row>
    <row r="548" hidden="1">
      <c r="A548" s="444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  <c r="AA548" s="442"/>
      <c r="AB548" s="442"/>
      <c r="AC548" s="442"/>
    </row>
    <row r="549" hidden="1">
      <c r="A549" s="444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  <c r="AA549" s="442"/>
      <c r="AB549" s="442"/>
      <c r="AC549" s="442"/>
    </row>
    <row r="550" hidden="1">
      <c r="A550" s="444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  <c r="AA550" s="442"/>
      <c r="AB550" s="442"/>
      <c r="AC550" s="442"/>
    </row>
    <row r="551" hidden="1">
      <c r="A551" s="444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  <c r="AA551" s="442"/>
      <c r="AB551" s="442"/>
      <c r="AC551" s="442"/>
    </row>
    <row r="552" hidden="1">
      <c r="A552" s="444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  <c r="AA552" s="442"/>
      <c r="AB552" s="442"/>
      <c r="AC552" s="442"/>
    </row>
    <row r="553" hidden="1">
      <c r="A553" s="444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  <c r="AA553" s="442"/>
      <c r="AB553" s="442"/>
      <c r="AC553" s="442"/>
    </row>
    <row r="554" hidden="1">
      <c r="A554" s="444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  <c r="AA554" s="442"/>
      <c r="AB554" s="442"/>
      <c r="AC554" s="442"/>
    </row>
    <row r="555" hidden="1">
      <c r="A555" s="444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  <c r="AA555" s="442"/>
      <c r="AB555" s="442"/>
      <c r="AC555" s="442"/>
    </row>
    <row r="556" hidden="1">
      <c r="A556" s="444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  <c r="AA556" s="442"/>
      <c r="AB556" s="442"/>
      <c r="AC556" s="442"/>
    </row>
    <row r="557" hidden="1">
      <c r="A557" s="444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  <c r="AA557" s="442"/>
      <c r="AB557" s="442"/>
      <c r="AC557" s="442"/>
    </row>
    <row r="558" hidden="1">
      <c r="A558" s="444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  <c r="AA558" s="442"/>
      <c r="AB558" s="442"/>
      <c r="AC558" s="442"/>
    </row>
    <row r="559" hidden="1">
      <c r="A559" s="444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  <c r="AA559" s="442"/>
      <c r="AB559" s="442"/>
      <c r="AC559" s="442"/>
    </row>
    <row r="560" hidden="1">
      <c r="A560" s="444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  <c r="AA560" s="442"/>
      <c r="AB560" s="442"/>
      <c r="AC560" s="442"/>
    </row>
    <row r="561" hidden="1">
      <c r="A561" s="444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  <c r="AA561" s="442"/>
      <c r="AB561" s="442"/>
      <c r="AC561" s="442"/>
    </row>
    <row r="562" hidden="1">
      <c r="A562" s="444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  <c r="AA562" s="442"/>
      <c r="AB562" s="442"/>
      <c r="AC562" s="442"/>
    </row>
    <row r="563" hidden="1">
      <c r="A563" s="444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  <c r="AA563" s="442"/>
      <c r="AB563" s="442"/>
      <c r="AC563" s="442"/>
    </row>
    <row r="564" hidden="1">
      <c r="A564" s="444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  <c r="AA564" s="442"/>
      <c r="AB564" s="442"/>
      <c r="AC564" s="442"/>
    </row>
    <row r="565" hidden="1">
      <c r="A565" s="444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  <c r="AA565" s="442"/>
      <c r="AB565" s="442"/>
      <c r="AC565" s="442"/>
    </row>
    <row r="566" hidden="1">
      <c r="A566" s="444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  <c r="AA566" s="442"/>
      <c r="AB566" s="442"/>
      <c r="AC566" s="442"/>
    </row>
    <row r="567" hidden="1">
      <c r="A567" s="444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  <c r="AA567" s="442"/>
      <c r="AB567" s="442"/>
      <c r="AC567" s="442"/>
    </row>
    <row r="568" hidden="1">
      <c r="A568" s="444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  <c r="AA568" s="442"/>
      <c r="AB568" s="442"/>
      <c r="AC568" s="442"/>
    </row>
    <row r="569" hidden="1">
      <c r="A569" s="444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  <c r="AA569" s="442"/>
      <c r="AB569" s="442"/>
      <c r="AC569" s="442"/>
    </row>
    <row r="570" hidden="1">
      <c r="A570" s="444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  <c r="AA570" s="442"/>
      <c r="AB570" s="442"/>
      <c r="AC570" s="442"/>
    </row>
    <row r="571" hidden="1">
      <c r="A571" s="444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  <c r="AA571" s="442"/>
      <c r="AB571" s="442"/>
      <c r="AC571" s="442"/>
    </row>
    <row r="572" hidden="1">
      <c r="A572" s="444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  <c r="AA572" s="442"/>
      <c r="AB572" s="442"/>
      <c r="AC572" s="442"/>
    </row>
    <row r="573" hidden="1">
      <c r="A573" s="444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  <c r="AA573" s="442"/>
      <c r="AB573" s="442"/>
      <c r="AC573" s="442"/>
    </row>
    <row r="574" hidden="1">
      <c r="A574" s="444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  <c r="AA574" s="442"/>
      <c r="AB574" s="442"/>
      <c r="AC574" s="442"/>
    </row>
    <row r="575" hidden="1">
      <c r="A575" s="444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  <c r="AA575" s="442"/>
      <c r="AB575" s="442"/>
      <c r="AC575" s="442"/>
    </row>
    <row r="576" hidden="1">
      <c r="A576" s="444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  <c r="AA576" s="442"/>
      <c r="AB576" s="442"/>
      <c r="AC576" s="442"/>
    </row>
    <row r="577" hidden="1">
      <c r="A577" s="444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  <c r="AA577" s="442"/>
      <c r="AB577" s="442"/>
      <c r="AC577" s="442"/>
    </row>
    <row r="578" hidden="1">
      <c r="A578" s="444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  <c r="AA578" s="442"/>
      <c r="AB578" s="442"/>
      <c r="AC578" s="442"/>
    </row>
    <row r="579" hidden="1">
      <c r="A579" s="444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  <c r="AA579" s="442"/>
      <c r="AB579" s="442"/>
      <c r="AC579" s="442"/>
    </row>
    <row r="580" hidden="1">
      <c r="A580" s="444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  <c r="AA580" s="442"/>
      <c r="AB580" s="442"/>
      <c r="AC580" s="442"/>
    </row>
    <row r="581" hidden="1">
      <c r="A581" s="444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  <c r="AA581" s="442"/>
      <c r="AB581" s="442"/>
      <c r="AC581" s="442"/>
    </row>
    <row r="582" hidden="1">
      <c r="A582" s="444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  <c r="AA582" s="442"/>
      <c r="AB582" s="442"/>
      <c r="AC582" s="442"/>
    </row>
    <row r="583" hidden="1">
      <c r="A583" s="444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  <c r="AA583" s="442"/>
      <c r="AB583" s="442"/>
      <c r="AC583" s="442"/>
    </row>
    <row r="584" hidden="1">
      <c r="A584" s="444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  <c r="AA584" s="442"/>
      <c r="AB584" s="442"/>
      <c r="AC584" s="442"/>
    </row>
    <row r="585" hidden="1">
      <c r="A585" s="444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  <c r="AA585" s="442"/>
      <c r="AB585" s="442"/>
      <c r="AC585" s="442"/>
    </row>
    <row r="586" hidden="1">
      <c r="A586" s="444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  <c r="AA586" s="442"/>
      <c r="AB586" s="442"/>
      <c r="AC586" s="442"/>
    </row>
    <row r="587" hidden="1">
      <c r="A587" s="444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  <c r="AA587" s="442"/>
      <c r="AB587" s="442"/>
      <c r="AC587" s="442"/>
    </row>
    <row r="588" hidden="1">
      <c r="A588" s="444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  <c r="AA588" s="442"/>
      <c r="AB588" s="442"/>
      <c r="AC588" s="442"/>
    </row>
    <row r="589" hidden="1">
      <c r="A589" s="444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  <c r="AA589" s="442"/>
      <c r="AB589" s="442"/>
      <c r="AC589" s="442"/>
    </row>
    <row r="590" hidden="1">
      <c r="A590" s="444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  <c r="AA590" s="442"/>
      <c r="AB590" s="442"/>
      <c r="AC590" s="442"/>
    </row>
    <row r="591" hidden="1">
      <c r="A591" s="444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  <c r="AA591" s="442"/>
      <c r="AB591" s="442"/>
      <c r="AC591" s="442"/>
    </row>
    <row r="592" hidden="1">
      <c r="A592" s="444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  <c r="AA592" s="442"/>
      <c r="AB592" s="442"/>
      <c r="AC592" s="442"/>
    </row>
    <row r="593" hidden="1">
      <c r="A593" s="444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  <c r="AA593" s="442"/>
      <c r="AB593" s="442"/>
      <c r="AC593" s="442"/>
    </row>
    <row r="594" hidden="1">
      <c r="A594" s="444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  <c r="AA594" s="442"/>
      <c r="AB594" s="442"/>
      <c r="AC594" s="442"/>
    </row>
    <row r="595" hidden="1">
      <c r="A595" s="444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  <c r="AA595" s="442"/>
      <c r="AB595" s="442"/>
      <c r="AC595" s="442"/>
    </row>
    <row r="596" hidden="1">
      <c r="A596" s="444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  <c r="AA596" s="442"/>
      <c r="AB596" s="442"/>
      <c r="AC596" s="442"/>
    </row>
    <row r="597" hidden="1">
      <c r="A597" s="444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  <c r="AA597" s="442"/>
      <c r="AB597" s="442"/>
      <c r="AC597" s="442"/>
    </row>
    <row r="598" hidden="1">
      <c r="A598" s="444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  <c r="AA598" s="442"/>
      <c r="AB598" s="442"/>
      <c r="AC598" s="442"/>
    </row>
    <row r="599" hidden="1">
      <c r="A599" s="444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  <c r="AA599" s="442"/>
      <c r="AB599" s="442"/>
      <c r="AC599" s="442"/>
    </row>
    <row r="600" hidden="1">
      <c r="A600" s="444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  <c r="AA600" s="442"/>
      <c r="AB600" s="442"/>
      <c r="AC600" s="442"/>
    </row>
    <row r="601" hidden="1">
      <c r="A601" s="444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  <c r="AA601" s="442"/>
      <c r="AB601" s="442"/>
      <c r="AC601" s="442"/>
    </row>
    <row r="602" hidden="1">
      <c r="A602" s="444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  <c r="AA602" s="442"/>
      <c r="AB602" s="442"/>
      <c r="AC602" s="442"/>
    </row>
    <row r="603" hidden="1">
      <c r="A603" s="444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  <c r="AA603" s="442"/>
      <c r="AB603" s="442"/>
      <c r="AC603" s="442"/>
    </row>
    <row r="604" hidden="1">
      <c r="A604" s="444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  <c r="AA604" s="442"/>
      <c r="AB604" s="442"/>
      <c r="AC604" s="442"/>
    </row>
    <row r="605" hidden="1">
      <c r="A605" s="444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  <c r="AA605" s="442"/>
      <c r="AB605" s="442"/>
      <c r="AC605" s="442"/>
    </row>
    <row r="606" hidden="1">
      <c r="A606" s="444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  <c r="AA606" s="442"/>
      <c r="AB606" s="442"/>
      <c r="AC606" s="442"/>
    </row>
    <row r="607" hidden="1">
      <c r="A607" s="444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  <c r="AA607" s="442"/>
      <c r="AB607" s="442"/>
      <c r="AC607" s="442"/>
    </row>
    <row r="608" hidden="1">
      <c r="A608" s="444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  <c r="AA608" s="442"/>
      <c r="AB608" s="442"/>
      <c r="AC608" s="442"/>
    </row>
    <row r="609" hidden="1">
      <c r="A609" s="444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  <c r="AA609" s="442"/>
      <c r="AB609" s="442"/>
      <c r="AC609" s="442"/>
    </row>
    <row r="610" hidden="1">
      <c r="A610" s="444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  <c r="AA610" s="442"/>
      <c r="AB610" s="442"/>
      <c r="AC610" s="442"/>
    </row>
    <row r="611" hidden="1">
      <c r="A611" s="444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  <c r="AA611" s="442"/>
      <c r="AB611" s="442"/>
      <c r="AC611" s="442"/>
    </row>
    <row r="612" hidden="1">
      <c r="A612" s="444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  <c r="AA612" s="442"/>
      <c r="AB612" s="442"/>
      <c r="AC612" s="442"/>
    </row>
    <row r="613" hidden="1">
      <c r="A613" s="444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  <c r="AA613" s="442"/>
      <c r="AB613" s="442"/>
      <c r="AC613" s="442"/>
    </row>
    <row r="614" hidden="1">
      <c r="A614" s="444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  <c r="AA614" s="442"/>
      <c r="AB614" s="442"/>
      <c r="AC614" s="442"/>
    </row>
    <row r="615" hidden="1">
      <c r="A615" s="444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  <c r="AA615" s="442"/>
      <c r="AB615" s="442"/>
      <c r="AC615" s="442"/>
    </row>
    <row r="616" hidden="1">
      <c r="A616" s="444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  <c r="AA616" s="442"/>
      <c r="AB616" s="442"/>
      <c r="AC616" s="442"/>
    </row>
    <row r="617" hidden="1">
      <c r="A617" s="444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  <c r="AA617" s="442"/>
      <c r="AB617" s="442"/>
      <c r="AC617" s="442"/>
    </row>
    <row r="618" hidden="1">
      <c r="A618" s="444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  <c r="AA618" s="442"/>
      <c r="AB618" s="442"/>
      <c r="AC618" s="442"/>
    </row>
    <row r="619" hidden="1">
      <c r="A619" s="444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  <c r="AA619" s="442"/>
      <c r="AB619" s="442"/>
      <c r="AC619" s="442"/>
    </row>
    <row r="620" hidden="1">
      <c r="A620" s="444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  <c r="AA620" s="442"/>
      <c r="AB620" s="442"/>
      <c r="AC620" s="442"/>
    </row>
    <row r="621" hidden="1">
      <c r="A621" s="444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  <c r="AA621" s="442"/>
      <c r="AB621" s="442"/>
      <c r="AC621" s="442"/>
    </row>
    <row r="622" hidden="1">
      <c r="A622" s="444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  <c r="AA622" s="442"/>
      <c r="AB622" s="442"/>
      <c r="AC622" s="442"/>
    </row>
    <row r="623" hidden="1">
      <c r="A623" s="444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  <c r="AA623" s="442"/>
      <c r="AB623" s="442"/>
      <c r="AC623" s="442"/>
    </row>
    <row r="624" hidden="1">
      <c r="A624" s="444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  <c r="AA624" s="442"/>
      <c r="AB624" s="442"/>
      <c r="AC624" s="442"/>
    </row>
    <row r="625" hidden="1">
      <c r="A625" s="444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  <c r="AA625" s="442"/>
      <c r="AB625" s="442"/>
      <c r="AC625" s="442"/>
    </row>
    <row r="626" hidden="1">
      <c r="A626" s="444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  <c r="AA626" s="442"/>
      <c r="AB626" s="442"/>
      <c r="AC626" s="442"/>
    </row>
    <row r="627" hidden="1">
      <c r="A627" s="444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  <c r="AA627" s="442"/>
      <c r="AB627" s="442"/>
      <c r="AC627" s="442"/>
    </row>
    <row r="628" hidden="1">
      <c r="A628" s="444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  <c r="AA628" s="442"/>
      <c r="AB628" s="442"/>
      <c r="AC628" s="442"/>
    </row>
    <row r="629" hidden="1">
      <c r="A629" s="444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  <c r="AA629" s="442"/>
      <c r="AB629" s="442"/>
      <c r="AC629" s="442"/>
    </row>
    <row r="630" hidden="1">
      <c r="A630" s="444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  <c r="AA630" s="442"/>
      <c r="AB630" s="442"/>
      <c r="AC630" s="442"/>
    </row>
    <row r="631" hidden="1">
      <c r="A631" s="444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  <c r="AA631" s="442"/>
      <c r="AB631" s="442"/>
      <c r="AC631" s="442"/>
    </row>
    <row r="632" hidden="1">
      <c r="A632" s="444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  <c r="AA632" s="442"/>
      <c r="AB632" s="442"/>
      <c r="AC632" s="442"/>
    </row>
    <row r="633" hidden="1">
      <c r="A633" s="444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  <c r="AA633" s="442"/>
      <c r="AB633" s="442"/>
      <c r="AC633" s="442"/>
    </row>
    <row r="634" hidden="1">
      <c r="A634" s="444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  <c r="AA634" s="442"/>
      <c r="AB634" s="442"/>
      <c r="AC634" s="442"/>
    </row>
    <row r="635" hidden="1">
      <c r="A635" s="444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  <c r="AA635" s="442"/>
      <c r="AB635" s="442"/>
      <c r="AC635" s="442"/>
    </row>
    <row r="636" hidden="1">
      <c r="A636" s="444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  <c r="AA636" s="442"/>
      <c r="AB636" s="442"/>
      <c r="AC636" s="442"/>
    </row>
    <row r="637" hidden="1">
      <c r="A637" s="444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  <c r="AA637" s="442"/>
      <c r="AB637" s="442"/>
      <c r="AC637" s="442"/>
    </row>
    <row r="638" hidden="1">
      <c r="A638" s="444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  <c r="AA638" s="442"/>
      <c r="AB638" s="442"/>
      <c r="AC638" s="442"/>
    </row>
    <row r="639" hidden="1">
      <c r="A639" s="444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  <c r="AA639" s="442"/>
      <c r="AB639" s="442"/>
      <c r="AC639" s="442"/>
    </row>
    <row r="640" hidden="1">
      <c r="A640" s="444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  <c r="AA640" s="442"/>
      <c r="AB640" s="442"/>
      <c r="AC640" s="442"/>
    </row>
    <row r="641" hidden="1">
      <c r="A641" s="444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  <c r="AA641" s="442"/>
      <c r="AB641" s="442"/>
      <c r="AC641" s="442"/>
    </row>
    <row r="642" hidden="1">
      <c r="A642" s="444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  <c r="AA642" s="442"/>
      <c r="AB642" s="442"/>
      <c r="AC642" s="442"/>
    </row>
    <row r="643" hidden="1">
      <c r="A643" s="444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  <c r="AA643" s="442"/>
      <c r="AB643" s="442"/>
      <c r="AC643" s="442"/>
    </row>
    <row r="644" hidden="1">
      <c r="A644" s="444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  <c r="AA644" s="442"/>
      <c r="AB644" s="442"/>
      <c r="AC644" s="442"/>
    </row>
    <row r="645" hidden="1">
      <c r="A645" s="444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  <c r="AA645" s="442"/>
      <c r="AB645" s="442"/>
      <c r="AC645" s="442"/>
    </row>
    <row r="646" hidden="1">
      <c r="A646" s="444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  <c r="AA646" s="442"/>
      <c r="AB646" s="442"/>
      <c r="AC646" s="442"/>
    </row>
    <row r="647" hidden="1">
      <c r="A647" s="444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  <c r="AA647" s="442"/>
      <c r="AB647" s="442"/>
      <c r="AC647" s="442"/>
    </row>
    <row r="648" hidden="1">
      <c r="A648" s="444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  <c r="AA648" s="442"/>
      <c r="AB648" s="442"/>
      <c r="AC648" s="442"/>
    </row>
    <row r="649" hidden="1">
      <c r="A649" s="444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  <c r="AA649" s="442"/>
      <c r="AB649" s="442"/>
      <c r="AC649" s="442"/>
    </row>
    <row r="650" hidden="1">
      <c r="A650" s="444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  <c r="AA650" s="442"/>
      <c r="AB650" s="442"/>
      <c r="AC650" s="442"/>
    </row>
    <row r="651" hidden="1">
      <c r="A651" s="444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  <c r="AA651" s="442"/>
      <c r="AB651" s="442"/>
      <c r="AC651" s="442"/>
    </row>
    <row r="652" hidden="1">
      <c r="A652" s="444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  <c r="AA652" s="442"/>
      <c r="AB652" s="442"/>
      <c r="AC652" s="442"/>
    </row>
    <row r="653" hidden="1">
      <c r="A653" s="444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  <c r="AA653" s="442"/>
      <c r="AB653" s="442"/>
      <c r="AC653" s="442"/>
    </row>
    <row r="654" hidden="1">
      <c r="A654" s="444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  <c r="AA654" s="442"/>
      <c r="AB654" s="442"/>
      <c r="AC654" s="442"/>
    </row>
    <row r="655" hidden="1">
      <c r="A655" s="444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  <c r="AA655" s="442"/>
      <c r="AB655" s="442"/>
      <c r="AC655" s="442"/>
    </row>
    <row r="656" hidden="1">
      <c r="A656" s="444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  <c r="AA656" s="442"/>
      <c r="AB656" s="442"/>
      <c r="AC656" s="442"/>
    </row>
    <row r="657" hidden="1">
      <c r="A657" s="444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  <c r="AA657" s="442"/>
      <c r="AB657" s="442"/>
      <c r="AC657" s="442"/>
    </row>
    <row r="658" hidden="1">
      <c r="A658" s="444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  <c r="AA658" s="442"/>
      <c r="AB658" s="442"/>
      <c r="AC658" s="442"/>
    </row>
    <row r="659" hidden="1">
      <c r="A659" s="444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  <c r="AA659" s="442"/>
      <c r="AB659" s="442"/>
      <c r="AC659" s="442"/>
    </row>
    <row r="660" hidden="1">
      <c r="A660" s="444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  <c r="AA660" s="442"/>
      <c r="AB660" s="442"/>
      <c r="AC660" s="442"/>
    </row>
    <row r="661" hidden="1">
      <c r="A661" s="444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  <c r="AA661" s="442"/>
      <c r="AB661" s="442"/>
      <c r="AC661" s="442"/>
    </row>
    <row r="662" hidden="1">
      <c r="A662" s="444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  <c r="AA662" s="442"/>
      <c r="AB662" s="442"/>
      <c r="AC662" s="442"/>
    </row>
    <row r="663" hidden="1">
      <c r="A663" s="444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  <c r="AA663" s="442"/>
      <c r="AB663" s="442"/>
      <c r="AC663" s="442"/>
    </row>
    <row r="664" hidden="1">
      <c r="A664" s="444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  <c r="AA664" s="442"/>
      <c r="AB664" s="442"/>
      <c r="AC664" s="442"/>
    </row>
    <row r="665" hidden="1">
      <c r="A665" s="444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  <c r="AA665" s="442"/>
      <c r="AB665" s="442"/>
      <c r="AC665" s="442"/>
    </row>
    <row r="666" hidden="1">
      <c r="A666" s="444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  <c r="AA666" s="442"/>
      <c r="AB666" s="442"/>
      <c r="AC666" s="442"/>
    </row>
    <row r="667" hidden="1">
      <c r="A667" s="444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  <c r="AA667" s="442"/>
      <c r="AB667" s="442"/>
      <c r="AC667" s="442"/>
    </row>
    <row r="668" hidden="1">
      <c r="A668" s="444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  <c r="AA668" s="442"/>
      <c r="AB668" s="442"/>
      <c r="AC668" s="442"/>
    </row>
    <row r="669" hidden="1">
      <c r="A669" s="444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  <c r="AA669" s="442"/>
      <c r="AB669" s="442"/>
      <c r="AC669" s="442"/>
    </row>
    <row r="670" hidden="1">
      <c r="A670" s="444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  <c r="AA670" s="442"/>
      <c r="AB670" s="442"/>
      <c r="AC670" s="442"/>
    </row>
    <row r="671" hidden="1">
      <c r="A671" s="444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  <c r="AA671" s="442"/>
      <c r="AB671" s="442"/>
      <c r="AC671" s="442"/>
    </row>
    <row r="672" hidden="1">
      <c r="A672" s="444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  <c r="AA672" s="442"/>
      <c r="AB672" s="442"/>
      <c r="AC672" s="442"/>
    </row>
    <row r="673" hidden="1">
      <c r="A673" s="444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  <c r="AA673" s="442"/>
      <c r="AB673" s="442"/>
      <c r="AC673" s="442"/>
    </row>
    <row r="674" hidden="1">
      <c r="A674" s="444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  <c r="AA674" s="442"/>
      <c r="AB674" s="442"/>
      <c r="AC674" s="442"/>
    </row>
    <row r="675" hidden="1">
      <c r="A675" s="444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  <c r="AA675" s="442"/>
      <c r="AB675" s="442"/>
      <c r="AC675" s="442"/>
    </row>
    <row r="676" hidden="1">
      <c r="A676" s="444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  <c r="AA676" s="442"/>
      <c r="AB676" s="442"/>
      <c r="AC676" s="442"/>
    </row>
    <row r="677" hidden="1">
      <c r="A677" s="444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  <c r="AA677" s="442"/>
      <c r="AB677" s="442"/>
      <c r="AC677" s="442"/>
    </row>
    <row r="678" hidden="1">
      <c r="A678" s="444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  <c r="AA678" s="442"/>
      <c r="AB678" s="442"/>
      <c r="AC678" s="442"/>
    </row>
    <row r="679" hidden="1">
      <c r="A679" s="444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  <c r="AA679" s="442"/>
      <c r="AB679" s="442"/>
      <c r="AC679" s="442"/>
    </row>
    <row r="680" hidden="1">
      <c r="A680" s="444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  <c r="AA680" s="442"/>
      <c r="AB680" s="442"/>
      <c r="AC680" s="442"/>
    </row>
    <row r="681" hidden="1">
      <c r="A681" s="444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  <c r="AA681" s="442"/>
      <c r="AB681" s="442"/>
      <c r="AC681" s="442"/>
    </row>
    <row r="682" hidden="1">
      <c r="A682" s="444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  <c r="AA682" s="442"/>
      <c r="AB682" s="442"/>
      <c r="AC682" s="442"/>
    </row>
    <row r="683" hidden="1">
      <c r="A683" s="444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  <c r="AA683" s="442"/>
      <c r="AB683" s="442"/>
      <c r="AC683" s="442"/>
    </row>
    <row r="684" hidden="1">
      <c r="A684" s="444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  <c r="AA684" s="442"/>
      <c r="AB684" s="442"/>
      <c r="AC684" s="442"/>
    </row>
    <row r="685" hidden="1">
      <c r="A685" s="444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  <c r="AA685" s="442"/>
      <c r="AB685" s="442"/>
      <c r="AC685" s="442"/>
    </row>
    <row r="686" hidden="1">
      <c r="A686" s="444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  <c r="AA686" s="442"/>
      <c r="AB686" s="442"/>
      <c r="AC686" s="442"/>
    </row>
    <row r="687" hidden="1">
      <c r="A687" s="444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  <c r="AA687" s="442"/>
      <c r="AB687" s="442"/>
      <c r="AC687" s="442"/>
    </row>
    <row r="688" hidden="1">
      <c r="A688" s="444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  <c r="AA688" s="442"/>
      <c r="AB688" s="442"/>
      <c r="AC688" s="442"/>
    </row>
    <row r="689" hidden="1">
      <c r="A689" s="444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  <c r="AA689" s="442"/>
      <c r="AB689" s="442"/>
      <c r="AC689" s="442"/>
    </row>
    <row r="690" hidden="1">
      <c r="A690" s="444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  <c r="AA690" s="442"/>
      <c r="AB690" s="442"/>
      <c r="AC690" s="442"/>
    </row>
    <row r="691" hidden="1">
      <c r="A691" s="444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  <c r="AA691" s="442"/>
      <c r="AB691" s="442"/>
      <c r="AC691" s="442"/>
    </row>
    <row r="692" hidden="1">
      <c r="A692" s="444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  <c r="AA692" s="442"/>
      <c r="AB692" s="442"/>
      <c r="AC692" s="442"/>
    </row>
    <row r="693" hidden="1">
      <c r="A693" s="444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  <c r="AA693" s="442"/>
      <c r="AB693" s="442"/>
      <c r="AC693" s="442"/>
    </row>
    <row r="694" hidden="1">
      <c r="A694" s="444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  <c r="AA694" s="442"/>
      <c r="AB694" s="442"/>
      <c r="AC694" s="442"/>
    </row>
    <row r="695" hidden="1">
      <c r="A695" s="444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  <c r="AA695" s="442"/>
      <c r="AB695" s="442"/>
      <c r="AC695" s="442"/>
    </row>
    <row r="696" hidden="1">
      <c r="A696" s="444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  <c r="AA696" s="442"/>
      <c r="AB696" s="442"/>
      <c r="AC696" s="442"/>
    </row>
    <row r="697" hidden="1">
      <c r="A697" s="444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  <c r="AA697" s="442"/>
      <c r="AB697" s="442"/>
      <c r="AC697" s="442"/>
    </row>
    <row r="698" hidden="1">
      <c r="A698" s="444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  <c r="AA698" s="442"/>
      <c r="AB698" s="442"/>
      <c r="AC698" s="442"/>
    </row>
    <row r="699" hidden="1">
      <c r="A699" s="444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  <c r="AA699" s="442"/>
      <c r="AB699" s="442"/>
      <c r="AC699" s="442"/>
    </row>
    <row r="700" hidden="1">
      <c r="A700" s="444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  <c r="AA700" s="442"/>
      <c r="AB700" s="442"/>
      <c r="AC700" s="442"/>
    </row>
    <row r="701" hidden="1">
      <c r="A701" s="444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  <c r="AA701" s="442"/>
      <c r="AB701" s="442"/>
      <c r="AC701" s="442"/>
    </row>
    <row r="702" hidden="1">
      <c r="A702" s="444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  <c r="AA702" s="442"/>
      <c r="AB702" s="442"/>
      <c r="AC702" s="442"/>
    </row>
    <row r="703" hidden="1">
      <c r="A703" s="444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  <c r="AA703" s="442"/>
      <c r="AB703" s="442"/>
      <c r="AC703" s="442"/>
    </row>
    <row r="704" hidden="1">
      <c r="A704" s="444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  <c r="AA704" s="442"/>
      <c r="AB704" s="442"/>
      <c r="AC704" s="442"/>
    </row>
    <row r="705" hidden="1">
      <c r="A705" s="444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  <c r="AA705" s="442"/>
      <c r="AB705" s="442"/>
      <c r="AC705" s="442"/>
    </row>
    <row r="706" hidden="1">
      <c r="A706" s="444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  <c r="AA706" s="442"/>
      <c r="AB706" s="442"/>
      <c r="AC706" s="442"/>
    </row>
    <row r="707" hidden="1">
      <c r="A707" s="444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  <c r="AA707" s="442"/>
      <c r="AB707" s="442"/>
      <c r="AC707" s="442"/>
    </row>
    <row r="708" hidden="1">
      <c r="A708" s="444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  <c r="AA708" s="442"/>
      <c r="AB708" s="442"/>
      <c r="AC708" s="442"/>
    </row>
    <row r="709" hidden="1">
      <c r="A709" s="444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  <c r="AA709" s="442"/>
      <c r="AB709" s="442"/>
      <c r="AC709" s="442"/>
    </row>
    <row r="710" hidden="1">
      <c r="A710" s="444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  <c r="AA710" s="442"/>
      <c r="AB710" s="442"/>
      <c r="AC710" s="442"/>
    </row>
    <row r="711" hidden="1">
      <c r="A711" s="444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  <c r="AA711" s="442"/>
      <c r="AB711" s="442"/>
      <c r="AC711" s="442"/>
    </row>
    <row r="712" hidden="1">
      <c r="A712" s="444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  <c r="AA712" s="442"/>
      <c r="AB712" s="442"/>
      <c r="AC712" s="442"/>
    </row>
    <row r="713" hidden="1">
      <c r="A713" s="444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  <c r="AA713" s="442"/>
      <c r="AB713" s="442"/>
      <c r="AC713" s="442"/>
    </row>
    <row r="714" hidden="1">
      <c r="A714" s="444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  <c r="AA714" s="442"/>
      <c r="AB714" s="442"/>
      <c r="AC714" s="442"/>
    </row>
    <row r="715" hidden="1">
      <c r="A715" s="444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  <c r="AA715" s="442"/>
      <c r="AB715" s="442"/>
      <c r="AC715" s="442"/>
    </row>
    <row r="716" hidden="1">
      <c r="A716" s="444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  <c r="AA716" s="442"/>
      <c r="AB716" s="442"/>
      <c r="AC716" s="442"/>
    </row>
    <row r="717" hidden="1">
      <c r="A717" s="444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  <c r="AA717" s="442"/>
      <c r="AB717" s="442"/>
      <c r="AC717" s="442"/>
    </row>
    <row r="718" hidden="1">
      <c r="A718" s="444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  <c r="AA718" s="442"/>
      <c r="AB718" s="442"/>
      <c r="AC718" s="442"/>
    </row>
    <row r="719" hidden="1">
      <c r="A719" s="444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  <c r="AA719" s="442"/>
      <c r="AB719" s="442"/>
      <c r="AC719" s="442"/>
    </row>
    <row r="720" hidden="1">
      <c r="A720" s="444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  <c r="AA720" s="442"/>
      <c r="AB720" s="442"/>
      <c r="AC720" s="442"/>
    </row>
    <row r="721" hidden="1">
      <c r="A721" s="444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  <c r="AA721" s="442"/>
      <c r="AB721" s="442"/>
      <c r="AC721" s="442"/>
    </row>
    <row r="722" hidden="1">
      <c r="A722" s="444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  <c r="AA722" s="442"/>
      <c r="AB722" s="442"/>
      <c r="AC722" s="442"/>
    </row>
    <row r="723" hidden="1">
      <c r="A723" s="444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  <c r="AA723" s="442"/>
      <c r="AB723" s="442"/>
      <c r="AC723" s="442"/>
    </row>
    <row r="724" hidden="1">
      <c r="A724" s="444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  <c r="AA724" s="442"/>
      <c r="AB724" s="442"/>
      <c r="AC724" s="442"/>
    </row>
    <row r="725" hidden="1">
      <c r="A725" s="444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  <c r="AA725" s="442"/>
      <c r="AB725" s="442"/>
      <c r="AC725" s="442"/>
    </row>
    <row r="726" hidden="1">
      <c r="A726" s="444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  <c r="AA726" s="442"/>
      <c r="AB726" s="442"/>
      <c r="AC726" s="442"/>
    </row>
    <row r="727" hidden="1">
      <c r="A727" s="444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  <c r="AA727" s="442"/>
      <c r="AB727" s="442"/>
      <c r="AC727" s="442"/>
    </row>
    <row r="728" hidden="1">
      <c r="A728" s="444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  <c r="AA728" s="442"/>
      <c r="AB728" s="442"/>
      <c r="AC728" s="442"/>
    </row>
    <row r="729" hidden="1">
      <c r="A729" s="444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  <c r="AA729" s="442"/>
      <c r="AB729" s="442"/>
      <c r="AC729" s="442"/>
    </row>
    <row r="730" hidden="1">
      <c r="A730" s="444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  <c r="AA730" s="442"/>
      <c r="AB730" s="442"/>
      <c r="AC730" s="442"/>
    </row>
    <row r="731" hidden="1">
      <c r="A731" s="444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  <c r="AA731" s="442"/>
      <c r="AB731" s="442"/>
      <c r="AC731" s="442"/>
    </row>
    <row r="732" hidden="1">
      <c r="A732" s="444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  <c r="AA732" s="442"/>
      <c r="AB732" s="442"/>
      <c r="AC732" s="442"/>
    </row>
    <row r="733" hidden="1">
      <c r="A733" s="444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  <c r="AA733" s="442"/>
      <c r="AB733" s="442"/>
      <c r="AC733" s="442"/>
    </row>
    <row r="734" hidden="1">
      <c r="A734" s="444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  <c r="AA734" s="442"/>
      <c r="AB734" s="442"/>
      <c r="AC734" s="442"/>
    </row>
    <row r="735" hidden="1">
      <c r="A735" s="444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  <c r="AA735" s="442"/>
      <c r="AB735" s="442"/>
      <c r="AC735" s="442"/>
    </row>
    <row r="736" hidden="1">
      <c r="A736" s="444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  <c r="AA736" s="442"/>
      <c r="AB736" s="442"/>
      <c r="AC736" s="442"/>
    </row>
    <row r="737" hidden="1">
      <c r="A737" s="444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  <c r="AA737" s="442"/>
      <c r="AB737" s="442"/>
      <c r="AC737" s="442"/>
    </row>
    <row r="738" hidden="1">
      <c r="A738" s="444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  <c r="AA738" s="442"/>
      <c r="AB738" s="442"/>
      <c r="AC738" s="442"/>
    </row>
    <row r="739" hidden="1">
      <c r="A739" s="444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  <c r="AA739" s="442"/>
      <c r="AB739" s="442"/>
      <c r="AC739" s="442"/>
    </row>
    <row r="740" hidden="1">
      <c r="A740" s="444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  <c r="AA740" s="442"/>
      <c r="AB740" s="442"/>
      <c r="AC740" s="442"/>
    </row>
    <row r="741" hidden="1">
      <c r="A741" s="444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  <c r="AA741" s="442"/>
      <c r="AB741" s="442"/>
      <c r="AC741" s="442"/>
    </row>
    <row r="742" hidden="1">
      <c r="A742" s="444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  <c r="AA742" s="442"/>
      <c r="AB742" s="442"/>
      <c r="AC742" s="442"/>
    </row>
    <row r="743" hidden="1">
      <c r="A743" s="444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  <c r="AA743" s="442"/>
      <c r="AB743" s="442"/>
      <c r="AC743" s="442"/>
    </row>
    <row r="744" hidden="1">
      <c r="A744" s="444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  <c r="AA744" s="442"/>
      <c r="AB744" s="442"/>
      <c r="AC744" s="442"/>
    </row>
    <row r="745" hidden="1">
      <c r="A745" s="444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  <c r="AA745" s="442"/>
      <c r="AB745" s="442"/>
      <c r="AC745" s="442"/>
    </row>
    <row r="746" hidden="1">
      <c r="A746" s="444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  <c r="AA746" s="442"/>
      <c r="AB746" s="442"/>
      <c r="AC746" s="442"/>
    </row>
    <row r="747" hidden="1">
      <c r="A747" s="444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  <c r="AA747" s="442"/>
      <c r="AB747" s="442"/>
      <c r="AC747" s="442"/>
    </row>
    <row r="748" hidden="1">
      <c r="A748" s="444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  <c r="AA748" s="442"/>
      <c r="AB748" s="442"/>
      <c r="AC748" s="442"/>
    </row>
    <row r="749" hidden="1">
      <c r="A749" s="444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  <c r="AA749" s="442"/>
      <c r="AB749" s="442"/>
      <c r="AC749" s="442"/>
    </row>
    <row r="750" hidden="1">
      <c r="A750" s="444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  <c r="AA750" s="442"/>
      <c r="AB750" s="442"/>
      <c r="AC750" s="442"/>
    </row>
    <row r="751" hidden="1">
      <c r="A751" s="444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  <c r="AA751" s="442"/>
      <c r="AB751" s="442"/>
      <c r="AC751" s="442"/>
    </row>
    <row r="752" hidden="1">
      <c r="A752" s="444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  <c r="AA752" s="442"/>
      <c r="AB752" s="442"/>
      <c r="AC752" s="442"/>
    </row>
    <row r="753" hidden="1">
      <c r="A753" s="444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  <c r="AA753" s="442"/>
      <c r="AB753" s="442"/>
      <c r="AC753" s="442"/>
    </row>
    <row r="754" hidden="1">
      <c r="A754" s="444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  <c r="AA754" s="442"/>
      <c r="AB754" s="442"/>
      <c r="AC754" s="442"/>
    </row>
    <row r="755" hidden="1">
      <c r="A755" s="444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  <c r="AA755" s="442"/>
      <c r="AB755" s="442"/>
      <c r="AC755" s="442"/>
    </row>
    <row r="756" hidden="1">
      <c r="A756" s="444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  <c r="AA756" s="442"/>
      <c r="AB756" s="442"/>
      <c r="AC756" s="442"/>
    </row>
    <row r="757" hidden="1">
      <c r="A757" s="444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  <c r="AA757" s="442"/>
      <c r="AB757" s="442"/>
      <c r="AC757" s="442"/>
    </row>
    <row r="758" hidden="1">
      <c r="A758" s="444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  <c r="AA758" s="442"/>
      <c r="AB758" s="442"/>
      <c r="AC758" s="442"/>
    </row>
    <row r="759" hidden="1">
      <c r="A759" s="444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  <c r="AA759" s="442"/>
      <c r="AB759" s="442"/>
      <c r="AC759" s="442"/>
    </row>
    <row r="760" hidden="1">
      <c r="A760" s="444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  <c r="AA760" s="442"/>
      <c r="AB760" s="442"/>
      <c r="AC760" s="442"/>
    </row>
    <row r="761" hidden="1">
      <c r="A761" s="444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  <c r="AA761" s="442"/>
      <c r="AB761" s="442"/>
      <c r="AC761" s="442"/>
    </row>
    <row r="762" hidden="1">
      <c r="A762" s="444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  <c r="AA762" s="442"/>
      <c r="AB762" s="442"/>
      <c r="AC762" s="442"/>
    </row>
    <row r="763" hidden="1">
      <c r="A763" s="444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  <c r="AA763" s="442"/>
      <c r="AB763" s="442"/>
      <c r="AC763" s="442"/>
    </row>
    <row r="764" hidden="1">
      <c r="A764" s="444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  <c r="AA764" s="442"/>
      <c r="AB764" s="442"/>
      <c r="AC764" s="442"/>
    </row>
    <row r="765" hidden="1">
      <c r="A765" s="444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  <c r="AA765" s="442"/>
      <c r="AB765" s="442"/>
      <c r="AC765" s="442"/>
    </row>
    <row r="766" hidden="1">
      <c r="A766" s="444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  <c r="AA766" s="442"/>
      <c r="AB766" s="442"/>
      <c r="AC766" s="442"/>
    </row>
    <row r="767" hidden="1">
      <c r="A767" s="444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  <c r="AA767" s="442"/>
      <c r="AB767" s="442"/>
      <c r="AC767" s="442"/>
    </row>
    <row r="768" hidden="1">
      <c r="A768" s="444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  <c r="AA768" s="442"/>
      <c r="AB768" s="442"/>
      <c r="AC768" s="442"/>
    </row>
    <row r="769" hidden="1">
      <c r="A769" s="444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  <c r="AA769" s="442"/>
      <c r="AB769" s="442"/>
      <c r="AC769" s="442"/>
    </row>
    <row r="770" hidden="1">
      <c r="A770" s="444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  <c r="AA770" s="442"/>
      <c r="AB770" s="442"/>
      <c r="AC770" s="442"/>
    </row>
    <row r="771" hidden="1">
      <c r="A771" s="444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  <c r="AA771" s="442"/>
      <c r="AB771" s="442"/>
      <c r="AC771" s="442"/>
    </row>
    <row r="772" hidden="1">
      <c r="A772" s="444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  <c r="AA772" s="442"/>
      <c r="AB772" s="442"/>
      <c r="AC772" s="442"/>
    </row>
    <row r="773" hidden="1">
      <c r="A773" s="444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  <c r="AA773" s="442"/>
      <c r="AB773" s="442"/>
      <c r="AC773" s="442"/>
    </row>
    <row r="774" hidden="1">
      <c r="A774" s="444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  <c r="AA774" s="442"/>
      <c r="AB774" s="442"/>
      <c r="AC774" s="442"/>
    </row>
    <row r="775" hidden="1">
      <c r="A775" s="444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  <c r="AA775" s="442"/>
      <c r="AB775" s="442"/>
      <c r="AC775" s="442"/>
    </row>
    <row r="776" hidden="1">
      <c r="A776" s="444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  <c r="AA776" s="442"/>
      <c r="AB776" s="442"/>
      <c r="AC776" s="442"/>
    </row>
    <row r="777" hidden="1">
      <c r="A777" s="444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  <c r="AA777" s="442"/>
      <c r="AB777" s="442"/>
      <c r="AC777" s="442"/>
    </row>
    <row r="778" hidden="1">
      <c r="A778" s="444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  <c r="AA778" s="442"/>
      <c r="AB778" s="442"/>
      <c r="AC778" s="442"/>
    </row>
    <row r="779" hidden="1">
      <c r="A779" s="444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  <c r="AA779" s="442"/>
      <c r="AB779" s="442"/>
      <c r="AC779" s="442"/>
    </row>
    <row r="780" hidden="1">
      <c r="A780" s="444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  <c r="AA780" s="442"/>
      <c r="AB780" s="442"/>
      <c r="AC780" s="442"/>
    </row>
    <row r="781" hidden="1">
      <c r="A781" s="444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  <c r="AA781" s="442"/>
      <c r="AB781" s="442"/>
      <c r="AC781" s="442"/>
    </row>
    <row r="782" hidden="1">
      <c r="A782" s="444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  <c r="AA782" s="442"/>
      <c r="AB782" s="442"/>
      <c r="AC782" s="442"/>
    </row>
    <row r="783" hidden="1">
      <c r="A783" s="444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  <c r="AA783" s="442"/>
      <c r="AB783" s="442"/>
      <c r="AC783" s="442"/>
    </row>
    <row r="784" hidden="1">
      <c r="A784" s="444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  <c r="AA784" s="442"/>
      <c r="AB784" s="442"/>
      <c r="AC784" s="442"/>
    </row>
    <row r="785" hidden="1">
      <c r="A785" s="444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  <c r="AA785" s="442"/>
      <c r="AB785" s="442"/>
      <c r="AC785" s="442"/>
    </row>
    <row r="786" hidden="1">
      <c r="A786" s="444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  <c r="AA786" s="442"/>
      <c r="AB786" s="442"/>
      <c r="AC786" s="442"/>
    </row>
    <row r="787" hidden="1">
      <c r="A787" s="444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  <c r="AA787" s="442"/>
      <c r="AB787" s="442"/>
      <c r="AC787" s="442"/>
    </row>
    <row r="788" hidden="1">
      <c r="A788" s="444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  <c r="AA788" s="442"/>
      <c r="AB788" s="442"/>
      <c r="AC788" s="442"/>
    </row>
    <row r="789" hidden="1">
      <c r="A789" s="444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  <c r="AA789" s="442"/>
      <c r="AB789" s="442"/>
      <c r="AC789" s="442"/>
    </row>
    <row r="790" hidden="1">
      <c r="A790" s="444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  <c r="AA790" s="442"/>
      <c r="AB790" s="442"/>
      <c r="AC790" s="442"/>
    </row>
    <row r="791" hidden="1">
      <c r="A791" s="444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  <c r="AA791" s="442"/>
      <c r="AB791" s="442"/>
      <c r="AC791" s="442"/>
    </row>
    <row r="792" hidden="1">
      <c r="A792" s="444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  <c r="AA792" s="442"/>
      <c r="AB792" s="442"/>
      <c r="AC792" s="442"/>
    </row>
    <row r="793" hidden="1">
      <c r="A793" s="444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  <c r="AA793" s="442"/>
      <c r="AB793" s="442"/>
      <c r="AC793" s="442"/>
    </row>
    <row r="794" hidden="1">
      <c r="A794" s="444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  <c r="AA794" s="442"/>
      <c r="AB794" s="442"/>
      <c r="AC794" s="442"/>
    </row>
    <row r="795" hidden="1">
      <c r="A795" s="444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  <c r="AA795" s="442"/>
      <c r="AB795" s="442"/>
      <c r="AC795" s="442"/>
    </row>
    <row r="796" hidden="1">
      <c r="A796" s="444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  <c r="AA796" s="442"/>
      <c r="AB796" s="442"/>
      <c r="AC796" s="442"/>
    </row>
    <row r="797" hidden="1">
      <c r="A797" s="444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  <c r="AA797" s="442"/>
      <c r="AB797" s="442"/>
      <c r="AC797" s="442"/>
    </row>
    <row r="798" hidden="1">
      <c r="A798" s="444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  <c r="AA798" s="442"/>
      <c r="AB798" s="442"/>
      <c r="AC798" s="442"/>
    </row>
    <row r="799" hidden="1">
      <c r="A799" s="444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  <c r="AA799" s="442"/>
      <c r="AB799" s="442"/>
      <c r="AC799" s="442"/>
    </row>
    <row r="800" hidden="1">
      <c r="A800" s="444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  <c r="AA800" s="442"/>
      <c r="AB800" s="442"/>
      <c r="AC800" s="442"/>
    </row>
    <row r="801" hidden="1">
      <c r="A801" s="444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  <c r="AA801" s="442"/>
      <c r="AB801" s="442"/>
      <c r="AC801" s="442"/>
    </row>
    <row r="802" hidden="1">
      <c r="A802" s="444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  <c r="AA802" s="442"/>
      <c r="AB802" s="442"/>
      <c r="AC802" s="442"/>
    </row>
    <row r="803" hidden="1">
      <c r="A803" s="444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  <c r="AA803" s="442"/>
      <c r="AB803" s="442"/>
      <c r="AC803" s="442"/>
    </row>
    <row r="804" hidden="1">
      <c r="A804" s="444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  <c r="AA804" s="442"/>
      <c r="AB804" s="442"/>
      <c r="AC804" s="442"/>
    </row>
    <row r="805" hidden="1">
      <c r="A805" s="444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  <c r="AA805" s="442"/>
      <c r="AB805" s="442"/>
      <c r="AC805" s="442"/>
    </row>
    <row r="806" hidden="1">
      <c r="A806" s="444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  <c r="AA806" s="442"/>
      <c r="AB806" s="442"/>
      <c r="AC806" s="442"/>
    </row>
    <row r="807" hidden="1">
      <c r="A807" s="444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  <c r="AA807" s="442"/>
      <c r="AB807" s="442"/>
      <c r="AC807" s="442"/>
    </row>
    <row r="808" hidden="1">
      <c r="A808" s="444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  <c r="AA808" s="442"/>
      <c r="AB808" s="442"/>
      <c r="AC808" s="442"/>
    </row>
    <row r="809" hidden="1">
      <c r="A809" s="444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  <c r="AA809" s="442"/>
      <c r="AB809" s="442"/>
      <c r="AC809" s="442"/>
    </row>
    <row r="810" hidden="1">
      <c r="A810" s="444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  <c r="AA810" s="442"/>
      <c r="AB810" s="442"/>
      <c r="AC810" s="442"/>
    </row>
    <row r="811" hidden="1">
      <c r="A811" s="444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  <c r="AA811" s="442"/>
      <c r="AB811" s="442"/>
      <c r="AC811" s="442"/>
    </row>
    <row r="812" hidden="1">
      <c r="A812" s="444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  <c r="AA812" s="442"/>
      <c r="AB812" s="442"/>
      <c r="AC812" s="442"/>
    </row>
    <row r="813" hidden="1">
      <c r="A813" s="444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  <c r="AA813" s="442"/>
      <c r="AB813" s="442"/>
      <c r="AC813" s="442"/>
    </row>
    <row r="814" hidden="1">
      <c r="A814" s="444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  <c r="AA814" s="442"/>
      <c r="AB814" s="442"/>
      <c r="AC814" s="442"/>
    </row>
    <row r="815" hidden="1">
      <c r="A815" s="444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  <c r="AA815" s="442"/>
      <c r="AB815" s="442"/>
      <c r="AC815" s="442"/>
    </row>
    <row r="816" hidden="1">
      <c r="A816" s="444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  <c r="AA816" s="442"/>
      <c r="AB816" s="442"/>
      <c r="AC816" s="442"/>
    </row>
    <row r="817" hidden="1">
      <c r="A817" s="444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  <c r="AA817" s="442"/>
      <c r="AB817" s="442"/>
      <c r="AC817" s="442"/>
    </row>
    <row r="818" hidden="1">
      <c r="A818" s="444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  <c r="AA818" s="442"/>
      <c r="AB818" s="442"/>
      <c r="AC818" s="442"/>
    </row>
    <row r="819" hidden="1">
      <c r="A819" s="444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  <c r="AA819" s="442"/>
      <c r="AB819" s="442"/>
      <c r="AC819" s="442"/>
    </row>
    <row r="820" hidden="1">
      <c r="A820" s="444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  <c r="AA820" s="442"/>
      <c r="AB820" s="442"/>
      <c r="AC820" s="442"/>
    </row>
    <row r="821" hidden="1">
      <c r="A821" s="444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  <c r="AA821" s="442"/>
      <c r="AB821" s="442"/>
      <c r="AC821" s="442"/>
    </row>
    <row r="822" hidden="1">
      <c r="A822" s="444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  <c r="AA822" s="442"/>
      <c r="AB822" s="442"/>
      <c r="AC822" s="442"/>
    </row>
    <row r="823" hidden="1">
      <c r="A823" s="444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  <c r="AA823" s="442"/>
      <c r="AB823" s="442"/>
      <c r="AC823" s="442"/>
    </row>
    <row r="824" hidden="1">
      <c r="A824" s="444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  <c r="AA824" s="442"/>
      <c r="AB824" s="442"/>
      <c r="AC824" s="442"/>
    </row>
    <row r="825" hidden="1">
      <c r="A825" s="444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  <c r="AA825" s="442"/>
      <c r="AB825" s="442"/>
      <c r="AC825" s="442"/>
    </row>
    <row r="826" hidden="1">
      <c r="A826" s="444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  <c r="AA826" s="442"/>
      <c r="AB826" s="442"/>
      <c r="AC826" s="442"/>
    </row>
    <row r="827" hidden="1">
      <c r="A827" s="444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  <c r="AA827" s="442"/>
      <c r="AB827" s="442"/>
      <c r="AC827" s="442"/>
    </row>
    <row r="828" hidden="1">
      <c r="A828" s="444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  <c r="AA828" s="442"/>
      <c r="AB828" s="442"/>
      <c r="AC828" s="442"/>
    </row>
    <row r="829" hidden="1">
      <c r="A829" s="444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  <c r="AA829" s="442"/>
      <c r="AB829" s="442"/>
      <c r="AC829" s="442"/>
    </row>
    <row r="830" hidden="1">
      <c r="A830" s="444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  <c r="AA830" s="442"/>
      <c r="AB830" s="442"/>
      <c r="AC830" s="442"/>
    </row>
    <row r="831" hidden="1">
      <c r="A831" s="444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  <c r="AA831" s="442"/>
      <c r="AB831" s="442"/>
      <c r="AC831" s="442"/>
    </row>
    <row r="832" hidden="1">
      <c r="A832" s="444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  <c r="AA832" s="442"/>
      <c r="AB832" s="442"/>
      <c r="AC832" s="442"/>
    </row>
    <row r="833" hidden="1">
      <c r="A833" s="444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  <c r="AA833" s="442"/>
      <c r="AB833" s="442"/>
      <c r="AC833" s="442"/>
    </row>
    <row r="834" hidden="1">
      <c r="A834" s="444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  <c r="AA834" s="442"/>
      <c r="AB834" s="442"/>
      <c r="AC834" s="442"/>
    </row>
    <row r="835" hidden="1">
      <c r="A835" s="444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  <c r="AA835" s="442"/>
      <c r="AB835" s="442"/>
      <c r="AC835" s="442"/>
    </row>
    <row r="836" hidden="1">
      <c r="A836" s="444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  <c r="AA836" s="442"/>
      <c r="AB836" s="442"/>
      <c r="AC836" s="442"/>
    </row>
    <row r="837" hidden="1">
      <c r="A837" s="444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  <c r="AA837" s="442"/>
      <c r="AB837" s="442"/>
      <c r="AC837" s="442"/>
    </row>
    <row r="838" hidden="1">
      <c r="A838" s="444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  <c r="AA838" s="442"/>
      <c r="AB838" s="442"/>
      <c r="AC838" s="442"/>
    </row>
    <row r="839" hidden="1">
      <c r="A839" s="444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  <c r="AA839" s="442"/>
      <c r="AB839" s="442"/>
      <c r="AC839" s="442"/>
    </row>
    <row r="840" hidden="1">
      <c r="A840" s="444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  <c r="AA840" s="442"/>
      <c r="AB840" s="442"/>
      <c r="AC840" s="442"/>
    </row>
    <row r="841" hidden="1">
      <c r="A841" s="444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  <c r="AA841" s="442"/>
      <c r="AB841" s="442"/>
      <c r="AC841" s="442"/>
    </row>
    <row r="842" hidden="1">
      <c r="A842" s="444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  <c r="AA842" s="442"/>
      <c r="AB842" s="442"/>
      <c r="AC842" s="442"/>
    </row>
    <row r="843" hidden="1">
      <c r="A843" s="444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  <c r="AA843" s="442"/>
      <c r="AB843" s="442"/>
      <c r="AC843" s="442"/>
    </row>
    <row r="844" hidden="1">
      <c r="A844" s="444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  <c r="AA844" s="442"/>
      <c r="AB844" s="442"/>
      <c r="AC844" s="442"/>
    </row>
    <row r="845" hidden="1">
      <c r="A845" s="444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  <c r="AA845" s="442"/>
      <c r="AB845" s="442"/>
      <c r="AC845" s="442"/>
    </row>
    <row r="846" hidden="1">
      <c r="A846" s="444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  <c r="AA846" s="442"/>
      <c r="AB846" s="442"/>
      <c r="AC846" s="442"/>
    </row>
    <row r="847" hidden="1">
      <c r="A847" s="444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  <c r="AA847" s="442"/>
      <c r="AB847" s="442"/>
      <c r="AC847" s="442"/>
    </row>
    <row r="848" hidden="1">
      <c r="A848" s="444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  <c r="AA848" s="442"/>
      <c r="AB848" s="442"/>
      <c r="AC848" s="442"/>
    </row>
    <row r="849" hidden="1">
      <c r="A849" s="444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  <c r="AA849" s="442"/>
      <c r="AB849" s="442"/>
      <c r="AC849" s="442"/>
    </row>
    <row r="850" hidden="1">
      <c r="A850" s="444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  <c r="AA850" s="442"/>
      <c r="AB850" s="442"/>
      <c r="AC850" s="442"/>
    </row>
    <row r="851" hidden="1">
      <c r="A851" s="444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  <c r="AA851" s="442"/>
      <c r="AB851" s="442"/>
      <c r="AC851" s="442"/>
    </row>
    <row r="852" hidden="1">
      <c r="A852" s="444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  <c r="AA852" s="442"/>
      <c r="AB852" s="442"/>
      <c r="AC852" s="442"/>
    </row>
    <row r="853" hidden="1">
      <c r="A853" s="444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  <c r="AA853" s="442"/>
      <c r="AB853" s="442"/>
      <c r="AC853" s="442"/>
    </row>
    <row r="854" hidden="1">
      <c r="A854" s="444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  <c r="AA854" s="442"/>
      <c r="AB854" s="442"/>
      <c r="AC854" s="442"/>
    </row>
    <row r="855" hidden="1">
      <c r="A855" s="444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  <c r="AA855" s="442"/>
      <c r="AB855" s="442"/>
      <c r="AC855" s="442"/>
    </row>
    <row r="856" hidden="1">
      <c r="A856" s="444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  <c r="AA856" s="442"/>
      <c r="AB856" s="442"/>
      <c r="AC856" s="442"/>
    </row>
    <row r="857" hidden="1">
      <c r="A857" s="444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  <c r="AA857" s="442"/>
      <c r="AB857" s="442"/>
      <c r="AC857" s="442"/>
    </row>
    <row r="858" hidden="1">
      <c r="A858" s="444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  <c r="AA858" s="442"/>
      <c r="AB858" s="442"/>
      <c r="AC858" s="442"/>
    </row>
    <row r="859" hidden="1">
      <c r="A859" s="444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  <c r="AA859" s="442"/>
      <c r="AB859" s="442"/>
      <c r="AC859" s="442"/>
    </row>
    <row r="860" hidden="1">
      <c r="A860" s="444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  <c r="AA860" s="442"/>
      <c r="AB860" s="442"/>
      <c r="AC860" s="442"/>
    </row>
    <row r="861" hidden="1">
      <c r="A861" s="444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  <c r="AA861" s="442"/>
      <c r="AB861" s="442"/>
      <c r="AC861" s="442"/>
    </row>
    <row r="862" hidden="1">
      <c r="A862" s="444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  <c r="AA862" s="442"/>
      <c r="AB862" s="442"/>
      <c r="AC862" s="442"/>
    </row>
    <row r="863" hidden="1">
      <c r="A863" s="444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  <c r="AA863" s="442"/>
      <c r="AB863" s="442"/>
      <c r="AC863" s="442"/>
    </row>
    <row r="864" hidden="1">
      <c r="A864" s="444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  <c r="AA864" s="442"/>
      <c r="AB864" s="442"/>
      <c r="AC864" s="442"/>
    </row>
    <row r="865" hidden="1">
      <c r="A865" s="444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  <c r="AA865" s="442"/>
      <c r="AB865" s="442"/>
      <c r="AC865" s="442"/>
    </row>
    <row r="866" hidden="1">
      <c r="A866" s="444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  <c r="AA866" s="442"/>
      <c r="AB866" s="442"/>
      <c r="AC866" s="442"/>
    </row>
    <row r="867" hidden="1">
      <c r="A867" s="444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  <c r="AA867" s="442"/>
      <c r="AB867" s="442"/>
      <c r="AC867" s="442"/>
    </row>
    <row r="868" hidden="1">
      <c r="A868" s="444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  <c r="AA868" s="442"/>
      <c r="AB868" s="442"/>
      <c r="AC868" s="442"/>
    </row>
    <row r="869" hidden="1">
      <c r="A869" s="444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  <c r="AA869" s="442"/>
      <c r="AB869" s="442"/>
      <c r="AC869" s="442"/>
    </row>
    <row r="870" hidden="1">
      <c r="A870" s="444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  <c r="AA870" s="442"/>
      <c r="AB870" s="442"/>
      <c r="AC870" s="442"/>
    </row>
    <row r="871" hidden="1">
      <c r="A871" s="444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  <c r="AA871" s="442"/>
      <c r="AB871" s="442"/>
      <c r="AC871" s="442"/>
    </row>
    <row r="872" hidden="1">
      <c r="A872" s="444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  <c r="AA872" s="442"/>
      <c r="AB872" s="442"/>
      <c r="AC872" s="442"/>
    </row>
    <row r="873" hidden="1">
      <c r="A873" s="444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  <c r="AA873" s="442"/>
      <c r="AB873" s="442"/>
      <c r="AC873" s="442"/>
    </row>
    <row r="874" hidden="1">
      <c r="A874" s="444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  <c r="AA874" s="442"/>
      <c r="AB874" s="442"/>
      <c r="AC874" s="442"/>
    </row>
    <row r="875" hidden="1">
      <c r="A875" s="444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  <c r="AA875" s="442"/>
      <c r="AB875" s="442"/>
      <c r="AC875" s="442"/>
    </row>
    <row r="876" hidden="1">
      <c r="A876" s="444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  <c r="AA876" s="442"/>
      <c r="AB876" s="442"/>
      <c r="AC876" s="442"/>
    </row>
    <row r="877" hidden="1">
      <c r="A877" s="444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  <c r="AA877" s="442"/>
      <c r="AB877" s="442"/>
      <c r="AC877" s="442"/>
    </row>
    <row r="878" hidden="1">
      <c r="A878" s="444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  <c r="AA878" s="442"/>
      <c r="AB878" s="442"/>
      <c r="AC878" s="442"/>
    </row>
    <row r="879" hidden="1">
      <c r="A879" s="444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  <c r="AA879" s="442"/>
      <c r="AB879" s="442"/>
      <c r="AC879" s="442"/>
    </row>
    <row r="880" hidden="1">
      <c r="A880" s="444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  <c r="AA880" s="442"/>
      <c r="AB880" s="442"/>
      <c r="AC880" s="442"/>
    </row>
    <row r="881" hidden="1">
      <c r="A881" s="444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  <c r="AA881" s="442"/>
      <c r="AB881" s="442"/>
      <c r="AC881" s="442"/>
    </row>
    <row r="882" hidden="1">
      <c r="A882" s="444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  <c r="AA882" s="442"/>
      <c r="AB882" s="442"/>
      <c r="AC882" s="442"/>
    </row>
    <row r="883" hidden="1">
      <c r="A883" s="444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  <c r="AA883" s="442"/>
      <c r="AB883" s="442"/>
      <c r="AC883" s="442"/>
    </row>
    <row r="884" hidden="1">
      <c r="A884" s="444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  <c r="AA884" s="442"/>
      <c r="AB884" s="442"/>
      <c r="AC884" s="442"/>
    </row>
    <row r="885" hidden="1">
      <c r="A885" s="444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  <c r="AA885" s="442"/>
      <c r="AB885" s="442"/>
      <c r="AC885" s="442"/>
    </row>
    <row r="886" hidden="1">
      <c r="A886" s="444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  <c r="AA886" s="442"/>
      <c r="AB886" s="442"/>
      <c r="AC886" s="442"/>
    </row>
    <row r="887" hidden="1">
      <c r="A887" s="444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  <c r="AA887" s="442"/>
      <c r="AB887" s="442"/>
      <c r="AC887" s="442"/>
    </row>
    <row r="888" hidden="1">
      <c r="A888" s="444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  <c r="AA888" s="442"/>
      <c r="AB888" s="442"/>
      <c r="AC888" s="442"/>
    </row>
    <row r="889" hidden="1">
      <c r="A889" s="444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  <c r="AA889" s="442"/>
      <c r="AB889" s="442"/>
      <c r="AC889" s="442"/>
    </row>
    <row r="890" hidden="1">
      <c r="A890" s="444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  <c r="AA890" s="442"/>
      <c r="AB890" s="442"/>
      <c r="AC890" s="442"/>
    </row>
    <row r="891" hidden="1">
      <c r="A891" s="444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  <c r="AA891" s="442"/>
      <c r="AB891" s="442"/>
      <c r="AC891" s="442"/>
    </row>
    <row r="892" hidden="1">
      <c r="A892" s="444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  <c r="AA892" s="442"/>
      <c r="AB892" s="442"/>
      <c r="AC892" s="442"/>
    </row>
    <row r="893" hidden="1">
      <c r="A893" s="444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  <c r="AA893" s="442"/>
      <c r="AB893" s="442"/>
      <c r="AC893" s="442"/>
    </row>
    <row r="894" hidden="1">
      <c r="A894" s="444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  <c r="AA894" s="442"/>
      <c r="AB894" s="442"/>
      <c r="AC894" s="442"/>
    </row>
    <row r="895" hidden="1">
      <c r="A895" s="444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  <c r="AA895" s="442"/>
      <c r="AB895" s="442"/>
      <c r="AC895" s="442"/>
    </row>
    <row r="896" hidden="1">
      <c r="A896" s="444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  <c r="AA896" s="442"/>
      <c r="AB896" s="442"/>
      <c r="AC896" s="442"/>
    </row>
    <row r="897" hidden="1">
      <c r="A897" s="444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  <c r="AA897" s="442"/>
      <c r="AB897" s="442"/>
      <c r="AC897" s="442"/>
    </row>
    <row r="898" hidden="1">
      <c r="A898" s="444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  <c r="AA898" s="442"/>
      <c r="AB898" s="442"/>
      <c r="AC898" s="442"/>
    </row>
    <row r="899" hidden="1">
      <c r="A899" s="444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  <c r="AA899" s="442"/>
      <c r="AB899" s="442"/>
      <c r="AC899" s="442"/>
    </row>
    <row r="900" hidden="1">
      <c r="A900" s="444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  <c r="AA900" s="442"/>
      <c r="AB900" s="442"/>
      <c r="AC900" s="442"/>
    </row>
    <row r="901" hidden="1">
      <c r="A901" s="444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  <c r="AA901" s="442"/>
      <c r="AB901" s="442"/>
      <c r="AC901" s="442"/>
    </row>
    <row r="902" hidden="1">
      <c r="A902" s="444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  <c r="AA902" s="442"/>
      <c r="AB902" s="442"/>
      <c r="AC902" s="442"/>
    </row>
    <row r="903" hidden="1">
      <c r="A903" s="444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  <c r="AA903" s="442"/>
      <c r="AB903" s="442"/>
      <c r="AC903" s="442"/>
    </row>
    <row r="904" hidden="1">
      <c r="A904" s="444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  <c r="AA904" s="442"/>
      <c r="AB904" s="442"/>
      <c r="AC904" s="442"/>
    </row>
    <row r="905" hidden="1">
      <c r="A905" s="444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  <c r="AA905" s="442"/>
      <c r="AB905" s="442"/>
      <c r="AC905" s="442"/>
    </row>
    <row r="906" hidden="1">
      <c r="A906" s="444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  <c r="AA906" s="442"/>
      <c r="AB906" s="442"/>
      <c r="AC906" s="442"/>
    </row>
    <row r="907" hidden="1">
      <c r="A907" s="444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  <c r="AA907" s="442"/>
      <c r="AB907" s="442"/>
      <c r="AC907" s="442"/>
    </row>
    <row r="908" hidden="1">
      <c r="A908" s="444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  <c r="AA908" s="442"/>
      <c r="AB908" s="442"/>
      <c r="AC908" s="442"/>
    </row>
    <row r="909" hidden="1">
      <c r="A909" s="444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  <c r="AA909" s="442"/>
      <c r="AB909" s="442"/>
      <c r="AC909" s="442"/>
    </row>
    <row r="910" hidden="1">
      <c r="A910" s="444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  <c r="AA910" s="442"/>
      <c r="AB910" s="442"/>
      <c r="AC910" s="442"/>
    </row>
    <row r="911" hidden="1">
      <c r="A911" s="444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  <c r="AA911" s="442"/>
      <c r="AB911" s="442"/>
      <c r="AC911" s="442"/>
    </row>
    <row r="912" hidden="1">
      <c r="A912" s="444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  <c r="AA912" s="442"/>
      <c r="AB912" s="442"/>
      <c r="AC912" s="442"/>
    </row>
    <row r="913" hidden="1">
      <c r="A913" s="444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  <c r="AA913" s="442"/>
      <c r="AB913" s="442"/>
      <c r="AC913" s="442"/>
    </row>
    <row r="914" hidden="1">
      <c r="A914" s="444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  <c r="AA914" s="442"/>
      <c r="AB914" s="442"/>
      <c r="AC914" s="442"/>
    </row>
    <row r="915" hidden="1">
      <c r="A915" s="444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  <c r="AA915" s="442"/>
      <c r="AB915" s="442"/>
      <c r="AC915" s="442"/>
    </row>
    <row r="916" hidden="1">
      <c r="A916" s="444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  <c r="AA916" s="442"/>
      <c r="AB916" s="442"/>
      <c r="AC916" s="442"/>
    </row>
    <row r="917" hidden="1">
      <c r="A917" s="444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  <c r="AA917" s="442"/>
      <c r="AB917" s="442"/>
      <c r="AC917" s="442"/>
    </row>
    <row r="918" hidden="1">
      <c r="A918" s="444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  <c r="AA918" s="442"/>
      <c r="AB918" s="442"/>
      <c r="AC918" s="442"/>
    </row>
    <row r="919" hidden="1">
      <c r="A919" s="444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  <c r="AA919" s="442"/>
      <c r="AB919" s="442"/>
      <c r="AC919" s="442"/>
    </row>
    <row r="920" hidden="1">
      <c r="A920" s="444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  <c r="AA920" s="442"/>
      <c r="AB920" s="442"/>
      <c r="AC920" s="442"/>
    </row>
    <row r="921" hidden="1">
      <c r="A921" s="444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  <c r="AA921" s="442"/>
      <c r="AB921" s="442"/>
      <c r="AC921" s="442"/>
    </row>
    <row r="922" hidden="1">
      <c r="A922" s="444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  <c r="AA922" s="442"/>
      <c r="AB922" s="442"/>
      <c r="AC922" s="442"/>
    </row>
    <row r="923" hidden="1">
      <c r="A923" s="444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  <c r="AA923" s="442"/>
      <c r="AB923" s="442"/>
      <c r="AC923" s="442"/>
    </row>
    <row r="924" hidden="1">
      <c r="A924" s="444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  <c r="AA924" s="442"/>
      <c r="AB924" s="442"/>
      <c r="AC924" s="442"/>
    </row>
    <row r="925" hidden="1">
      <c r="A925" s="444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  <c r="AA925" s="442"/>
      <c r="AB925" s="442"/>
      <c r="AC925" s="442"/>
    </row>
    <row r="926" hidden="1">
      <c r="A926" s="444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  <c r="AA926" s="442"/>
      <c r="AB926" s="442"/>
      <c r="AC926" s="442"/>
    </row>
    <row r="927" hidden="1">
      <c r="A927" s="444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  <c r="AA927" s="442"/>
      <c r="AB927" s="442"/>
      <c r="AC927" s="442"/>
    </row>
    <row r="928" hidden="1">
      <c r="A928" s="444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  <c r="AA928" s="442"/>
      <c r="AB928" s="442"/>
      <c r="AC928" s="442"/>
    </row>
    <row r="929" hidden="1">
      <c r="A929" s="444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  <c r="AA929" s="442"/>
      <c r="AB929" s="442"/>
      <c r="AC929" s="442"/>
    </row>
    <row r="930" hidden="1">
      <c r="A930" s="444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  <c r="AA930" s="442"/>
      <c r="AB930" s="442"/>
      <c r="AC930" s="442"/>
    </row>
    <row r="931" hidden="1">
      <c r="A931" s="444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  <c r="AA931" s="442"/>
      <c r="AB931" s="442"/>
      <c r="AC931" s="442"/>
    </row>
    <row r="932" hidden="1">
      <c r="A932" s="444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  <c r="AA932" s="442"/>
      <c r="AB932" s="442"/>
      <c r="AC932" s="442"/>
    </row>
    <row r="933" hidden="1">
      <c r="A933" s="444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  <c r="AA933" s="442"/>
      <c r="AB933" s="442"/>
      <c r="AC933" s="442"/>
    </row>
    <row r="934" hidden="1">
      <c r="A934" s="444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  <c r="AA934" s="442"/>
      <c r="AB934" s="442"/>
      <c r="AC934" s="442"/>
    </row>
    <row r="935" hidden="1">
      <c r="A935" s="444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  <c r="AA935" s="442"/>
      <c r="AB935" s="442"/>
      <c r="AC935" s="442"/>
    </row>
    <row r="936" hidden="1">
      <c r="A936" s="444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  <c r="AA936" s="442"/>
      <c r="AB936" s="442"/>
      <c r="AC936" s="442"/>
    </row>
    <row r="937" hidden="1">
      <c r="A937" s="444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  <c r="AA937" s="442"/>
      <c r="AB937" s="442"/>
      <c r="AC937" s="442"/>
    </row>
    <row r="938" hidden="1">
      <c r="A938" s="444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  <c r="AA938" s="442"/>
      <c r="AB938" s="442"/>
      <c r="AC938" s="442"/>
    </row>
    <row r="939" hidden="1">
      <c r="A939" s="444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  <c r="AA939" s="442"/>
      <c r="AB939" s="442"/>
      <c r="AC939" s="442"/>
    </row>
    <row r="940" hidden="1">
      <c r="A940" s="444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  <c r="AA940" s="442"/>
      <c r="AB940" s="442"/>
      <c r="AC940" s="442"/>
    </row>
    <row r="941" hidden="1">
      <c r="A941" s="444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  <c r="AA941" s="442"/>
      <c r="AB941" s="442"/>
      <c r="AC941" s="442"/>
    </row>
    <row r="942" hidden="1">
      <c r="A942" s="444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  <c r="AA942" s="442"/>
      <c r="AB942" s="442"/>
      <c r="AC942" s="442"/>
    </row>
    <row r="943" hidden="1">
      <c r="A943" s="444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  <c r="AA943" s="442"/>
      <c r="AB943" s="442"/>
      <c r="AC943" s="442"/>
    </row>
    <row r="944" hidden="1">
      <c r="A944" s="444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  <c r="AA944" s="442"/>
      <c r="AB944" s="442"/>
      <c r="AC944" s="442"/>
    </row>
    <row r="945" hidden="1">
      <c r="A945" s="444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  <c r="AA945" s="442"/>
      <c r="AB945" s="442"/>
      <c r="AC945" s="442"/>
    </row>
    <row r="946" hidden="1">
      <c r="A946" s="444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  <c r="AA946" s="442"/>
      <c r="AB946" s="442"/>
      <c r="AC946" s="442"/>
    </row>
    <row r="947" hidden="1">
      <c r="A947" s="444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  <c r="AA947" s="442"/>
      <c r="AB947" s="442"/>
      <c r="AC947" s="442"/>
    </row>
    <row r="948" hidden="1">
      <c r="A948" s="444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  <c r="AA948" s="442"/>
      <c r="AB948" s="442"/>
      <c r="AC948" s="442"/>
    </row>
    <row r="949" hidden="1">
      <c r="A949" s="444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  <c r="AA949" s="442"/>
      <c r="AB949" s="442"/>
      <c r="AC949" s="442"/>
    </row>
    <row r="950" hidden="1">
      <c r="A950" s="444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  <c r="AA950" s="442"/>
      <c r="AB950" s="442"/>
      <c r="AC950" s="442"/>
    </row>
    <row r="951" hidden="1">
      <c r="A951" s="444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  <c r="AA951" s="442"/>
      <c r="AB951" s="442"/>
      <c r="AC951" s="442"/>
    </row>
    <row r="952" hidden="1">
      <c r="A952" s="444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  <c r="AA952" s="442"/>
      <c r="AB952" s="442"/>
      <c r="AC952" s="442"/>
    </row>
    <row r="953" hidden="1">
      <c r="A953" s="444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  <c r="AA953" s="442"/>
      <c r="AB953" s="442"/>
      <c r="AC953" s="442"/>
    </row>
    <row r="954" hidden="1">
      <c r="A954" s="444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  <c r="AA954" s="442"/>
      <c r="AB954" s="442"/>
      <c r="AC954" s="442"/>
    </row>
    <row r="955" hidden="1">
      <c r="A955" s="444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  <c r="AA955" s="442"/>
      <c r="AB955" s="442"/>
      <c r="AC955" s="442"/>
    </row>
    <row r="956" hidden="1">
      <c r="A956" s="444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  <c r="AA956" s="442"/>
      <c r="AB956" s="442"/>
      <c r="AC956" s="442"/>
    </row>
    <row r="957" hidden="1">
      <c r="A957" s="444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  <c r="AA957" s="442"/>
      <c r="AB957" s="442"/>
      <c r="AC957" s="442"/>
    </row>
    <row r="958" hidden="1">
      <c r="A958" s="444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  <c r="AA958" s="442"/>
      <c r="AB958" s="442"/>
      <c r="AC958" s="442"/>
    </row>
    <row r="959" hidden="1">
      <c r="A959" s="444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  <c r="AA959" s="442"/>
      <c r="AB959" s="442"/>
      <c r="AC959" s="442"/>
    </row>
    <row r="960" hidden="1">
      <c r="A960" s="444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  <c r="AA960" s="442"/>
      <c r="AB960" s="442"/>
      <c r="AC960" s="442"/>
    </row>
    <row r="961" hidden="1">
      <c r="A961" s="444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  <c r="AA961" s="442"/>
      <c r="AB961" s="442"/>
      <c r="AC961" s="442"/>
    </row>
    <row r="962" hidden="1">
      <c r="A962" s="444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  <c r="AA962" s="442"/>
      <c r="AB962" s="442"/>
      <c r="AC962" s="442"/>
    </row>
    <row r="963" hidden="1">
      <c r="A963" s="444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  <c r="AA963" s="442"/>
      <c r="AB963" s="442"/>
      <c r="AC963" s="442"/>
    </row>
    <row r="964" hidden="1">
      <c r="A964" s="444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  <c r="AA964" s="442"/>
      <c r="AB964" s="442"/>
      <c r="AC964" s="442"/>
    </row>
    <row r="965" hidden="1">
      <c r="A965" s="444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  <c r="AA965" s="442"/>
      <c r="AB965" s="442"/>
      <c r="AC965" s="442"/>
    </row>
    <row r="966" hidden="1">
      <c r="A966" s="444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  <c r="AA966" s="442"/>
      <c r="AB966" s="442"/>
      <c r="AC966" s="442"/>
    </row>
    <row r="967" hidden="1">
      <c r="A967" s="444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  <c r="AA967" s="442"/>
      <c r="AB967" s="442"/>
      <c r="AC967" s="442"/>
    </row>
    <row r="968" hidden="1">
      <c r="A968" s="444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  <c r="AA968" s="442"/>
      <c r="AB968" s="442"/>
      <c r="AC968" s="442"/>
    </row>
    <row r="969" hidden="1">
      <c r="A969" s="444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  <c r="AA969" s="442"/>
      <c r="AB969" s="442"/>
      <c r="AC969" s="442"/>
    </row>
    <row r="970" hidden="1">
      <c r="A970" s="444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  <c r="AA970" s="442"/>
      <c r="AB970" s="442"/>
      <c r="AC970" s="442"/>
    </row>
    <row r="971" hidden="1">
      <c r="A971" s="444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  <c r="AA971" s="442"/>
      <c r="AB971" s="442"/>
      <c r="AC971" s="442"/>
    </row>
    <row r="972" hidden="1">
      <c r="A972" s="444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  <c r="AA972" s="442"/>
      <c r="AB972" s="442"/>
      <c r="AC972" s="442"/>
    </row>
    <row r="973" hidden="1">
      <c r="A973" s="444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  <c r="AA973" s="442"/>
      <c r="AB973" s="442"/>
      <c r="AC973" s="442"/>
    </row>
    <row r="974" hidden="1">
      <c r="A974" s="444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  <c r="AA974" s="442"/>
      <c r="AB974" s="442"/>
      <c r="AC974" s="442"/>
    </row>
    <row r="975" hidden="1">
      <c r="A975" s="444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  <c r="AA975" s="442"/>
      <c r="AB975" s="442"/>
      <c r="AC975" s="442"/>
    </row>
    <row r="976" hidden="1">
      <c r="A976" s="444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  <c r="AA976" s="442"/>
      <c r="AB976" s="442"/>
      <c r="AC976" s="442"/>
    </row>
    <row r="977" hidden="1">
      <c r="A977" s="444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  <c r="AA977" s="442"/>
      <c r="AB977" s="442"/>
      <c r="AC977" s="442"/>
    </row>
    <row r="978" hidden="1">
      <c r="A978" s="444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  <c r="AA978" s="442"/>
      <c r="AB978" s="442"/>
      <c r="AC978" s="442"/>
    </row>
    <row r="979" hidden="1">
      <c r="A979" s="444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  <c r="AA979" s="442"/>
      <c r="AB979" s="442"/>
      <c r="AC979" s="442"/>
    </row>
    <row r="980" hidden="1">
      <c r="A980" s="444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  <c r="AA980" s="442"/>
      <c r="AB980" s="442"/>
      <c r="AC980" s="442"/>
    </row>
    <row r="981" hidden="1">
      <c r="A981" s="444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  <c r="AA981" s="442"/>
      <c r="AB981" s="442"/>
      <c r="AC981" s="442"/>
    </row>
    <row r="982" hidden="1">
      <c r="A982" s="444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  <c r="AA982" s="442"/>
      <c r="AB982" s="442"/>
      <c r="AC982" s="442"/>
    </row>
    <row r="983" hidden="1">
      <c r="A983" s="444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  <c r="AA983" s="442"/>
      <c r="AB983" s="442"/>
      <c r="AC983" s="442"/>
    </row>
    <row r="984" hidden="1">
      <c r="A984" s="444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  <c r="AA984" s="442"/>
      <c r="AB984" s="442"/>
      <c r="AC984" s="442"/>
    </row>
    <row r="985" hidden="1">
      <c r="A985" s="444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  <c r="AA985" s="442"/>
      <c r="AB985" s="442"/>
      <c r="AC985" s="442"/>
    </row>
    <row r="986" hidden="1">
      <c r="A986" s="444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  <c r="AA986" s="442"/>
      <c r="AB986" s="442"/>
      <c r="AC986" s="442"/>
    </row>
    <row r="987" hidden="1">
      <c r="A987" s="444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  <c r="AA987" s="442"/>
      <c r="AB987" s="442"/>
      <c r="AC987" s="442"/>
    </row>
    <row r="988" hidden="1">
      <c r="A988" s="444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  <c r="AA988" s="442"/>
      <c r="AB988" s="442"/>
      <c r="AC988" s="442"/>
    </row>
    <row r="989" hidden="1">
      <c r="A989" s="444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  <c r="AA989" s="442"/>
      <c r="AB989" s="442"/>
      <c r="AC989" s="442"/>
    </row>
    <row r="990" hidden="1">
      <c r="A990" s="444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  <c r="AA990" s="442"/>
      <c r="AB990" s="442"/>
      <c r="AC990" s="442"/>
    </row>
    <row r="991" hidden="1">
      <c r="A991" s="444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  <c r="AA991" s="442"/>
      <c r="AB991" s="442"/>
      <c r="AC991" s="442"/>
    </row>
    <row r="992" hidden="1">
      <c r="A992" s="444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  <c r="AA992" s="442"/>
      <c r="AB992" s="442"/>
      <c r="AC992" s="442"/>
    </row>
    <row r="993" hidden="1">
      <c r="A993" s="444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  <c r="AA993" s="442"/>
      <c r="AB993" s="442"/>
      <c r="AC993" s="442"/>
    </row>
    <row r="994" hidden="1">
      <c r="A994" s="444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  <c r="AA994" s="442"/>
      <c r="AB994" s="442"/>
      <c r="AC994" s="442"/>
    </row>
    <row r="995" hidden="1">
      <c r="A995" s="444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  <c r="AA995" s="442"/>
      <c r="AB995" s="442"/>
      <c r="AC995" s="442"/>
    </row>
    <row r="996" hidden="1">
      <c r="A996" s="444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  <c r="AA996" s="442"/>
      <c r="AB996" s="442"/>
      <c r="AC996" s="442"/>
    </row>
    <row r="997" hidden="1">
      <c r="A997" s="444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  <c r="AA997" s="442"/>
      <c r="AB997" s="442"/>
      <c r="AC997" s="442"/>
    </row>
    <row r="998" hidden="1">
      <c r="A998" s="444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  <c r="AA998" s="442"/>
      <c r="AB998" s="442"/>
      <c r="AC998" s="442"/>
    </row>
    <row r="999" hidden="1">
      <c r="A999" s="444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  <c r="AA999" s="442"/>
      <c r="AB999" s="442"/>
      <c r="AC999" s="442"/>
    </row>
    <row r="1000" hidden="1">
      <c r="A1000" s="444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  <c r="AA1000" s="442"/>
      <c r="AB1000" s="442"/>
      <c r="AC1000" s="442"/>
    </row>
  </sheetData>
  <autoFilter ref="$AC$1:$AC$1000"/>
  <customSheetViews>
    <customSheetView guid="{F12B3805-9B7D-4C79-B0E3-888D22CF56BA}" filter="1" showAutoFilter="1">
      <autoFilter ref="$I$1:$J$1000"/>
    </customSheetView>
  </customSheetViews>
  <conditionalFormatting sqref="AC2:AC190">
    <cfRule type="containsText" dxfId="4" priority="1" operator="containsText" text="Quadrus">
      <formula>NOT(ISERROR(SEARCH(("Quadrus"),(AC2))))</formula>
    </cfRule>
  </conditionalFormatting>
  <conditionalFormatting sqref="AC2:AC190">
    <cfRule type="containsText" dxfId="5" priority="2" operator="containsText" text="Fintro Huy">
      <formula>NOT(ISERROR(SEARCH(("Fintro Huy"),(AC2))))</formula>
    </cfRule>
  </conditionalFormatting>
  <conditionalFormatting sqref="AC2:AC190">
    <cfRule type="containsText" dxfId="6" priority="3" operator="containsText" text="Locadepot">
      <formula>NOT(ISERROR(SEARCH(("Locadepot"),(AC2))))</formula>
    </cfRule>
  </conditionalFormatting>
  <conditionalFormatting sqref="AC2:AC190">
    <cfRule type="containsText" dxfId="7" priority="4" operator="containsText" text="leblanc">
      <formula>NOT(ISERROR(SEARCH(("leblanc"),(AC2))))</formula>
    </cfRule>
  </conditionalFormatting>
  <conditionalFormatting sqref="AC2:AC190">
    <cfRule type="cellIs" dxfId="8" priority="5" operator="equal">
      <formula>"Le bois au jardin"</formula>
    </cfRule>
  </conditionalFormatting>
  <conditionalFormatting sqref="AC2:AC190">
    <cfRule type="containsText" dxfId="9" priority="6" operator="containsText" text="Grottes de Han">
      <formula>NOT(ISERROR(SEARCH(("Grottes de Han"),(AC2))))</formula>
    </cfRule>
  </conditionalFormatting>
  <conditionalFormatting sqref="AC2:AC190">
    <cfRule type="containsText" dxfId="10" priority="7" operator="containsText" text="Immo Cube">
      <formula>NOT(ISERROR(SEARCH(("Immo Cube"),(AC2))))</formula>
    </cfRule>
  </conditionalFormatting>
  <conditionalFormatting sqref="AC2:AC190">
    <cfRule type="cellIs" dxfId="11" priority="8" operator="equal">
      <formula>"Lumarvel"</formula>
    </cfRule>
  </conditionalFormatting>
  <conditionalFormatting sqref="AC2:AC190">
    <cfRule type="cellIs" dxfId="12" priority="9" operator="equal">
      <formula>"Optic &amp; vous"</formula>
    </cfRule>
  </conditionalFormatting>
  <conditionalFormatting sqref="AC2:AC190">
    <cfRule type="cellIs" dxfId="13" priority="10" operator="equal">
      <formula>"Clic Solar"</formula>
    </cfRule>
  </conditionalFormatting>
  <conditionalFormatting sqref="AC2:AC190">
    <cfRule type="cellIs" dxfId="14" priority="11" operator="equal">
      <formula>"Tournesol"</formula>
    </cfRule>
  </conditionalFormatting>
  <conditionalFormatting sqref="AC2:AC190">
    <cfRule type="cellIs" dxfId="15" priority="12" operator="equal">
      <formula>"JARDISART"</formula>
    </cfRule>
  </conditionalFormatting>
  <conditionalFormatting sqref="AC2:AC190">
    <cfRule type="cellIs" dxfId="16" priority="13" operator="equal">
      <formula>"New Teck"</formula>
    </cfRule>
  </conditionalFormatting>
  <conditionalFormatting sqref="AC2:AC190">
    <cfRule type="cellIs" dxfId="17" priority="14" operator="equal">
      <formula>"PROXIMED"</formula>
    </cfRule>
  </conditionalFormatting>
  <conditionalFormatting sqref="AC2:AC190">
    <cfRule type="containsText" dxfId="18" priority="15" operator="containsText" text="COLORA">
      <formula>NOT(ISERROR(SEARCH(("COLORA"),(AC2))))</formula>
    </cfRule>
  </conditionalFormatting>
  <conditionalFormatting sqref="AC2:AC190">
    <cfRule type="containsText" dxfId="19" priority="16" operator="containsText" text="mobalpa">
      <formula>NOT(ISERROR(SEARCH(("mobalpa"),(AC2))))</formula>
    </cfRule>
  </conditionalFormatting>
  <conditionalFormatting sqref="AC2:AC190">
    <cfRule type="containsText" dxfId="20" priority="17" operator="containsText" text="Piscinat">
      <formula>NOT(ISERROR(SEARCH(("Piscinat"),(AC2))))</formula>
    </cfRule>
  </conditionalFormatting>
  <conditionalFormatting sqref="AC2:AC190">
    <cfRule type="cellIs" dxfId="21" priority="18" operator="equal">
      <formula>"Garage Renaux Fiat"</formula>
    </cfRule>
  </conditionalFormatting>
  <conditionalFormatting sqref="AC2:AC190">
    <cfRule type="cellIs" dxfId="22" priority="19" operator="equal">
      <formula>"OPTION"</formula>
    </cfRule>
  </conditionalFormatting>
  <conditionalFormatting sqref="AC2:AC190">
    <cfRule type="cellIs" dxfId="23" priority="20" operator="equal">
      <formula>"Urbaine"</formula>
    </cfRule>
  </conditionalFormatting>
  <conditionalFormatting sqref="AC2:AC190">
    <cfRule type="containsText" dxfId="24" priority="21" operator="containsText" text="Tonton tapis">
      <formula>NOT(ISERROR(SEARCH(("Tonton tapis"),(AC2))))</formula>
    </cfRule>
  </conditionalFormatting>
  <conditionalFormatting sqref="AC2:AC190">
    <cfRule type="containsText" dxfId="25" priority="22" operator="containsText" text="Ixina">
      <formula>NOT(ISERROR(SEARCH(("Ixina"),(AC2))))</formula>
    </cfRule>
  </conditionalFormatting>
  <conditionalFormatting sqref="AC2:AC190">
    <cfRule type="cellIs" dxfId="26" priority="23" operator="equal">
      <formula>"Spa Rally"</formula>
    </cfRule>
  </conditionalFormatting>
  <conditionalFormatting sqref="AC2:AC190">
    <cfRule type="cellIs" dxfId="27" priority="24" operator="equal">
      <formula>"BP Martelange"</formula>
    </cfRule>
  </conditionalFormatting>
  <conditionalFormatting sqref="AC2:AC190">
    <cfRule type="cellIs" dxfId="28" priority="25" operator="equal">
      <formula>"Servipools"</formula>
    </cfRule>
  </conditionalFormatting>
  <conditionalFormatting sqref="AC2:AC190">
    <cfRule type="cellIs" dxfId="29" priority="26" operator="equal">
      <formula>"JCP Cleaning"</formula>
    </cfRule>
  </conditionalFormatting>
  <conditionalFormatting sqref="AC2:AC190">
    <cfRule type="cellIs" dxfId="30" priority="27" operator="equal">
      <formula>"Literie Prestige"</formula>
    </cfRule>
  </conditionalFormatting>
  <conditionalFormatting sqref="AC2:AC190">
    <cfRule type="cellIs" dxfId="31" priority="28" operator="equal">
      <formula>"Solidarités"</formula>
    </cfRule>
  </conditionalFormatting>
  <conditionalFormatting sqref="AC2:AC190">
    <cfRule type="cellIs" dxfId="32" priority="29" operator="equal">
      <formula>"Belgian Rally"</formula>
    </cfRule>
  </conditionalFormatting>
  <conditionalFormatting sqref="AC2:AC190">
    <cfRule type="cellIs" dxfId="33" priority="30" operator="equal">
      <formula>"PESSLEUX"</formula>
    </cfRule>
  </conditionalFormatting>
  <conditionalFormatting sqref="AC2:AC190">
    <cfRule type="cellIs" dxfId="34" priority="31" operator="equal">
      <formula>"Marco Magazzino"</formula>
    </cfRule>
  </conditionalFormatting>
  <conditionalFormatting sqref="AC2:AC190">
    <cfRule type="containsText" dxfId="4" priority="32" operator="containsText" text="vausort">
      <formula>NOT(ISERROR(SEARCH(("vausort"),(AC2))))</formula>
    </cfRule>
  </conditionalFormatting>
  <conditionalFormatting sqref="AC2:AC190">
    <cfRule type="cellIs" dxfId="35" priority="33" operator="equal">
      <formula>"NAM Property"</formula>
    </cfRule>
  </conditionalFormatting>
  <conditionalFormatting sqref="AC2:AC190">
    <cfRule type="cellIs" dxfId="36" priority="34" operator="equal">
      <formula>"Mur-Mur"</formula>
    </cfRule>
  </conditionalFormatting>
  <conditionalFormatting sqref="AC2:AC190">
    <cfRule type="containsText" dxfId="37" priority="35" operator="containsText" text="Servalux">
      <formula>NOT(ISERROR(SEARCH(("Servalux"),(AC2))))</formula>
    </cfRule>
  </conditionalFormatting>
  <conditionalFormatting sqref="AC2:AC190">
    <cfRule type="containsText" dxfId="38" priority="36" operator="containsText" text="Schmidt">
      <formula>NOT(ISERROR(SEARCH(("Schmidt"),(AC2))))</formula>
    </cfRule>
  </conditionalFormatting>
  <conditionalFormatting sqref="AC1:AC178">
    <cfRule type="cellIs" dxfId="39" priority="37" operator="equal">
      <formula>"BAT"</formula>
    </cfRule>
  </conditionalFormatting>
  <conditionalFormatting sqref="AC1:AC178">
    <cfRule type="cellIs" dxfId="40" priority="38" operator="equal">
      <formula>"New OK"</formula>
    </cfRule>
  </conditionalFormatting>
  <conditionalFormatting sqref="AC1:AC190">
    <cfRule type="cellIs" dxfId="41" priority="39" operator="equal">
      <formula>"A faire"</formula>
    </cfRule>
  </conditionalFormatting>
  <conditionalFormatting sqref="AC1:AC180">
    <cfRule type="cellIs" dxfId="39" priority="40" operator="equal">
      <formula>"?"</formula>
    </cfRule>
  </conditionalFormatting>
  <conditionalFormatting sqref="AC1:AC180">
    <cfRule type="cellIs" dxfId="42" priority="41" operator="equal">
      <formula>"OVI Services"</formula>
    </cfRule>
  </conditionalFormatting>
  <conditionalFormatting sqref="AC1:AC180">
    <cfRule type="cellIs" dxfId="43" priority="42" operator="equal">
      <formula>"Yourfire"</formula>
    </cfRule>
  </conditionalFormatting>
  <conditionalFormatting sqref="AC1:AC180">
    <cfRule type="containsText" dxfId="44" priority="43" operator="containsText" text="aveve">
      <formula>NOT(ISERROR(SEARCH(("aveve"),(AC1))))</formula>
    </cfRule>
  </conditionalFormatting>
  <conditionalFormatting sqref="AC1:AC180">
    <cfRule type="cellIs" dxfId="45" priority="44" operator="equal">
      <formula>"Château de beez"</formula>
    </cfRule>
  </conditionalFormatting>
  <conditionalFormatting sqref="AC2:AC190">
    <cfRule type="cellIs" dxfId="46" priority="45" operator="equal">
      <formula>"Jardi Nature"</formula>
    </cfRule>
  </conditionalFormatting>
  <conditionalFormatting sqref="AC1:AC180">
    <cfRule type="cellIs" dxfId="47" priority="46" operator="equal">
      <formula>"Full Services"</formula>
    </cfRule>
  </conditionalFormatting>
  <conditionalFormatting sqref="AC1:AC180">
    <cfRule type="cellIs" dxfId="48" priority="47" operator="equal">
      <formula>"Brainbox"</formula>
    </cfRule>
  </conditionalFormatting>
  <conditionalFormatting sqref="AC1:AC180">
    <cfRule type="containsText" dxfId="49" priority="48" operator="containsText" text="Kids and us">
      <formula>NOT(ISERROR(SEARCH(("Kids and us"),(AC1))))</formula>
    </cfRule>
  </conditionalFormatting>
  <conditionalFormatting sqref="AC1:AC180">
    <cfRule type="containsText" dxfId="50" priority="49" operator="containsText" text="Cap Sciences">
      <formula>NOT(ISERROR(SEARCH(("Cap Sciences"),(AC1))))</formula>
    </cfRule>
  </conditionalFormatting>
  <conditionalFormatting sqref="AC1:AC180">
    <cfRule type="containsText" dxfId="51" priority="50" operator="containsText" text="Graines de Vélo">
      <formula>NOT(ISERROR(SEARCH(("Graines de Vélo"),(AC1))))</formula>
    </cfRule>
  </conditionalFormatting>
  <conditionalFormatting sqref="AC1:AC180">
    <cfRule type="containsText" dxfId="52" priority="51" operator="containsText" text="CLL">
      <formula>NOT(ISERROR(SEARCH(("CLL"),(AC1))))</formula>
    </cfRule>
  </conditionalFormatting>
  <conditionalFormatting sqref="AC1:AC180">
    <cfRule type="containsText" dxfId="53" priority="52" operator="containsText" text="Knauf">
      <formula>NOT(ISERROR(SEARCH(("Knauf"),(AC1))))</formula>
    </cfRule>
  </conditionalFormatting>
  <conditionalFormatting sqref="AC1:AC180">
    <cfRule type="containsText" dxfId="54" priority="53" operator="containsText" text="Au Stock">
      <formula>NOT(ISERROR(SEARCH(("Au Stock"),(AC1))))</formula>
    </cfRule>
  </conditionalFormatting>
  <conditionalFormatting sqref="AC2:AC190">
    <cfRule type="containsText" dxfId="55" priority="54" operator="containsText" text="Q-outlet">
      <formula>NOT(ISERROR(SEARCH(("Q-outlet"),(AC2))))</formula>
    </cfRule>
  </conditionalFormatting>
  <conditionalFormatting sqref="AC1:AC180">
    <cfRule type="cellIs" dxfId="56" priority="55" operator="equal">
      <formula>"EASYHOME"</formula>
    </cfRule>
  </conditionalFormatting>
  <conditionalFormatting sqref="AC1:AC180">
    <cfRule type="containsText" dxfId="57" priority="56" operator="containsText" text="Watt4U">
      <formula>NOT(ISERROR(SEARCH(("Watt4U"),(AC1))))</formula>
    </cfRule>
  </conditionalFormatting>
  <conditionalFormatting sqref="AC1:AC180">
    <cfRule type="containsText" dxfId="58" priority="57" operator="containsText" text="Reno-Paints">
      <formula>NOT(ISERROR(SEARCH(("Reno-Paints"),(AC1))))</formula>
    </cfRule>
  </conditionalFormatting>
  <conditionalFormatting sqref="AC1:AC190">
    <cfRule type="containsText" dxfId="59" priority="58" operator="containsText" text="Fermalux">
      <formula>NOT(ISERROR(SEARCH(("Fermalux"),(AC1))))</formula>
    </cfRule>
  </conditionalFormatting>
  <conditionalFormatting sqref="AC1:AC180">
    <cfRule type="containsText" dxfId="60" priority="59" operator="containsText" text="problème">
      <formula>NOT(ISERROR(SEARCH(("problème"),(AC1))))</formula>
    </cfRule>
  </conditionalFormatting>
  <conditionalFormatting sqref="AC1:AC180">
    <cfRule type="containsText" dxfId="60" priority="60" operator="containsText" text="Retardé">
      <formula>NOT(ISERROR(SEARCH(("Retardé"),(AC1))))</formula>
    </cfRule>
  </conditionalFormatting>
  <conditionalFormatting sqref="AC1:AC180">
    <cfRule type="containsText" dxfId="61" priority="61" operator="containsText" text="Corentin">
      <formula>NOT(ISERROR(SEARCH(("Corentin"),(AC1))))</formula>
    </cfRule>
  </conditionalFormatting>
  <conditionalFormatting sqref="AC1:AC190">
    <cfRule type="containsText" dxfId="62" priority="62" operator="containsText" text="Fintro Ciney">
      <formula>NOT(ISERROR(SEARCH(("Fintro Ciney"),(AC1))))</formula>
    </cfRule>
  </conditionalFormatting>
  <conditionalFormatting sqref="AC1:AC190 A107:D107">
    <cfRule type="cellIs" dxfId="63" priority="63" operator="equal">
      <formula>"AD Delhaize Chastre"</formula>
    </cfRule>
  </conditionalFormatting>
  <conditionalFormatting sqref="E2:AC190">
    <cfRule type="containsText" dxfId="64" priority="64" operator="containsText" text="OCCUPÉ">
      <formula>NOT(ISERROR(SEARCH(("OCCUPÉ"),(E2))))</formula>
    </cfRule>
  </conditionalFormatting>
  <conditionalFormatting sqref="E2:F190 I2:J190 M2:N190 Q2:R190 U2:V190 Y2:Z190">
    <cfRule type="containsText" dxfId="65" priority="65" operator="containsText" text="LIBRE">
      <formula>NOT(ISERROR(SEARCH(("LIBRE"),(E2))))</formula>
    </cfRule>
  </conditionalFormatting>
  <conditionalFormatting sqref="G2:H190 K2:L190 O2:P190 S2:T190 W2:X190 AA2:AC190">
    <cfRule type="containsText" dxfId="66" priority="66" operator="containsText" text="LIBRE">
      <formula>NOT(ISERROR(SEARCH(("LIBRE"),(G2))))</formula>
    </cfRule>
  </conditionalFormatting>
  <conditionalFormatting sqref="A1:AC190">
    <cfRule type="containsText" dxfId="67" priority="67" operator="containsText" text="continentis">
      <formula>NOT(ISERROR(SEARCH(("continentis"),(A1))))</formula>
    </cfRule>
  </conditionalFormatting>
  <conditionalFormatting sqref="E2:AC190">
    <cfRule type="containsText" dxfId="55" priority="68" operator="containsText" text="Quadrus">
      <formula>NOT(ISERROR(SEARCH(("Quadrus"),(E2))))</formula>
    </cfRule>
  </conditionalFormatting>
  <conditionalFormatting sqref="E2:AC190">
    <cfRule type="cellIs" dxfId="68" priority="69" operator="equal">
      <formula>"DEMA"</formula>
    </cfRule>
  </conditionalFormatting>
  <conditionalFormatting sqref="E2:AC190">
    <cfRule type="cellIs" dxfId="69" priority="70" operator="equal">
      <formula>"Déco Jardin"</formula>
    </cfRule>
  </conditionalFormatting>
  <conditionalFormatting sqref="E2:AC190">
    <cfRule type="containsText" dxfId="64" priority="71" operator="containsText" text="Carimar">
      <formula>NOT(ISERROR(SEARCH(("Carimar"),(E2))))</formula>
    </cfRule>
  </conditionalFormatting>
  <conditionalFormatting sqref="E2:AC190">
    <cfRule type="containsText" dxfId="5" priority="72" operator="containsText" text="Fintro">
      <formula>NOT(ISERROR(SEARCH(("Fintro"),(E2))))</formula>
    </cfRule>
  </conditionalFormatting>
  <conditionalFormatting sqref="E2:AC190">
    <cfRule type="containsText" dxfId="70" priority="73" operator="containsText" text="Cap Sud">
      <formula>NOT(ISERROR(SEARCH(("Cap Sud"),(E2))))</formula>
    </cfRule>
  </conditionalFormatting>
  <conditionalFormatting sqref="E2:AC190">
    <cfRule type="cellIs" dxfId="71" priority="74" operator="equal">
      <formula>"Promo sport"</formula>
    </cfRule>
  </conditionalFormatting>
  <conditionalFormatting sqref="E2:AC190">
    <cfRule type="cellIs" dxfId="72" priority="75" operator="equal">
      <formula>"majesty wood"</formula>
    </cfRule>
  </conditionalFormatting>
  <conditionalFormatting sqref="E2:AC190">
    <cfRule type="cellIs" dxfId="6" priority="76" operator="equal">
      <formula>"Locadepot"</formula>
    </cfRule>
  </conditionalFormatting>
  <conditionalFormatting sqref="E2:AC190">
    <cfRule type="cellIs" dxfId="73" priority="77" operator="equal">
      <formula>"Séos"</formula>
    </cfRule>
  </conditionalFormatting>
  <conditionalFormatting sqref="E2:AC190">
    <cfRule type="cellIs" dxfId="74" priority="78" operator="equal">
      <formula>"Chaussures Ballaux"</formula>
    </cfRule>
  </conditionalFormatting>
  <conditionalFormatting sqref="E2:AC190">
    <cfRule type="cellIs" dxfId="75" priority="79" operator="equal">
      <formula>"Green Robot"</formula>
    </cfRule>
  </conditionalFormatting>
  <conditionalFormatting sqref="E2:AC190">
    <cfRule type="containsText" dxfId="76" priority="80" operator="containsText" text="McDonalds">
      <formula>NOT(ISERROR(SEARCH(("McDonalds"),(E2))))</formula>
    </cfRule>
  </conditionalFormatting>
  <conditionalFormatting sqref="E2:AC190">
    <cfRule type="cellIs" dxfId="77" priority="81" operator="equal">
      <formula>"DPS"</formula>
    </cfRule>
  </conditionalFormatting>
  <conditionalFormatting sqref="E2:AC190">
    <cfRule type="containsText" dxfId="78" priority="82" operator="containsText" text="Poils &amp; Plumes">
      <formula>NOT(ISERROR(SEARCH(("Poils &amp; Plumes"),(E2))))</formula>
    </cfRule>
  </conditionalFormatting>
  <conditionalFormatting sqref="E2:AC190">
    <cfRule type="containsText" dxfId="79" priority="83" operator="containsText" text="Chimsco">
      <formula>NOT(ISERROR(SEARCH(("Chimsco"),(E2))))</formula>
    </cfRule>
  </conditionalFormatting>
  <conditionalFormatting sqref="E2:AC190">
    <cfRule type="containsText" dxfId="80" priority="84" operator="containsText" text="Media See">
      <formula>NOT(ISERROR(SEARCH(("Media See"),(E2))))</formula>
    </cfRule>
  </conditionalFormatting>
  <conditionalFormatting sqref="E2:AC190">
    <cfRule type="cellIs" dxfId="81" priority="85" operator="equal">
      <formula>"BD Media"</formula>
    </cfRule>
  </conditionalFormatting>
  <conditionalFormatting sqref="E2:AC190">
    <cfRule type="cellIs" dxfId="82" priority="86" operator="equal">
      <formula>"Usico"</formula>
    </cfRule>
  </conditionalFormatting>
  <conditionalFormatting sqref="E2:AC190">
    <cfRule type="cellIs" dxfId="83" priority="87" operator="equal">
      <formula>"Promimo"</formula>
    </cfRule>
  </conditionalFormatting>
  <conditionalFormatting sqref="E2:AC190">
    <cfRule type="cellIs" dxfId="84" priority="88" operator="equal">
      <formula>"Lara Ceram"</formula>
    </cfRule>
  </conditionalFormatting>
  <conditionalFormatting sqref="E2:AC190">
    <cfRule type="cellIs" dxfId="85" priority="89" operator="equal">
      <formula>"FIRR"</formula>
    </cfRule>
  </conditionalFormatting>
  <conditionalFormatting sqref="E2:AC190">
    <cfRule type="cellIs" dxfId="86" priority="90" operator="equal">
      <formula>"Majois"</formula>
    </cfRule>
  </conditionalFormatting>
  <conditionalFormatting sqref="E2:AC190">
    <cfRule type="cellIs" dxfId="87" priority="91" operator="equal">
      <formula>"Literie Massart"</formula>
    </cfRule>
  </conditionalFormatting>
  <conditionalFormatting sqref="E2:AC190">
    <cfRule type="cellIs" dxfId="88" priority="92" operator="equal">
      <formula>"KRO Carrelages"</formula>
    </cfRule>
  </conditionalFormatting>
  <conditionalFormatting sqref="E2:AC190">
    <cfRule type="cellIs" dxfId="89" priority="93" operator="equal">
      <formula>"ATB"</formula>
    </cfRule>
  </conditionalFormatting>
  <conditionalFormatting sqref="E2:AC190">
    <cfRule type="cellIs" dxfId="90" priority="94" operator="equal">
      <formula>"Immologgia"</formula>
    </cfRule>
  </conditionalFormatting>
  <conditionalFormatting sqref="AC2:AC190 E67">
    <cfRule type="cellIs" dxfId="91" priority="95" operator="equal">
      <formula>"Créer coller"</formula>
    </cfRule>
  </conditionalFormatting>
  <conditionalFormatting sqref="A2:B450">
    <cfRule type="containsText" dxfId="64" priority="96" operator="containsText" text="Non listée">
      <formula>NOT(ISERROR(SEARCH(("Non listée"),(A2))))</formula>
    </cfRule>
  </conditionalFormatting>
  <dataValidations>
    <dataValidation type="list" allowBlank="1" showDropDown="1" showInputMessage="1" prompt="Cliquez ici et saisissez une des valeurs de la plage" sqref="AC9 AC87 AC99">
      <formula1>'DB clients'!$A$2:$A$933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23.63"/>
    <col customWidth="1" hidden="1" min="5" max="16" width="15.75"/>
    <col customWidth="1" min="17" max="18" width="15.75"/>
    <col hidden="1" min="21" max="22" width="12.63"/>
    <col hidden="1" min="25" max="28" width="12.63"/>
    <col customWidth="1" hidden="1" min="29" max="29" width="9.75"/>
  </cols>
  <sheetData>
    <row r="1" ht="37.5" customHeight="1">
      <c r="A1" s="8"/>
      <c r="B1" s="12">
        <v>2026.0</v>
      </c>
      <c r="C1" s="15" t="s">
        <v>0</v>
      </c>
      <c r="D1" s="17" t="s">
        <v>1</v>
      </c>
      <c r="E1" s="11" t="s">
        <v>2</v>
      </c>
      <c r="F1" s="13" t="s">
        <v>2</v>
      </c>
      <c r="G1" s="16" t="s">
        <v>4</v>
      </c>
      <c r="H1" s="18" t="s">
        <v>4</v>
      </c>
      <c r="I1" s="20" t="s">
        <v>5</v>
      </c>
      <c r="J1" s="22" t="s">
        <v>5</v>
      </c>
      <c r="K1" s="16" t="s">
        <v>7</v>
      </c>
      <c r="L1" s="18" t="s">
        <v>7</v>
      </c>
      <c r="M1" s="20" t="s">
        <v>8</v>
      </c>
      <c r="N1" s="22" t="s">
        <v>8</v>
      </c>
      <c r="O1" s="16" t="s">
        <v>10</v>
      </c>
      <c r="P1" s="18" t="s">
        <v>10</v>
      </c>
      <c r="Q1" s="20" t="s">
        <v>11</v>
      </c>
      <c r="R1" s="22" t="s">
        <v>11</v>
      </c>
      <c r="S1" s="16" t="s">
        <v>12</v>
      </c>
      <c r="T1" s="18" t="s">
        <v>12</v>
      </c>
      <c r="U1" s="20" t="s">
        <v>13</v>
      </c>
      <c r="V1" s="22" t="s">
        <v>13</v>
      </c>
      <c r="W1" s="16" t="s">
        <v>14</v>
      </c>
      <c r="X1" s="18" t="s">
        <v>14</v>
      </c>
      <c r="Y1" s="20" t="s">
        <v>15</v>
      </c>
      <c r="Z1" s="22" t="s">
        <v>15</v>
      </c>
      <c r="AA1" s="16" t="s">
        <v>16</v>
      </c>
      <c r="AB1" s="29" t="s">
        <v>16</v>
      </c>
      <c r="AC1" s="31"/>
    </row>
    <row r="2" ht="21.75" hidden="1" customHeight="1">
      <c r="A2" s="40" t="str">
        <f>Tableau!A2</f>
        <v/>
      </c>
      <c r="B2" s="46" t="str">
        <f>VLOOKUP($A2,LocalisationRemorque,2,0)</f>
        <v> Remorque non listée</v>
      </c>
      <c r="C2" s="47" t="str">
        <f>VLOOKUP($A2,LocalisationRemorque,3,0)</f>
        <v/>
      </c>
      <c r="D2" s="49" t="str">
        <f>CONCATENATE(VLOOKUP($A2,LocalisationRemorque,6,0)," ► ",VLOOKUP($A2,LocalisationRemorque,5,0))</f>
        <v> ► </v>
      </c>
      <c r="E2" s="52" t="str">
        <f>IF(ISBLANK(Tableau!$E$2), "LIBRE", "OCCUPÉ")</f>
        <v>LIBRE</v>
      </c>
      <c r="F2" s="52" t="str">
        <f>IF(ISBLANK(Tableau!$G$2), "LIBRE", "OCCUPÉ")</f>
        <v>LIBRE</v>
      </c>
      <c r="G2" s="54" t="str">
        <f>IF(ISBLANK(Tableau!$I$2), "LIBRE", "OCCUPÉ")</f>
        <v>LIBRE</v>
      </c>
      <c r="H2" s="52" t="str">
        <f>IF(ISBLANK(Tableau!$K$2), "LIBRE", "OCCUPÉ")</f>
        <v>LIBRE</v>
      </c>
      <c r="I2" s="54" t="str">
        <f>IF(ISBLANK(Tableau!$M$2), "LIBRE", "OCCUPÉ")</f>
        <v>LIBRE</v>
      </c>
      <c r="J2" s="54" t="str">
        <f>IF(ISBLANK(Tableau!$O$2), "LIBRE", "OCCUPÉ")</f>
        <v>LIBRE</v>
      </c>
      <c r="K2" s="54" t="str">
        <f>IF(ISBLANK(Tableau!$Q$2), "LIBRE", "OCCUPÉ")</f>
        <v>LIBRE</v>
      </c>
      <c r="L2" s="54" t="str">
        <f>IF(ISBLANK(Tableau!$S$2), "LIBRE", "OCCUPÉ")</f>
        <v>LIBRE</v>
      </c>
      <c r="M2" s="52" t="str">
        <f>IF(ISBLANK(Tableau!$U$2), "LIBRE", "OCCUPÉ")</f>
        <v>LIBRE</v>
      </c>
      <c r="N2" s="54" t="str">
        <f>IF(ISBLANK(Tableau!$W$2), "LIBRE", "OCCUPÉ")</f>
        <v>LIBRE</v>
      </c>
      <c r="O2" s="54" t="str">
        <f>IF(ISBLANK(Tableau!$Y$2), "LIBRE", "OCCUPÉ")</f>
        <v>LIBRE</v>
      </c>
      <c r="P2" s="54" t="str">
        <f>IF(ISBLANK(Tableau!$AA$2), "LIBRE", "OCCUPÉ")</f>
        <v>LIBRE</v>
      </c>
      <c r="Q2" s="54" t="str">
        <f>IF(ISBLANK(Tableau!$AC$2), "LIBRE", "OCCUPÉ")</f>
        <v>LIBRE</v>
      </c>
      <c r="R2" s="54" t="str">
        <f>IF(ISBLANK(Tableau!$AE$2), "LIBRE", "OCCUPÉ")</f>
        <v>LIBRE</v>
      </c>
      <c r="S2" s="54" t="str">
        <f>IF(ISBLANK(Tableau!$AG$2), "LIBRE", "OCCUPÉ")</f>
        <v>LIBRE</v>
      </c>
      <c r="T2" s="54" t="str">
        <f>IF(ISBLANK(Tableau!$AI$2), "LIBRE", "OCCUPÉ")</f>
        <v>LIBRE</v>
      </c>
      <c r="U2" s="54" t="str">
        <f>IF(ISBLANK(Tableau!$AK$2), "LIBRE", "OCCUPÉ")</f>
        <v>LIBRE</v>
      </c>
      <c r="V2" s="54" t="str">
        <f>IF(ISBLANK(Tableau!$AM$2), "LIBRE", "OCCUPÉ")</f>
        <v>LIBRE</v>
      </c>
      <c r="W2" s="54" t="str">
        <f>IF(ISBLANK(Tableau!$AO$2), "LIBRE", "OCCUPÉ")</f>
        <v>LIBRE</v>
      </c>
      <c r="X2" s="54" t="str">
        <f>IF(ISBLANK(Tableau!$AQ$2), "LIBRE", "OCCUPÉ")</f>
        <v>LIBRE</v>
      </c>
      <c r="Y2" s="54" t="str">
        <f>IF(ISBLANK(Tableau!$AS$2), "LIBRE", "OCCUPÉ")</f>
        <v>LIBRE</v>
      </c>
      <c r="Z2" s="54" t="str">
        <f>IF(ISBLANK(Tableau!$AU$2), "LIBRE", "OCCUPÉ")</f>
        <v>LIBRE</v>
      </c>
      <c r="AA2" s="54" t="str">
        <f>IF(ISBLANK(Tableau!$AW$2), "LIBRE", "OCCUPÉ")</f>
        <v>LIBRE</v>
      </c>
      <c r="AB2" s="69" t="str">
        <f>IF(ISBLANK(Tableau!$AY$2), "LIBRE", "OCCUPÉ")</f>
        <v>LIBRE</v>
      </c>
      <c r="AC2" s="70"/>
    </row>
    <row r="3" ht="21.75" hidden="1" customHeight="1">
      <c r="A3" s="72">
        <f>Tableau!A3</f>
        <v>102</v>
      </c>
      <c r="B3" s="73" t="str">
        <f>VLOOKUP($A3,LocalisationRemorque,2,0)</f>
        <v>Nivelles</v>
      </c>
      <c r="C3" s="74" t="str">
        <f>VLOOKUP($A3,LocalisationRemorque,3,0)</f>
        <v>Sud Thines</v>
      </c>
      <c r="D3" s="75" t="str">
        <f>CONCATENATE(VLOOKUP($A3,LocalisationRemorque,6,0)," ► ",VLOOKUP($A3,LocalisationRemorque,5,0))</f>
        <v>Nivelles ► Namur</v>
      </c>
      <c r="E3" s="54" t="str">
        <f>IF(ISBLANK(Tableau!$E$3), "LIBRE", "OCCUPÉ")</f>
        <v>OCCUPÉ</v>
      </c>
      <c r="F3" s="54" t="str">
        <f>IF(ISBLANK(Tableau!$G$3), "LIBRE", "OCCUPÉ")</f>
        <v>OCCUPÉ</v>
      </c>
      <c r="G3" s="54" t="str">
        <f>IF(ISBLANK(Tableau!$I$3), "LIBRE", "OCCUPÉ")</f>
        <v>LIBRE</v>
      </c>
      <c r="H3" s="52" t="str">
        <f>IF(ISBLANK(Tableau!$K$3), "LIBRE", "OCCUPÉ")</f>
        <v>LIBRE</v>
      </c>
      <c r="I3" s="54" t="str">
        <f>IF(ISBLANK(Tableau!$M$3), "LIBRE", "OCCUPÉ")</f>
        <v>LIBRE</v>
      </c>
      <c r="J3" s="54" t="str">
        <f>IF(ISBLANK(Tableau!$O$3), "LIBRE", "OCCUPÉ")</f>
        <v>LIBRE</v>
      </c>
      <c r="K3" s="54" t="str">
        <f>IF(ISBLANK(Tableau!$Q$3), "LIBRE", "OCCUPÉ")</f>
        <v>LIBRE</v>
      </c>
      <c r="L3" s="54" t="str">
        <f>IF(ISBLANK(Tableau!$S$3), "LIBRE", "OCCUPÉ")</f>
        <v>OCCUPÉ</v>
      </c>
      <c r="M3" s="54" t="str">
        <f>IF(ISBLANK(Tableau!$U$3), "LIBRE", "OCCUPÉ")</f>
        <v>LIBRE</v>
      </c>
      <c r="N3" s="54" t="str">
        <f>IF(ISBLANK(Tableau!$W$3), "LIBRE", "OCCUPÉ")</f>
        <v>OCCUPÉ</v>
      </c>
      <c r="O3" s="54" t="str">
        <f>IF(ISBLANK(Tableau!$Y$3), "LIBRE", "OCCUPÉ")</f>
        <v>LIBRE</v>
      </c>
      <c r="P3" s="52" t="str">
        <f>IF(ISBLANK(Tableau!$AA$3), "LIBRE", "OCCUPÉ")</f>
        <v>LIBRE</v>
      </c>
      <c r="Q3" s="52" t="str">
        <f>IF(ISBLANK(Tableau!$AC$3), "LIBRE", "OCCUPÉ")</f>
        <v>OCCUPÉ</v>
      </c>
      <c r="R3" s="54" t="str">
        <f>IF(ISBLANK(Tableau!$AE$3), "LIBRE", "OCCUPÉ")</f>
        <v>OCCUPÉ</v>
      </c>
      <c r="S3" s="54" t="str">
        <f>IF(ISBLANK(Tableau!$AG$3), "LIBRE", "OCCUPÉ")</f>
        <v>LIBRE</v>
      </c>
      <c r="T3" s="52" t="str">
        <f>IF(ISBLANK(Tableau!$AI$3), "LIBRE", "OCCUPÉ")</f>
        <v>LIBRE</v>
      </c>
      <c r="U3" s="54" t="str">
        <f>IF(ISBLANK(Tableau!$AK$3), "LIBRE", "OCCUPÉ")</f>
        <v>OCCUPÉ</v>
      </c>
      <c r="V3" s="54" t="str">
        <f>IF(ISBLANK(Tableau!$AM$3), "LIBRE", "OCCUPÉ")</f>
        <v>LIBRE</v>
      </c>
      <c r="W3" s="54" t="str">
        <f>IF(ISBLANK(Tableau!$AO$3), "LIBRE", "OCCUPÉ")</f>
        <v>OCCUPÉ</v>
      </c>
      <c r="X3" s="52" t="str">
        <f>IF(ISBLANK(Tableau!$AQ$3), "LIBRE", "OCCUPÉ")</f>
        <v>LIBRE</v>
      </c>
      <c r="Y3" s="54" t="str">
        <f>IF(ISBLANK(Tableau!$AS$3), "LIBRE", "OCCUPÉ")</f>
        <v>LIBRE</v>
      </c>
      <c r="Z3" s="52" t="str">
        <f>IF(ISBLANK(Tableau!$AU$3), "LIBRE", "OCCUPÉ")</f>
        <v>LIBRE</v>
      </c>
      <c r="AA3" s="52" t="str">
        <f>IF(ISBLANK(Tableau!$AW$3), "LIBRE", "OCCUPÉ")</f>
        <v>OCCUPÉ</v>
      </c>
      <c r="AB3" s="76" t="str">
        <f>IF(ISBLANK(Tableau!$AY$3), "LIBRE", "OCCUPÉ")</f>
        <v>LIBRE</v>
      </c>
      <c r="AC3" s="77"/>
    </row>
    <row r="4" ht="21.75" hidden="1" customHeight="1">
      <c r="A4" s="40" t="str">
        <f>Tableau!A4</f>
        <v/>
      </c>
      <c r="B4" s="46" t="str">
        <f>VLOOKUP($A4,LocalisationRemorque,2,0)</f>
        <v> Remorque non listée</v>
      </c>
      <c r="C4" s="47" t="str">
        <f>VLOOKUP($A4,LocalisationRemorque,3,0)</f>
        <v/>
      </c>
      <c r="D4" s="49" t="str">
        <f>CONCATENATE(VLOOKUP($A4,LocalisationRemorque,6,0)," ► ",VLOOKUP($A4,LocalisationRemorque,5,0))</f>
        <v> ► </v>
      </c>
      <c r="E4" s="54" t="str">
        <f>IF(ISBLANK(Tableau!$E$4), "LIBRE", "OCCUPÉ")</f>
        <v>LIBRE</v>
      </c>
      <c r="F4" s="52" t="str">
        <f>IF(ISBLANK(Tableau!$G$4), "LIBRE", "OCCUPÉ")</f>
        <v>LIBRE</v>
      </c>
      <c r="G4" s="54" t="str">
        <f>IF(ISBLANK(Tableau!$I$4), "LIBRE", "OCCUPÉ")</f>
        <v>LIBRE</v>
      </c>
      <c r="H4" s="52" t="str">
        <f>IF(ISBLANK(Tableau!$K$4), "LIBRE", "OCCUPÉ")</f>
        <v>LIBRE</v>
      </c>
      <c r="I4" s="54" t="str">
        <f>IF(ISBLANK(Tableau!$M$4), "LIBRE", "OCCUPÉ")</f>
        <v>LIBRE</v>
      </c>
      <c r="J4" s="54" t="str">
        <f>IF(ISBLANK(Tableau!$O$4), "LIBRE", "OCCUPÉ")</f>
        <v>LIBRE</v>
      </c>
      <c r="K4" s="54" t="str">
        <f>IF(ISBLANK(Tableau!$Q$4), "LIBRE", "OCCUPÉ")</f>
        <v>LIBRE</v>
      </c>
      <c r="L4" s="54" t="str">
        <f>IF(ISBLANK(Tableau!$S$4), "LIBRE", "OCCUPÉ")</f>
        <v>LIBRE</v>
      </c>
      <c r="M4" s="54" t="str">
        <f>IF(ISBLANK(Tableau!$U$4), "LIBRE", "OCCUPÉ")</f>
        <v>LIBRE</v>
      </c>
      <c r="N4" s="54" t="str">
        <f>IF(ISBLANK(Tableau!$W$4), "LIBRE", "OCCUPÉ")</f>
        <v>LIBRE</v>
      </c>
      <c r="O4" s="54" t="str">
        <f>IF(ISBLANK(Tableau!$Y$4), "LIBRE", "OCCUPÉ")</f>
        <v>LIBRE</v>
      </c>
      <c r="P4" s="54" t="str">
        <f>IF(ISBLANK(Tableau!$AA$4), "LIBRE", "OCCUPÉ")</f>
        <v>LIBRE</v>
      </c>
      <c r="Q4" s="54" t="str">
        <f>IF(ISBLANK(Tableau!$AC$4), "LIBRE", "OCCUPÉ")</f>
        <v>LIBRE</v>
      </c>
      <c r="R4" s="54" t="str">
        <f>IF(ISBLANK(Tableau!$AE$4), "LIBRE", "OCCUPÉ")</f>
        <v>LIBRE</v>
      </c>
      <c r="S4" s="54" t="str">
        <f>IF(ISBLANK(Tableau!$AG$4), "LIBRE", "OCCUPÉ")</f>
        <v>LIBRE</v>
      </c>
      <c r="T4" s="52" t="str">
        <f>IF(ISBLANK(Tableau!$AI$4), "LIBRE", "OCCUPÉ")</f>
        <v>LIBRE</v>
      </c>
      <c r="U4" s="54" t="str">
        <f>IF(ISBLANK(Tableau!$AK$4), "LIBRE", "OCCUPÉ")</f>
        <v>LIBRE</v>
      </c>
      <c r="V4" s="52" t="str">
        <f>IF(ISBLANK(Tableau!$AM$4), "LIBRE", "OCCUPÉ")</f>
        <v>LIBRE</v>
      </c>
      <c r="W4" s="54" t="str">
        <f>IF(ISBLANK(Tableau!$AO$4), "LIBRE", "OCCUPÉ")</f>
        <v>LIBRE</v>
      </c>
      <c r="X4" s="52" t="str">
        <f>IF(ISBLANK(Tableau!$AQ$4), "LIBRE", "OCCUPÉ")</f>
        <v>LIBRE</v>
      </c>
      <c r="Y4" s="54" t="str">
        <f>IF(ISBLANK(Tableau!$AS$4), "LIBRE", "OCCUPÉ")</f>
        <v>LIBRE</v>
      </c>
      <c r="Z4" s="52" t="str">
        <f>IF(ISBLANK(Tableau!$AU$4), "LIBRE", "OCCUPÉ")</f>
        <v>LIBRE</v>
      </c>
      <c r="AA4" s="54" t="str">
        <f>IF(ISBLANK(Tableau!$AW$4), "LIBRE", "OCCUPÉ")</f>
        <v>LIBRE</v>
      </c>
      <c r="AB4" s="76" t="str">
        <f>IF(ISBLANK(Tableau!$AY$4), "LIBRE", "OCCUPÉ")</f>
        <v>LIBRE</v>
      </c>
      <c r="AC4" s="88"/>
    </row>
    <row r="5" ht="21.75" hidden="1" customHeight="1">
      <c r="A5" s="72">
        <f>Tableau!A5</f>
        <v>104</v>
      </c>
      <c r="B5" s="73" t="str">
        <f>VLOOKUP($A5,LocalisationRemorque,2,0)</f>
        <v>Ottignies</v>
      </c>
      <c r="C5" s="74" t="str">
        <f>VLOOKUP($A5,LocalisationRemorque,3,0)</f>
        <v>Clinique</v>
      </c>
      <c r="D5" s="75" t="str">
        <f>CONCATENATE(VLOOKUP($A5,LocalisationRemorque,6,0)," ► ",VLOOKUP($A5,LocalisationRemorque,5,0))</f>
        <v>Rixensart ► Court-Saint-Etienne</v>
      </c>
      <c r="E5" s="54" t="str">
        <f>IF(ISBLANK(Tableau!$E$5), "LIBRE", "OCCUPÉ")</f>
        <v>OCCUPÉ</v>
      </c>
      <c r="F5" s="52" t="str">
        <f>IF(ISBLANK(Tableau!$G$5), "LIBRE", "OCCUPÉ")</f>
        <v>OCCUPÉ</v>
      </c>
      <c r="G5" s="52" t="str">
        <f>IF(ISBLANK(Tableau!$I$5), "LIBRE", "OCCUPÉ")</f>
        <v>LIBRE</v>
      </c>
      <c r="H5" s="52" t="str">
        <f>IF(ISBLANK(Tableau!$K$5), "LIBRE", "OCCUPÉ")</f>
        <v>LIBRE</v>
      </c>
      <c r="I5" s="54" t="str">
        <f>IF(ISBLANK(Tableau!$M$5), "LIBRE", "OCCUPÉ")</f>
        <v>OCCUPÉ</v>
      </c>
      <c r="J5" s="54" t="str">
        <f>IF(ISBLANK(Tableau!$O$5), "LIBRE", "OCCUPÉ")</f>
        <v>LIBRE</v>
      </c>
      <c r="K5" s="54" t="str">
        <f>IF(ISBLANK(Tableau!$Q$5), "LIBRE", "OCCUPÉ")</f>
        <v>LIBRE</v>
      </c>
      <c r="L5" s="54" t="str">
        <f>IF(ISBLANK(Tableau!$S$5), "LIBRE", "OCCUPÉ")</f>
        <v>LIBRE</v>
      </c>
      <c r="M5" s="54" t="str">
        <f>IF(ISBLANK(Tableau!$U$5), "LIBRE", "OCCUPÉ")</f>
        <v>LIBRE</v>
      </c>
      <c r="N5" s="54" t="str">
        <f>IF(ISBLANK(Tableau!$W$5), "LIBRE", "OCCUPÉ")</f>
        <v>LIBRE</v>
      </c>
      <c r="O5" s="54" t="str">
        <f>IF(ISBLANK(Tableau!$Y$5), "LIBRE", "OCCUPÉ")</f>
        <v>OCCUPÉ</v>
      </c>
      <c r="P5" s="52" t="str">
        <f>IF(ISBLANK(Tableau!$AA$5), "LIBRE", "OCCUPÉ")</f>
        <v>LIBRE</v>
      </c>
      <c r="Q5" s="52" t="str">
        <f>IF(ISBLANK(Tableau!$AC$5), "LIBRE", "OCCUPÉ")</f>
        <v>LIBRE</v>
      </c>
      <c r="R5" s="52" t="str">
        <f>IF(ISBLANK(Tableau!$AE$5), "LIBRE", "OCCUPÉ")</f>
        <v>LIBRE</v>
      </c>
      <c r="S5" s="54" t="str">
        <f>IF(ISBLANK(Tableau!$AG$5), "LIBRE", "OCCUPÉ")</f>
        <v>LIBRE</v>
      </c>
      <c r="T5" s="54" t="str">
        <f>IF(ISBLANK(Tableau!$AI$5), "LIBRE", "OCCUPÉ")</f>
        <v>LIBRE</v>
      </c>
      <c r="U5" s="54" t="str">
        <f>IF(ISBLANK(Tableau!$AK$5), "LIBRE", "OCCUPÉ")</f>
        <v>OCCUPÉ</v>
      </c>
      <c r="V5" s="52" t="str">
        <f>IF(ISBLANK(Tableau!$AM$5), "LIBRE", "OCCUPÉ")</f>
        <v>LIBRE</v>
      </c>
      <c r="W5" s="54" t="str">
        <f>IF(ISBLANK(Tableau!$AO$5), "LIBRE", "OCCUPÉ")</f>
        <v>LIBRE</v>
      </c>
      <c r="X5" s="52" t="str">
        <f>IF(ISBLANK(Tableau!$AQ$5), "LIBRE", "OCCUPÉ")</f>
        <v>LIBRE</v>
      </c>
      <c r="Y5" s="54" t="str">
        <f>IF(ISBLANK(Tableau!$AS$5), "LIBRE", "OCCUPÉ")</f>
        <v>OCCUPÉ</v>
      </c>
      <c r="Z5" s="54" t="str">
        <f>IF(ISBLANK(Tableau!$AU$5), "LIBRE", "OCCUPÉ")</f>
        <v>LIBRE</v>
      </c>
      <c r="AA5" s="54" t="str">
        <f>IF(ISBLANK(Tableau!$AW$5), "LIBRE", "OCCUPÉ")</f>
        <v>LIBRE</v>
      </c>
      <c r="AB5" s="76" t="str">
        <f>IF(ISBLANK(Tableau!$AY$5), "LIBRE", "OCCUPÉ")</f>
        <v>LIBRE</v>
      </c>
      <c r="AC5" s="77"/>
    </row>
    <row r="6" ht="21.75" hidden="1" customHeight="1">
      <c r="A6" s="40">
        <f>Tableau!A6</f>
        <v>105</v>
      </c>
      <c r="B6" s="46" t="str">
        <f>VLOOKUP($A6,LocalisationRemorque,2,0)</f>
        <v>Louvain-la-Neuve</v>
      </c>
      <c r="C6" s="47" t="str">
        <f>VLOOKUP($A6,LocalisationRemorque,3,0)</f>
        <v>Corbais</v>
      </c>
      <c r="D6" s="49" t="str">
        <f>CONCATENATE(VLOOKUP($A6,LocalisationRemorque,6,0)," ► ",VLOOKUP($A6,LocalisationRemorque,5,0))</f>
        <v>LLN ► Gembloux</v>
      </c>
      <c r="E6" s="54" t="str">
        <f>IF(ISBLANK(Tableau!$E$6), "LIBRE", "OCCUPÉ")</f>
        <v>OCCUPÉ</v>
      </c>
      <c r="F6" s="52" t="str">
        <f>IF(ISBLANK(Tableau!$G$6), "LIBRE", "OCCUPÉ")</f>
        <v>LIBRE</v>
      </c>
      <c r="G6" s="54" t="str">
        <f>IF(ISBLANK(Tableau!$I$6), "LIBRE", "OCCUPÉ")</f>
        <v>LIBRE</v>
      </c>
      <c r="H6" s="52" t="str">
        <f>IF(ISBLANK(Tableau!$K$6), "LIBRE", "OCCUPÉ")</f>
        <v>LIBRE</v>
      </c>
      <c r="I6" s="54" t="str">
        <f>IF(ISBLANK(Tableau!$M$6), "LIBRE", "OCCUPÉ")</f>
        <v>LIBRE</v>
      </c>
      <c r="J6" s="54" t="str">
        <f>IF(ISBLANK(Tableau!$O$6), "LIBRE", "OCCUPÉ")</f>
        <v>LIBRE</v>
      </c>
      <c r="K6" s="54" t="str">
        <f>IF(ISBLANK(Tableau!$Q$6), "LIBRE", "OCCUPÉ")</f>
        <v>LIBRE</v>
      </c>
      <c r="L6" s="54" t="str">
        <f>IF(ISBLANK(Tableau!$S$6), "LIBRE", "OCCUPÉ")</f>
        <v>LIBRE</v>
      </c>
      <c r="M6" s="54" t="str">
        <f>IF(ISBLANK(Tableau!$U$6), "LIBRE", "OCCUPÉ")</f>
        <v>LIBRE</v>
      </c>
      <c r="N6" s="54" t="str">
        <f>IF(ISBLANK(Tableau!$W$6), "LIBRE", "OCCUPÉ")</f>
        <v>LIBRE</v>
      </c>
      <c r="O6" s="54" t="str">
        <f>IF(ISBLANK(Tableau!$Y$6), "LIBRE", "OCCUPÉ")</f>
        <v>LIBRE</v>
      </c>
      <c r="P6" s="54" t="str">
        <f>IF(ISBLANK(Tableau!$AA$6), "LIBRE", "OCCUPÉ")</f>
        <v>LIBRE</v>
      </c>
      <c r="Q6" s="54" t="str">
        <f>IF(ISBLANK(Tableau!$AC$6), "LIBRE", "OCCUPÉ")</f>
        <v>OCCUPÉ</v>
      </c>
      <c r="R6" s="54" t="str">
        <f>IF(ISBLANK(Tableau!$AE$6), "LIBRE", "OCCUPÉ")</f>
        <v>LIBRE</v>
      </c>
      <c r="S6" s="54" t="str">
        <f>IF(ISBLANK(Tableau!$AG$6), "LIBRE", "OCCUPÉ")</f>
        <v>LIBRE</v>
      </c>
      <c r="T6" s="54" t="str">
        <f>IF(ISBLANK(Tableau!$AI$6), "LIBRE", "OCCUPÉ")</f>
        <v>LIBRE</v>
      </c>
      <c r="U6" s="54" t="str">
        <f>IF(ISBLANK(Tableau!$AK$6), "LIBRE", "OCCUPÉ")</f>
        <v>LIBRE</v>
      </c>
      <c r="V6" s="54" t="str">
        <f>IF(ISBLANK(Tableau!$AM$6), "LIBRE", "OCCUPÉ")</f>
        <v>LIBRE</v>
      </c>
      <c r="W6" s="54" t="str">
        <f>IF(ISBLANK(Tableau!$AO$6), "LIBRE", "OCCUPÉ")</f>
        <v>LIBRE</v>
      </c>
      <c r="X6" s="54" t="str">
        <f>IF(ISBLANK(Tableau!$AQ$6), "LIBRE", "OCCUPÉ")</f>
        <v>LIBRE</v>
      </c>
      <c r="Y6" s="54" t="str">
        <f>IF(ISBLANK(Tableau!$AS$6), "LIBRE", "OCCUPÉ")</f>
        <v>LIBRE</v>
      </c>
      <c r="Z6" s="52" t="str">
        <f>IF(ISBLANK(Tableau!$AU$6), "LIBRE", "OCCUPÉ")</f>
        <v>LIBRE</v>
      </c>
      <c r="AA6" s="54" t="str">
        <f>IF(ISBLANK(Tableau!$AW$6), "LIBRE", "OCCUPÉ")</f>
        <v>OCCUPÉ</v>
      </c>
      <c r="AB6" s="76" t="str">
        <f>IF(ISBLANK(Tableau!$AY6), "LIBRE", "OCCUPÉ")</f>
        <v>LIBRE</v>
      </c>
      <c r="AC6" s="70"/>
    </row>
    <row r="7" ht="21.75" hidden="1" customHeight="1">
      <c r="A7" s="72">
        <f>Tableau!A7</f>
        <v>106</v>
      </c>
      <c r="B7" s="73" t="str">
        <f>VLOOKUP($A7,LocalisationRemorque,2,0)</f>
        <v>Wavre</v>
      </c>
      <c r="C7" s="74" t="str">
        <f>VLOOKUP($A7,LocalisationRemorque,3,0)</f>
        <v>Grez-Doiceau 1</v>
      </c>
      <c r="D7" s="75" t="str">
        <f>CONCATENATE(VLOOKUP($A7,LocalisationRemorque,6,0)," ► ",VLOOKUP($A7,LocalisationRemorque,5,0))</f>
        <v>Wavre ► Grez</v>
      </c>
      <c r="E7" s="54" t="str">
        <f>IF(ISBLANK(Tableau!$E$7), "LIBRE", "OCCUPÉ")</f>
        <v>OCCUPÉ</v>
      </c>
      <c r="F7" s="52" t="str">
        <f>IF(ISBLANK(Tableau!$G$7), "LIBRE", "OCCUPÉ")</f>
        <v>OCCUPÉ</v>
      </c>
      <c r="G7" s="54" t="str">
        <f>IF(ISBLANK(Tableau!$I$7), "LIBRE", "OCCUPÉ")</f>
        <v>LIBRE</v>
      </c>
      <c r="H7" s="52" t="str">
        <f>IF(ISBLANK(Tableau!$K$7), "LIBRE", "OCCUPÉ")</f>
        <v>LIBRE</v>
      </c>
      <c r="I7" s="54" t="str">
        <f>IF(ISBLANK(Tableau!$M$7), "LIBRE", "OCCUPÉ")</f>
        <v>OCCUPÉ</v>
      </c>
      <c r="J7" s="54" t="str">
        <f>IF(ISBLANK(Tableau!$O$7), "LIBRE", "OCCUPÉ")</f>
        <v>LIBRE</v>
      </c>
      <c r="K7" s="54" t="str">
        <f>IF(ISBLANK(Tableau!$Q$7), "LIBRE", "OCCUPÉ")</f>
        <v>LIBRE</v>
      </c>
      <c r="L7" s="54" t="str">
        <f>IF(ISBLANK(Tableau!$S$7), "LIBRE", "OCCUPÉ")</f>
        <v>LIBRE</v>
      </c>
      <c r="M7" s="54" t="str">
        <f>IF(ISBLANK(Tableau!$U$7), "LIBRE", "OCCUPÉ")</f>
        <v>LIBRE</v>
      </c>
      <c r="N7" s="54" t="str">
        <f>IF(ISBLANK(Tableau!$W$7), "LIBRE", "OCCUPÉ")</f>
        <v>LIBRE</v>
      </c>
      <c r="O7" s="54" t="str">
        <f>IF(ISBLANK(Tableau!$Y$7), "LIBRE", "OCCUPÉ")</f>
        <v>OCCUPÉ</v>
      </c>
      <c r="P7" s="54" t="str">
        <f>IF(ISBLANK(Tableau!$AA$7), "LIBRE", "OCCUPÉ")</f>
        <v>LIBRE</v>
      </c>
      <c r="Q7" s="54" t="str">
        <f>IF(ISBLANK(Tableau!$AC$7), "LIBRE", "OCCUPÉ")</f>
        <v>LIBRE</v>
      </c>
      <c r="R7" s="52" t="str">
        <f>IF(ISBLANK(Tableau!$AE$7), "LIBRE", "OCCUPÉ")</f>
        <v>LIBRE</v>
      </c>
      <c r="S7" s="54" t="str">
        <f>IF(ISBLANK(Tableau!$AG$7), "LIBRE", "OCCUPÉ")</f>
        <v>LIBRE</v>
      </c>
      <c r="T7" s="54" t="str">
        <f>IF(ISBLANK(Tableau!$AI$7), "LIBRE", "OCCUPÉ")</f>
        <v>LIBRE</v>
      </c>
      <c r="U7" s="54" t="str">
        <f>IF(ISBLANK(Tableau!$AK$7), "LIBRE", "OCCUPÉ")</f>
        <v>OCCUPÉ</v>
      </c>
      <c r="V7" s="52" t="str">
        <f>IF(ISBLANK(Tableau!$AM$7), "LIBRE", "OCCUPÉ")</f>
        <v>LIBRE</v>
      </c>
      <c r="W7" s="54" t="str">
        <f>IF(ISBLANK(Tableau!$AO$7), "LIBRE", "OCCUPÉ")</f>
        <v>LIBRE</v>
      </c>
      <c r="X7" s="54" t="str">
        <f>IF(ISBLANK(Tableau!$AQ$7), "LIBRE", "OCCUPÉ")</f>
        <v>LIBRE</v>
      </c>
      <c r="Y7" s="52" t="str">
        <f>IF(ISBLANK(Tableau!$AS$7), "LIBRE", "OCCUPÉ")</f>
        <v>OCCUPÉ</v>
      </c>
      <c r="Z7" s="52" t="str">
        <f>IF(ISBLANK(Tableau!$AU$7), "LIBRE", "OCCUPÉ")</f>
        <v>LIBRE</v>
      </c>
      <c r="AA7" s="52" t="str">
        <f>IF(ISBLANK(Tableau!$AW$7), "LIBRE", "OCCUPÉ")</f>
        <v>LIBRE</v>
      </c>
      <c r="AB7" s="76" t="str">
        <f>IF(ISBLANK(Tableau!$AY7), "LIBRE", "OCCUPÉ")</f>
        <v>LIBRE</v>
      </c>
      <c r="AC7" s="77"/>
    </row>
    <row r="8" ht="21.75" hidden="1" customHeight="1">
      <c r="A8" s="40">
        <f>Tableau!A8</f>
        <v>107</v>
      </c>
      <c r="B8" s="46" t="str">
        <f>VLOOKUP($A8,LocalisationRemorque,2,0)</f>
        <v>Wavre</v>
      </c>
      <c r="C8" s="47" t="str">
        <f>VLOOKUP($A8,LocalisationRemorque,3,0)</f>
        <v>Grez-Doiceau 2</v>
      </c>
      <c r="D8" s="49" t="str">
        <f>CONCATENATE(VLOOKUP($A8,LocalisationRemorque,6,0)," ► ",VLOOKUP($A8,LocalisationRemorque,5,0))</f>
        <v>LLN ► Wavre</v>
      </c>
      <c r="E8" s="52" t="str">
        <f>IF(ISBLANK(Tableau!$E$8), "LIBRE", "OCCUPÉ")</f>
        <v>OCCUPÉ</v>
      </c>
      <c r="F8" s="52" t="str">
        <f>IF(ISBLANK(Tableau!$G$8), "LIBRE", "OCCUPÉ")</f>
        <v>LIBRE</v>
      </c>
      <c r="G8" s="54" t="str">
        <f>IF(ISBLANK(Tableau!$I$8), "LIBRE", "OCCUPÉ")</f>
        <v>LIBRE</v>
      </c>
      <c r="H8" s="52" t="str">
        <f>IF(ISBLANK(Tableau!$K$8), "LIBRE", "OCCUPÉ")</f>
        <v>LIBRE</v>
      </c>
      <c r="I8" s="54" t="str">
        <f>IF(ISBLANK(Tableau!$M$8), "LIBRE", "OCCUPÉ")</f>
        <v>OCCUPÉ</v>
      </c>
      <c r="J8" s="54" t="str">
        <f>IF(ISBLANK(Tableau!$O$8), "LIBRE", "OCCUPÉ")</f>
        <v>LIBRE</v>
      </c>
      <c r="K8" s="54" t="str">
        <f>IF(ISBLANK(Tableau!$Q$8), "LIBRE", "OCCUPÉ")</f>
        <v>LIBRE</v>
      </c>
      <c r="L8" s="54" t="str">
        <f>IF(ISBLANK(Tableau!$S$8), "LIBRE", "OCCUPÉ")</f>
        <v>LIBRE</v>
      </c>
      <c r="M8" s="54" t="str">
        <f>IF(ISBLANK(Tableau!$U$8), "LIBRE", "OCCUPÉ")</f>
        <v>LIBRE</v>
      </c>
      <c r="N8" s="52" t="str">
        <f>IF(ISBLANK(Tableau!$W$8), "LIBRE", "OCCUPÉ")</f>
        <v>LIBRE</v>
      </c>
      <c r="O8" s="54" t="str">
        <f>IF(ISBLANK(Tableau!$Y$8), "LIBRE", "OCCUPÉ")</f>
        <v>OCCUPÉ</v>
      </c>
      <c r="P8" s="52" t="str">
        <f>IF(ISBLANK(Tableau!$AA$8), "LIBRE", "OCCUPÉ")</f>
        <v>LIBRE</v>
      </c>
      <c r="Q8" s="54" t="str">
        <f>IF(ISBLANK(Tableau!$AC$8), "LIBRE", "OCCUPÉ")</f>
        <v>LIBRE</v>
      </c>
      <c r="R8" s="54" t="str">
        <f>IF(ISBLANK(Tableau!$AE$8), "LIBRE", "OCCUPÉ")</f>
        <v>LIBRE</v>
      </c>
      <c r="S8" s="54" t="str">
        <f>IF(ISBLANK(Tableau!$AG$8), "LIBRE", "OCCUPÉ")</f>
        <v>LIBRE</v>
      </c>
      <c r="T8" s="54" t="str">
        <f>IF(ISBLANK(Tableau!$AI$8), "LIBRE", "OCCUPÉ")</f>
        <v>LIBRE</v>
      </c>
      <c r="U8" s="54" t="str">
        <f>IF(ISBLANK(Tableau!$AK$8), "LIBRE", "OCCUPÉ")</f>
        <v>OCCUPÉ</v>
      </c>
      <c r="V8" s="52" t="str">
        <f>IF(ISBLANK(Tableau!$AM$8), "LIBRE", "OCCUPÉ")</f>
        <v>LIBRE</v>
      </c>
      <c r="W8" s="54" t="str">
        <f>IF(ISBLANK(Tableau!$AO$8), "LIBRE", "OCCUPÉ")</f>
        <v>LIBRE</v>
      </c>
      <c r="X8" s="52" t="str">
        <f>IF(ISBLANK(Tableau!$AQ$8), "LIBRE", "OCCUPÉ")</f>
        <v>LIBRE</v>
      </c>
      <c r="Y8" s="52" t="str">
        <f>IF(ISBLANK(Tableau!$AS$8), "LIBRE", "OCCUPÉ")</f>
        <v>OCCUPÉ</v>
      </c>
      <c r="Z8" s="52" t="str">
        <f>IF(ISBLANK(Tableau!$AU$8), "LIBRE", "OCCUPÉ")</f>
        <v>LIBRE</v>
      </c>
      <c r="AA8" s="52" t="str">
        <f>IF(ISBLANK(Tableau!$AW$8), "LIBRE", "OCCUPÉ")</f>
        <v>LIBRE</v>
      </c>
      <c r="AB8" s="76" t="str">
        <f>IF(ISBLANK(Tableau!$AY8), "LIBRE", "OCCUPÉ")</f>
        <v>LIBRE</v>
      </c>
      <c r="AC8" s="70"/>
    </row>
    <row r="9" ht="21.75" hidden="1" customHeight="1">
      <c r="A9" s="72">
        <f>Tableau!A9</f>
        <v>108</v>
      </c>
      <c r="B9" s="73" t="str">
        <f>VLOOKUP($A9,LocalisationRemorque,2,0)</f>
        <v>Wavre</v>
      </c>
      <c r="C9" s="74" t="str">
        <f>VLOOKUP($A9,LocalisationRemorque,3,0)</f>
        <v>Grez-Doiceau 3</v>
      </c>
      <c r="D9" s="75" t="str">
        <f>CONCATENATE(VLOOKUP($A9,LocalisationRemorque,6,0)," ► ",VLOOKUP($A9,LocalisationRemorque,5,0))</f>
        <v>Wavre ► Grez</v>
      </c>
      <c r="E9" s="54" t="str">
        <f>IF(ISBLANK(Tableau!$E$9), "LIBRE", "OCCUPÉ")</f>
        <v>OCCUPÉ</v>
      </c>
      <c r="F9" s="54" t="str">
        <f>IF(ISBLANK(Tableau!$G$9), "LIBRE", "OCCUPÉ")</f>
        <v>LIBRE</v>
      </c>
      <c r="G9" s="54" t="str">
        <f>IF(ISBLANK(Tableau!$I$9), "LIBRE", "OCCUPÉ")</f>
        <v>LIBRE</v>
      </c>
      <c r="H9" s="54" t="str">
        <f>IF(ISBLANK(Tableau!$K$9), "LIBRE", "OCCUPÉ")</f>
        <v>LIBRE</v>
      </c>
      <c r="I9" s="54" t="str">
        <f>IF(ISBLANK(Tableau!$M$9), "LIBRE", "OCCUPÉ")</f>
        <v>OCCUPÉ</v>
      </c>
      <c r="J9" s="54" t="str">
        <f>IF(ISBLANK(Tableau!$O$9), "LIBRE", "OCCUPÉ")</f>
        <v>LIBRE</v>
      </c>
      <c r="K9" s="54" t="str">
        <f>IF(ISBLANK(Tableau!$Q$9), "LIBRE", "OCCUPÉ")</f>
        <v>LIBRE</v>
      </c>
      <c r="L9" s="54" t="str">
        <f>IF(ISBLANK(Tableau!$S$9), "LIBRE", "OCCUPÉ")</f>
        <v>LIBRE</v>
      </c>
      <c r="M9" s="54" t="str">
        <f>IF(ISBLANK(Tableau!$U$9), "LIBRE", "OCCUPÉ")</f>
        <v>LIBRE</v>
      </c>
      <c r="N9" s="54" t="str">
        <f>IF(ISBLANK(Tableau!$W$9), "LIBRE", "OCCUPÉ")</f>
        <v>LIBRE</v>
      </c>
      <c r="O9" s="54" t="str">
        <f>IF(ISBLANK(Tableau!$Y$9), "LIBRE", "OCCUPÉ")</f>
        <v>OCCUPÉ</v>
      </c>
      <c r="P9" s="54" t="str">
        <f>IF(ISBLANK(Tableau!$AA$9), "LIBRE", "OCCUPÉ")</f>
        <v>LIBRE</v>
      </c>
      <c r="Q9" s="54" t="str">
        <f>IF(ISBLANK(Tableau!$AC$9), "LIBRE", "OCCUPÉ")</f>
        <v>OCCUPÉ</v>
      </c>
      <c r="R9" s="52" t="str">
        <f>IF(ISBLANK(Tableau!$AE$9), "LIBRE", "OCCUPÉ")</f>
        <v>LIBRE</v>
      </c>
      <c r="S9" s="52" t="str">
        <f>IF(ISBLANK(Tableau!$AG$9), "LIBRE", "OCCUPÉ")</f>
        <v>LIBRE</v>
      </c>
      <c r="T9" s="52" t="str">
        <f>IF(ISBLANK(Tableau!$AI$9), "LIBRE", "OCCUPÉ")</f>
        <v>LIBRE</v>
      </c>
      <c r="U9" s="54" t="str">
        <f>IF(ISBLANK(Tableau!$AK$9), "LIBRE", "OCCUPÉ")</f>
        <v>OCCUPÉ</v>
      </c>
      <c r="V9" s="52" t="str">
        <f>IF(ISBLANK(Tableau!$AM$9), "LIBRE", "OCCUPÉ")</f>
        <v>LIBRE</v>
      </c>
      <c r="W9" s="52" t="str">
        <f>IF(ISBLANK(Tableau!$AO$9), "LIBRE", "OCCUPÉ")</f>
        <v>LIBRE</v>
      </c>
      <c r="X9" s="52" t="str">
        <f>IF(ISBLANK(Tableau!$AQ$9), "LIBRE", "OCCUPÉ")</f>
        <v>LIBRE</v>
      </c>
      <c r="Y9" s="54" t="str">
        <f>IF(ISBLANK(Tableau!$AS$9), "LIBRE", "OCCUPÉ")</f>
        <v>OCCUPÉ</v>
      </c>
      <c r="Z9" s="52" t="str">
        <f>IF(ISBLANK(Tableau!$AU$9), "LIBRE", "OCCUPÉ")</f>
        <v>LIBRE</v>
      </c>
      <c r="AA9" s="52" t="str">
        <f>IF(ISBLANK(Tableau!$AW$9), "LIBRE", "OCCUPÉ")</f>
        <v>LIBRE</v>
      </c>
      <c r="AB9" s="76" t="str">
        <f>IF(ISBLANK(Tableau!$AY9), "LIBRE", "OCCUPÉ")</f>
        <v>LIBRE</v>
      </c>
      <c r="AC9" s="77"/>
    </row>
    <row r="10" ht="21.75" hidden="1" customHeight="1">
      <c r="A10" s="40">
        <f>Tableau!A10</f>
        <v>109</v>
      </c>
      <c r="B10" s="46" t="str">
        <f>VLOOKUP($A10,LocalisationRemorque,2,0)</f>
        <v>Jodoigne</v>
      </c>
      <c r="C10" s="47" t="str">
        <f>VLOOKUP($A10,LocalisationRemorque,3,0)</f>
        <v>Mélin</v>
      </c>
      <c r="D10" s="49" t="str">
        <f>CONCATENATE(VLOOKUP($A10,LocalisationRemorque,6,0)," ► ",VLOOKUP($A10,LocalisationRemorque,5,0))</f>
        <v>Jodoigne ► Beauvechain</v>
      </c>
      <c r="E10" s="52" t="str">
        <f>IF(ISBLANK(Tableau!$E$10), "LIBRE", "OCCUPÉ")</f>
        <v>LIBRE</v>
      </c>
      <c r="F10" s="52" t="str">
        <f>IF(ISBLANK(Tableau!$G$10), "LIBRE", "OCCUPÉ")</f>
        <v>LIBRE</v>
      </c>
      <c r="G10" s="54" t="str">
        <f>IF(ISBLANK(Tableau!$I$10), "LIBRE", "OCCUPÉ")</f>
        <v>LIBRE</v>
      </c>
      <c r="H10" s="52" t="str">
        <f>IF(ISBLANK(Tableau!$K$10), "LIBRE", "OCCUPÉ")</f>
        <v>LIBRE</v>
      </c>
      <c r="I10" s="54" t="str">
        <f>IF(ISBLANK(Tableau!$M$10), "LIBRE", "OCCUPÉ")</f>
        <v>LIBRE</v>
      </c>
      <c r="J10" s="54" t="str">
        <f>IF(ISBLANK(Tableau!$O$10), "LIBRE", "OCCUPÉ")</f>
        <v>LIBRE</v>
      </c>
      <c r="K10" s="54" t="str">
        <f>IF(ISBLANK(Tableau!$Q$10), "LIBRE", "OCCUPÉ")</f>
        <v>LIBRE</v>
      </c>
      <c r="L10" s="52" t="str">
        <f>IF(ISBLANK(Tableau!$S$10), "LIBRE", "OCCUPÉ")</f>
        <v>LIBRE</v>
      </c>
      <c r="M10" s="54" t="str">
        <f>IF(ISBLANK(Tableau!$U$10), "LIBRE", "OCCUPÉ")</f>
        <v>LIBRE</v>
      </c>
      <c r="N10" s="52" t="str">
        <f>IF(ISBLANK(Tableau!$W$10), "LIBRE", "OCCUPÉ")</f>
        <v>LIBRE</v>
      </c>
      <c r="O10" s="52" t="str">
        <f>IF(ISBLANK(Tableau!$Y$10), "LIBRE", "OCCUPÉ")</f>
        <v>LIBRE</v>
      </c>
      <c r="P10" s="52" t="str">
        <f>IF(ISBLANK(Tableau!$AA$10), "LIBRE", "OCCUPÉ")</f>
        <v>LIBRE</v>
      </c>
      <c r="Q10" s="52" t="str">
        <f>IF(ISBLANK(Tableau!$AC$11), "LIBRE", "OCCUPÉ")</f>
        <v>LIBRE</v>
      </c>
      <c r="R10" s="52" t="str">
        <f>IF(ISBLANK(Tableau!$AE$10), "LIBRE", "OCCUPÉ")</f>
        <v>LIBRE</v>
      </c>
      <c r="S10" s="52" t="str">
        <f>IF(ISBLANK(Tableau!$AG$10), "LIBRE", "OCCUPÉ")</f>
        <v>LIBRE</v>
      </c>
      <c r="T10" s="52" t="str">
        <f>IF(ISBLANK(Tableau!$AI$10), "LIBRE", "OCCUPÉ")</f>
        <v>LIBRE</v>
      </c>
      <c r="U10" s="54" t="str">
        <f>IF(ISBLANK(Tableau!$AK$10), "LIBRE", "OCCUPÉ")</f>
        <v>LIBRE</v>
      </c>
      <c r="V10" s="52" t="str">
        <f>IF(ISBLANK(Tableau!$AM$10), "LIBRE", "OCCUPÉ")</f>
        <v>LIBRE</v>
      </c>
      <c r="W10" s="52" t="str">
        <f>IF(ISBLANK(Tableau!$AO$10), "LIBRE", "OCCUPÉ")</f>
        <v>LIBRE</v>
      </c>
      <c r="X10" s="52" t="str">
        <f>IF(ISBLANK(Tableau!$AQ$10), "LIBRE", "OCCUPÉ")</f>
        <v>LIBRE</v>
      </c>
      <c r="Y10" s="52" t="str">
        <f>IF(ISBLANK(Tableau!$AS$10), "LIBRE", "OCCUPÉ")</f>
        <v>LIBRE</v>
      </c>
      <c r="Z10" s="52" t="str">
        <f>IF(ISBLANK(Tableau!$AU$10), "LIBRE", "OCCUPÉ")</f>
        <v>LIBRE</v>
      </c>
      <c r="AA10" s="52" t="str">
        <f>IF(ISBLANK(Tableau!$AW$10), "LIBRE", "OCCUPÉ")</f>
        <v>LIBRE</v>
      </c>
      <c r="AB10" s="76" t="str">
        <f>IF(ISBLANK(Tableau!$AY10), "LIBRE", "OCCUPÉ")</f>
        <v>LIBRE</v>
      </c>
      <c r="AC10" s="70"/>
    </row>
    <row r="11" ht="21.75" hidden="1" customHeight="1">
      <c r="A11" s="72">
        <f>Tableau!A11</f>
        <v>110</v>
      </c>
      <c r="B11" s="73" t="str">
        <f>VLOOKUP($A11,LocalisationRemorque,2,0)</f>
        <v>Jodoigne</v>
      </c>
      <c r="C11" s="74" t="str">
        <f>VLOOKUP($A11,LocalisationRemorque,3,0)</f>
        <v>Entree Jodoigne</v>
      </c>
      <c r="D11" s="75" t="str">
        <f>CONCATENATE(VLOOKUP($A11,LocalisationRemorque,6,0)," ► ",VLOOKUP($A11,LocalisationRemorque,5,0))</f>
        <v>Jodoigne ► Tirlemont</v>
      </c>
      <c r="E11" s="52" t="str">
        <f>IF(ISBLANK(Tableau!$E$11), "LIBRE", "OCCUPÉ")</f>
        <v>LIBRE</v>
      </c>
      <c r="F11" s="52" t="str">
        <f>IF(ISBLANK(Tableau!$G$11), "LIBRE", "OCCUPÉ")</f>
        <v>LIBRE</v>
      </c>
      <c r="G11" s="52" t="str">
        <f>IF(ISBLANK(Tableau!$I$11), "LIBRE", "OCCUPÉ")</f>
        <v>LIBRE</v>
      </c>
      <c r="H11" s="52" t="str">
        <f>IF(ISBLANK(Tableau!$K$11), "LIBRE", "OCCUPÉ")</f>
        <v>LIBRE</v>
      </c>
      <c r="I11" s="54" t="str">
        <f>IF(ISBLANK(Tableau!$M$11), "LIBRE", "OCCUPÉ")</f>
        <v>LIBRE</v>
      </c>
      <c r="J11" s="54" t="str">
        <f>IF(ISBLANK(Tableau!$O$11), "LIBRE", "OCCUPÉ")</f>
        <v>LIBRE</v>
      </c>
      <c r="K11" s="52" t="str">
        <f>IF(ISBLANK(Tableau!$Q$11), "LIBRE", "OCCUPÉ")</f>
        <v>LIBRE</v>
      </c>
      <c r="L11" s="54" t="str">
        <f>IF(ISBLANK(Tableau!$S$11), "LIBRE", "OCCUPÉ")</f>
        <v>LIBRE</v>
      </c>
      <c r="M11" s="54" t="str">
        <f>IF(ISBLANK(Tableau!$U$11), "LIBRE", "OCCUPÉ")</f>
        <v>LIBRE</v>
      </c>
      <c r="N11" s="54" t="str">
        <f>IF(ISBLANK(Tableau!$W$11), "LIBRE", "OCCUPÉ")</f>
        <v>LIBRE</v>
      </c>
      <c r="O11" s="54" t="str">
        <f>IF(ISBLANK(Tableau!$Y$11), "LIBRE", "OCCUPÉ")</f>
        <v>LIBRE</v>
      </c>
      <c r="P11" s="54" t="str">
        <f>IF(ISBLANK(Tableau!$AA$11), "LIBRE", "OCCUPÉ")</f>
        <v>LIBRE</v>
      </c>
      <c r="Q11" s="52" t="str">
        <f>IF(ISBLANK(#REF!), "LIBRE", "OCCUPÉ")</f>
        <v>OCCUPÉ</v>
      </c>
      <c r="R11" s="52" t="str">
        <f>IF(ISBLANK(Tableau!$AE$11), "LIBRE", "OCCUPÉ")</f>
        <v>LIBRE</v>
      </c>
      <c r="S11" s="52" t="str">
        <f>IF(ISBLANK(Tableau!$AG$11), "LIBRE", "OCCUPÉ")</f>
        <v>LIBRE</v>
      </c>
      <c r="T11" s="52" t="str">
        <f>IF(ISBLANK(Tableau!$AI$11), "LIBRE", "OCCUPÉ")</f>
        <v>LIBRE</v>
      </c>
      <c r="U11" s="54" t="str">
        <f>IF(ISBLANK(Tableau!$AK$11), "LIBRE", "OCCUPÉ")</f>
        <v>LIBRE</v>
      </c>
      <c r="V11" s="52" t="str">
        <f>IF(ISBLANK(Tableau!$AM$11), "LIBRE", "OCCUPÉ")</f>
        <v>LIBRE</v>
      </c>
      <c r="W11" s="52" t="str">
        <f>IF(ISBLANK(Tableau!$AO$11), "LIBRE", "OCCUPÉ")</f>
        <v>LIBRE</v>
      </c>
      <c r="X11" s="52" t="str">
        <f>IF(ISBLANK(Tableau!$AQ$11), "LIBRE", "OCCUPÉ")</f>
        <v>LIBRE</v>
      </c>
      <c r="Y11" s="54" t="str">
        <f>IF(ISBLANK(Tableau!$AS$11), "LIBRE", "OCCUPÉ")</f>
        <v>LIBRE</v>
      </c>
      <c r="Z11" s="52" t="str">
        <f>IF(ISBLANK(Tableau!$AU$11), "LIBRE", "OCCUPÉ")</f>
        <v>LIBRE</v>
      </c>
      <c r="AA11" s="52" t="str">
        <f>IF(ISBLANK(Tableau!$AW$11), "LIBRE", "OCCUPÉ")</f>
        <v>LIBRE</v>
      </c>
      <c r="AB11" s="76" t="str">
        <f>IF(ISBLANK(Tableau!$AY11), "LIBRE", "OCCUPÉ")</f>
        <v>LIBRE</v>
      </c>
      <c r="AC11" s="77"/>
    </row>
    <row r="12" ht="21.75" hidden="1" customHeight="1">
      <c r="A12" s="40">
        <f>Tableau!A12</f>
        <v>111</v>
      </c>
      <c r="B12" s="46" t="str">
        <f>VLOOKUP($A12,LocalisationRemorque,2,0)</f>
        <v>Beauvechain</v>
      </c>
      <c r="C12" s="47" t="str">
        <f>VLOOKUP($A12,LocalisationRemorque,3,0)</f>
        <v>Nodebais</v>
      </c>
      <c r="D12" s="49" t="str">
        <f>CONCATENATE(VLOOKUP($A12,LocalisationRemorque,6,0)," ► ",VLOOKUP($A12,LocalisationRemorque,5,0))</f>
        <v>Éghezée ► Hamme</v>
      </c>
      <c r="E12" s="52" t="str">
        <f>IF(ISBLANK(Tableau!$E$12), "LIBRE", "OCCUPÉ")</f>
        <v>OCCUPÉ</v>
      </c>
      <c r="F12" s="52" t="str">
        <f>IF(ISBLANK(Tableau!$G$12), "LIBRE", "OCCUPÉ")</f>
        <v>LIBRE</v>
      </c>
      <c r="G12" s="52" t="str">
        <f>IF(ISBLANK(Tableau!$I$12), "LIBRE", "OCCUPÉ")</f>
        <v>LIBRE</v>
      </c>
      <c r="H12" s="52" t="str">
        <f>IF(ISBLANK(Tableau!$K$12), "LIBRE", "OCCUPÉ")</f>
        <v>LIBRE</v>
      </c>
      <c r="I12" s="54" t="str">
        <f>IF(ISBLANK(Tableau!$M$12), "LIBRE", "OCCUPÉ")</f>
        <v>OCCUPÉ</v>
      </c>
      <c r="J12" s="54" t="str">
        <f>IF(ISBLANK(Tableau!$O$12), "LIBRE", "OCCUPÉ")</f>
        <v>LIBRE</v>
      </c>
      <c r="K12" s="54" t="str">
        <f>IF(ISBLANK(Tableau!$Q$12), "LIBRE", "OCCUPÉ")</f>
        <v>LIBRE</v>
      </c>
      <c r="L12" s="52" t="str">
        <f>IF(ISBLANK(Tableau!$S$12), "LIBRE", "OCCUPÉ")</f>
        <v>LIBRE</v>
      </c>
      <c r="M12" s="54" t="str">
        <f>IF(ISBLANK(Tableau!$U$12), "LIBRE", "OCCUPÉ")</f>
        <v>LIBRE</v>
      </c>
      <c r="N12" s="54" t="str">
        <f>IF(ISBLANK(Tableau!$W$12), "LIBRE", "OCCUPÉ")</f>
        <v>LIBRE</v>
      </c>
      <c r="O12" s="54" t="str">
        <f>IF(ISBLANK(Tableau!$Y$12), "LIBRE", "OCCUPÉ")</f>
        <v>OCCUPÉ</v>
      </c>
      <c r="P12" s="52" t="str">
        <f>IF(ISBLANK(Tableau!$AA$12), "LIBRE", "OCCUPÉ")</f>
        <v>LIBRE</v>
      </c>
      <c r="Q12" s="52" t="str">
        <f>IF(ISBLANK(Tableau!$AC$12), "LIBRE", "OCCUPÉ")</f>
        <v>OCCUPÉ</v>
      </c>
      <c r="R12" s="52" t="str">
        <f>IF(ISBLANK(Tableau!$AE$12), "LIBRE", "OCCUPÉ")</f>
        <v>LIBRE</v>
      </c>
      <c r="S12" s="52" t="str">
        <f>IF(ISBLANK(Tableau!$AG$12), "LIBRE", "OCCUPÉ")</f>
        <v>LIBRE</v>
      </c>
      <c r="T12" s="52" t="str">
        <f>IF(ISBLANK(Tableau!$AI$12), "LIBRE", "OCCUPÉ")</f>
        <v>LIBRE</v>
      </c>
      <c r="U12" s="52" t="str">
        <f>IF(ISBLANK(Tableau!$AK$12), "LIBRE", "OCCUPÉ")</f>
        <v>OCCUPÉ</v>
      </c>
      <c r="V12" s="52" t="str">
        <f>IF(ISBLANK(Tableau!$AM$12), "LIBRE", "OCCUPÉ")</f>
        <v>LIBRE</v>
      </c>
      <c r="W12" s="54" t="str">
        <f>IF(ISBLANK(Tableau!$AO$12), "LIBRE", "OCCUPÉ")</f>
        <v>LIBRE</v>
      </c>
      <c r="X12" s="52" t="str">
        <f>IF(ISBLANK(Tableau!$AQ$12), "LIBRE", "OCCUPÉ")</f>
        <v>LIBRE</v>
      </c>
      <c r="Y12" s="52" t="str">
        <f>IF(ISBLANK(Tableau!$AS$12), "LIBRE", "OCCUPÉ")</f>
        <v>OCCUPÉ</v>
      </c>
      <c r="Z12" s="52" t="str">
        <f>IF(ISBLANK(Tableau!$AU$12), "LIBRE", "OCCUPÉ")</f>
        <v>LIBRE</v>
      </c>
      <c r="AA12" s="52" t="str">
        <f>IF(ISBLANK(Tableau!$AW$12), "LIBRE", "OCCUPÉ")</f>
        <v>LIBRE</v>
      </c>
      <c r="AB12" s="76" t="str">
        <f>IF(ISBLANK(Tableau!$AY12), "LIBRE", "OCCUPÉ")</f>
        <v>LIBRE</v>
      </c>
      <c r="AC12" s="70"/>
    </row>
    <row r="13" ht="21.75" hidden="1" customHeight="1">
      <c r="A13" s="114">
        <f>Tableau!A13</f>
        <v>112</v>
      </c>
      <c r="B13" s="115" t="str">
        <f>VLOOKUP($A13,LocalisationRemorque,2,0)</f>
        <v>Incourt</v>
      </c>
      <c r="C13" s="116" t="str">
        <f>VLOOKUP($A13,LocalisationRemorque,3,0)</f>
        <v>Incourt</v>
      </c>
      <c r="D13" s="117" t="str">
        <f>CONCATENATE(VLOOKUP($A13,LocalisationRemorque,6,0)," ► ",VLOOKUP($A13,LocalisationRemorque,5,0))</f>
        <v>Louvain ► Éghezée</v>
      </c>
      <c r="E13" s="52" t="str">
        <f>IF(ISBLANK(Tableau!$E$13), "LIBRE", "OCCUPÉ")</f>
        <v>LIBRE</v>
      </c>
      <c r="F13" s="52" t="str">
        <f>IF(ISBLANK(Tableau!$G$13), "LIBRE", "OCCUPÉ")</f>
        <v>LIBRE</v>
      </c>
      <c r="G13" s="52" t="str">
        <f>IF(ISBLANK(Tableau!$I$13), "LIBRE", "OCCUPÉ")</f>
        <v>LIBRE</v>
      </c>
      <c r="H13" s="52" t="str">
        <f>IF(ISBLANK(Tableau!$K$13), "LIBRE", "OCCUPÉ")</f>
        <v>LIBRE</v>
      </c>
      <c r="I13" s="52" t="str">
        <f>IF(ISBLANK(Tableau!$M$13), "LIBRE", "OCCUPÉ")</f>
        <v>LIBRE</v>
      </c>
      <c r="J13" s="52" t="str">
        <f>IF(ISBLANK(Tableau!$O$13), "LIBRE", "OCCUPÉ")</f>
        <v>LIBRE</v>
      </c>
      <c r="K13" s="52" t="str">
        <f>IF(ISBLANK(Tableau!$Q$13), "LIBRE", "OCCUPÉ")</f>
        <v>LIBRE</v>
      </c>
      <c r="L13" s="52" t="str">
        <f>IF(ISBLANK(Tableau!$S$13), "LIBRE", "OCCUPÉ")</f>
        <v>LIBRE</v>
      </c>
      <c r="M13" s="52" t="str">
        <f>IF(ISBLANK(Tableau!$U$13), "LIBRE", "OCCUPÉ")</f>
        <v>LIBRE</v>
      </c>
      <c r="N13" s="52" t="str">
        <f>IF(ISBLANK(Tableau!$W$13), "LIBRE", "OCCUPÉ")</f>
        <v>LIBRE</v>
      </c>
      <c r="O13" s="52" t="str">
        <f>IF(ISBLANK(Tableau!$Y$13), "LIBRE", "OCCUPÉ")</f>
        <v>LIBRE</v>
      </c>
      <c r="P13" s="52" t="str">
        <f>IF(ISBLANK(Tableau!$AA$13), "LIBRE", "OCCUPÉ")</f>
        <v>LIBRE</v>
      </c>
      <c r="Q13" s="52" t="str">
        <f>IF(ISBLANK(Tableau!$AC$13), "LIBRE", "OCCUPÉ")</f>
        <v>LIBRE</v>
      </c>
      <c r="R13" s="52" t="str">
        <f>IF(ISBLANK(Tableau!$AE$13), "LIBRE", "OCCUPÉ")</f>
        <v>LIBRE</v>
      </c>
      <c r="S13" s="52" t="str">
        <f>IF(ISBLANK(Tableau!$AG$13), "LIBRE", "OCCUPÉ")</f>
        <v>LIBRE</v>
      </c>
      <c r="T13" s="52" t="str">
        <f>IF(ISBLANK(Tableau!$AI$13), "LIBRE", "OCCUPÉ")</f>
        <v>LIBRE</v>
      </c>
      <c r="U13" s="52" t="str">
        <f>IF(ISBLANK(Tableau!$AK$13), "LIBRE", "OCCUPÉ")</f>
        <v>LIBRE</v>
      </c>
      <c r="V13" s="52" t="str">
        <f>IF(ISBLANK(Tableau!$AM$13), "LIBRE", "OCCUPÉ")</f>
        <v>LIBRE</v>
      </c>
      <c r="W13" s="52" t="str">
        <f>IF(ISBLANK(Tableau!$AO$13), "LIBRE", "OCCUPÉ")</f>
        <v>LIBRE</v>
      </c>
      <c r="X13" s="52" t="str">
        <f>IF(ISBLANK(Tableau!$AQ$13), "LIBRE", "OCCUPÉ")</f>
        <v>LIBRE</v>
      </c>
      <c r="Y13" s="52" t="str">
        <f>IF(ISBLANK(Tableau!$AS$13), "LIBRE", "OCCUPÉ")</f>
        <v>LIBRE</v>
      </c>
      <c r="Z13" s="52" t="str">
        <f>IF(ISBLANK(Tableau!$AU$13), "LIBRE", "OCCUPÉ")</f>
        <v>LIBRE</v>
      </c>
      <c r="AA13" s="52" t="str">
        <f>IF(ISBLANK(Tableau!$AW$13), "LIBRE", "OCCUPÉ")</f>
        <v>LIBRE</v>
      </c>
      <c r="AB13" s="76" t="str">
        <f>IF(ISBLANK(Tableau!$AY13), "LIBRE", "OCCUPÉ")</f>
        <v>LIBRE</v>
      </c>
      <c r="AC13" s="118"/>
    </row>
    <row r="14" ht="21.75" hidden="1" customHeight="1">
      <c r="A14" s="114">
        <f>Tableau!A14</f>
        <v>113</v>
      </c>
      <c r="B14" s="115" t="str">
        <f>VLOOKUP($A14,LocalisationRemorque,2,0)</f>
        <v>Perwez</v>
      </c>
      <c r="C14" s="116" t="str">
        <f>VLOOKUP($A14,LocalisationRemorque,3,0)</f>
        <v>Perwez</v>
      </c>
      <c r="D14" s="117" t="str">
        <f>CONCATENATE(VLOOKUP($A14,LocalisationRemorque,6,0)," ► ",VLOOKUP($A14,LocalisationRemorque,5,0))</f>
        <v>Jodoigne ► E411</v>
      </c>
      <c r="E14" s="52" t="str">
        <f>IF(ISBLANK(Tableau!$E$14), "LIBRE", "OCCUPÉ")</f>
        <v>LIBRE</v>
      </c>
      <c r="F14" s="52" t="str">
        <f>IF(ISBLANK(Tableau!$G$14), "LIBRE", "OCCUPÉ")</f>
        <v>LIBRE</v>
      </c>
      <c r="G14" s="52" t="str">
        <f>IF(ISBLANK(Tableau!$I$14), "LIBRE", "OCCUPÉ")</f>
        <v>LIBRE</v>
      </c>
      <c r="H14" s="52" t="str">
        <f>IF(ISBLANK(Tableau!$K$14), "LIBRE", "OCCUPÉ")</f>
        <v>LIBRE</v>
      </c>
      <c r="I14" s="52" t="str">
        <f>IF(ISBLANK(Tableau!$M$14), "LIBRE", "OCCUPÉ")</f>
        <v>LIBRE</v>
      </c>
      <c r="J14" s="52" t="str">
        <f>IF(ISBLANK(Tableau!$O$14), "LIBRE", "OCCUPÉ")</f>
        <v>LIBRE</v>
      </c>
      <c r="K14" s="52" t="str">
        <f>IF(ISBLANK(Tableau!$Q$14), "LIBRE", "OCCUPÉ")</f>
        <v>LIBRE</v>
      </c>
      <c r="L14" s="52" t="str">
        <f>IF(ISBLANK(Tableau!$S$14), "LIBRE", "OCCUPÉ")</f>
        <v>LIBRE</v>
      </c>
      <c r="M14" s="52" t="str">
        <f>IF(ISBLANK(Tableau!$U$14), "LIBRE", "OCCUPÉ")</f>
        <v>LIBRE</v>
      </c>
      <c r="N14" s="52" t="str">
        <f>IF(ISBLANK(Tableau!$W$14), "LIBRE", "OCCUPÉ")</f>
        <v>LIBRE</v>
      </c>
      <c r="O14" s="52" t="str">
        <f>IF(ISBLANK(Tableau!$Y$14), "LIBRE", "OCCUPÉ")</f>
        <v>LIBRE</v>
      </c>
      <c r="P14" s="52" t="str">
        <f>IF(ISBLANK(Tableau!$AA$14), "LIBRE", "OCCUPÉ")</f>
        <v>LIBRE</v>
      </c>
      <c r="Q14" s="52" t="str">
        <f>IF(ISBLANK(Tableau!$AC$14), "LIBRE", "OCCUPÉ")</f>
        <v>LIBRE</v>
      </c>
      <c r="R14" s="52" t="str">
        <f>IF(ISBLANK(Tableau!$AE$14), "LIBRE", "OCCUPÉ")</f>
        <v>LIBRE</v>
      </c>
      <c r="S14" s="52" t="str">
        <f>IF(ISBLANK(Tableau!$AG$14), "LIBRE", "OCCUPÉ")</f>
        <v>LIBRE</v>
      </c>
      <c r="T14" s="52" t="str">
        <f>IF(ISBLANK(Tableau!$AI$14), "LIBRE", "OCCUPÉ")</f>
        <v>LIBRE</v>
      </c>
      <c r="U14" s="52" t="str">
        <f>IF(ISBLANK(Tableau!$AK$14), "LIBRE", "OCCUPÉ")</f>
        <v>LIBRE</v>
      </c>
      <c r="V14" s="52" t="str">
        <f>IF(ISBLANK(Tableau!$AM$14), "LIBRE", "OCCUPÉ")</f>
        <v>LIBRE</v>
      </c>
      <c r="W14" s="52" t="str">
        <f>IF(ISBLANK(Tableau!$AO$14), "LIBRE", "OCCUPÉ")</f>
        <v>LIBRE</v>
      </c>
      <c r="X14" s="52" t="str">
        <f>IF(ISBLANK(Tableau!$AQ$14), "LIBRE", "OCCUPÉ")</f>
        <v>LIBRE</v>
      </c>
      <c r="Y14" s="52" t="str">
        <f>IF(ISBLANK(Tableau!$AS$14), "LIBRE", "OCCUPÉ")</f>
        <v>LIBRE</v>
      </c>
      <c r="Z14" s="52" t="str">
        <f>IF(ISBLANK(Tableau!$AU$14), "LIBRE", "OCCUPÉ")</f>
        <v>LIBRE</v>
      </c>
      <c r="AA14" s="52" t="str">
        <f>IF(ISBLANK(Tableau!$AW$14), "LIBRE", "OCCUPÉ")</f>
        <v>LIBRE</v>
      </c>
      <c r="AB14" s="76" t="str">
        <f>IF(ISBLANK(Tableau!$AY14), "LIBRE", "OCCUPÉ")</f>
        <v>LIBRE</v>
      </c>
      <c r="AC14" s="118"/>
    </row>
    <row r="15" ht="21.75" hidden="1" customHeight="1">
      <c r="A15" s="114">
        <f>Tableau!A15</f>
        <v>114</v>
      </c>
      <c r="B15" s="121"/>
      <c r="C15" s="121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20"/>
    </row>
    <row r="16" ht="21.75" hidden="1" customHeight="1">
      <c r="A16" s="114" t="str">
        <f>Tableau!A16</f>
        <v/>
      </c>
      <c r="B16" s="121"/>
      <c r="C16" s="121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76" t="str">
        <f>IF(ISBLANK(Tableau!$AY16), "LIBRE", "OCCUPÉ")</f>
        <v>LIBRE</v>
      </c>
      <c r="AC16" s="120"/>
    </row>
    <row r="17" ht="21.75" hidden="1" customHeight="1">
      <c r="A17" s="114" t="str">
        <f>Tableau!A17</f>
        <v/>
      </c>
      <c r="B17" s="121"/>
      <c r="C17" s="121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76" t="str">
        <f>IF(ISBLANK(Tableau!$AY17), "LIBRE", "OCCUPÉ")</f>
        <v>LIBRE</v>
      </c>
      <c r="AC17" s="120"/>
    </row>
    <row r="18" ht="21.75" hidden="1" customHeight="1">
      <c r="A18" s="114" t="str">
        <f>Tableau!A18</f>
        <v/>
      </c>
      <c r="B18" s="121"/>
      <c r="C18" s="121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76" t="str">
        <f>IF(ISBLANK(Tableau!$AY18), "LIBRE", "OCCUPÉ")</f>
        <v>LIBRE</v>
      </c>
      <c r="AC18" s="120"/>
    </row>
    <row r="19" ht="21.75" hidden="1" customHeight="1">
      <c r="A19" s="114" t="str">
        <f>Tableau!A19</f>
        <v/>
      </c>
      <c r="B19" s="121"/>
      <c r="C19" s="121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76" t="str">
        <f>IF(ISBLANK(Tableau!$AY19), "LIBRE", "OCCUPÉ")</f>
        <v>LIBRE</v>
      </c>
      <c r="AC19" s="120"/>
    </row>
    <row r="20" ht="21.75" hidden="1" customHeight="1">
      <c r="A20" s="114" t="str">
        <f>Tableau!A20</f>
        <v/>
      </c>
      <c r="B20" s="121"/>
      <c r="C20" s="121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76" t="str">
        <f>IF(ISBLANK(Tableau!$AY20), "LIBRE", "OCCUPÉ")</f>
        <v>LIBRE</v>
      </c>
      <c r="AC20" s="120"/>
    </row>
    <row r="21" ht="21.75" hidden="1" customHeight="1">
      <c r="A21" s="114" t="str">
        <f>Tableau!A21</f>
        <v/>
      </c>
      <c r="B21" s="121"/>
      <c r="C21" s="121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76" t="str">
        <f>IF(ISBLANK(Tableau!$AY21), "LIBRE", "OCCUPÉ")</f>
        <v>LIBRE</v>
      </c>
      <c r="AC21" s="120"/>
    </row>
    <row r="22" ht="21.75" hidden="1" customHeight="1">
      <c r="A22" s="114" t="str">
        <f>Tableau!A22</f>
        <v/>
      </c>
      <c r="B22" s="121"/>
      <c r="C22" s="121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76" t="str">
        <f>IF(ISBLANK(Tableau!$AY22), "LIBRE", "OCCUPÉ")</f>
        <v>LIBRE</v>
      </c>
      <c r="AC22" s="120"/>
    </row>
    <row r="23" ht="21.75" hidden="1" customHeight="1">
      <c r="A23" s="114" t="str">
        <f>Tableau!A23</f>
        <v/>
      </c>
      <c r="B23" s="121"/>
      <c r="C23" s="121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76" t="str">
        <f>IF(ISBLANK(Tableau!$AY23), "LIBRE", "OCCUPÉ")</f>
        <v>LIBRE</v>
      </c>
      <c r="AC23" s="120"/>
    </row>
    <row r="24" ht="21.75" hidden="1" customHeight="1">
      <c r="A24" s="114" t="str">
        <f>Tableau!A24</f>
        <v/>
      </c>
      <c r="B24" s="121"/>
      <c r="C24" s="121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76" t="str">
        <f>IF(ISBLANK(Tableau!$AY24), "LIBRE", "OCCUPÉ")</f>
        <v>LIBRE</v>
      </c>
      <c r="AC24" s="120"/>
    </row>
    <row r="25" hidden="1">
      <c r="A25" s="114" t="str">
        <f>Tableau!A25</f>
        <v/>
      </c>
      <c r="B25" s="121"/>
      <c r="C25" s="121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76" t="str">
        <f>IF(ISBLANK(Tableau!$AY25), "LIBRE", "OCCUPÉ")</f>
        <v>LIBRE</v>
      </c>
      <c r="AC25" s="120"/>
    </row>
    <row r="26" ht="21.75" hidden="1" customHeight="1">
      <c r="A26" s="40">
        <f>Tableau!A26</f>
        <v>201</v>
      </c>
      <c r="B26" s="46" t="str">
        <f>VLOOKUP($A26,LocalisationRemorque,2,0)</f>
        <v>Hannut</v>
      </c>
      <c r="C26" s="47" t="str">
        <f>VLOOKUP($A26,LocalisationRemorque,3,0)</f>
        <v>Hannut-Saint Trond</v>
      </c>
      <c r="D26" s="49" t="str">
        <f>CONCATENATE(VLOOKUP($A26,LocalisationRemorque,6,0)," ► ",VLOOKUP($A26,LocalisationRemorque,5,0))</f>
        <v>Hannut ► Saint-Trond</v>
      </c>
      <c r="E26" s="52" t="str">
        <f>IF(ISBLANK(Tableau!$E$26), "LIBRE", "OCCUPÉ")</f>
        <v>LIBRE</v>
      </c>
      <c r="F26" s="52" t="str">
        <f>IF(ISBLANK(Tableau!$G$26), "LIBRE", "OCCUPÉ")</f>
        <v>LIBRE</v>
      </c>
      <c r="G26" s="54" t="str">
        <f>IF(ISBLANK(Tableau!$I$26), "LIBRE", "OCCUPÉ")</f>
        <v>LIBRE</v>
      </c>
      <c r="H26" s="52" t="str">
        <f>IF(ISBLANK(Tableau!$K$26), "LIBRE", "OCCUPÉ")</f>
        <v>LIBRE</v>
      </c>
      <c r="I26" s="54" t="str">
        <f>IF(ISBLANK(Tableau!$M$26), "LIBRE", "OCCUPÉ")</f>
        <v>LIBRE</v>
      </c>
      <c r="J26" s="54" t="str">
        <f>IF(ISBLANK(Tableau!$O$26), "LIBRE", "OCCUPÉ")</f>
        <v>LIBRE</v>
      </c>
      <c r="K26" s="54" t="str">
        <f>IF(ISBLANK(Tableau!$Q$26), "LIBRE", "OCCUPÉ")</f>
        <v>LIBRE</v>
      </c>
      <c r="L26" s="52" t="str">
        <f>IF(ISBLANK(Tableau!$S$26), "LIBRE", "OCCUPÉ")</f>
        <v>LIBRE</v>
      </c>
      <c r="M26" s="54" t="str">
        <f>IF(ISBLANK(Tableau!$U$26), "LIBRE", "OCCUPÉ")</f>
        <v>LIBRE</v>
      </c>
      <c r="N26" s="52" t="str">
        <f>IF(ISBLANK(Tableau!$W$26), "LIBRE", "OCCUPÉ")</f>
        <v>LIBRE</v>
      </c>
      <c r="O26" s="52" t="str">
        <f>IF(ISBLANK(Tableau!$Y$26), "LIBRE", "OCCUPÉ")</f>
        <v>LIBRE</v>
      </c>
      <c r="P26" s="52" t="str">
        <f>IF(ISBLANK(Tableau!$AA$26), "LIBRE", "OCCUPÉ")</f>
        <v>LIBRE</v>
      </c>
      <c r="Q26" s="54" t="str">
        <f>IF(ISBLANK(Tableau!$AC$26), "LIBRE", "OCCUPÉ")</f>
        <v>LIBRE</v>
      </c>
      <c r="R26" s="52" t="str">
        <f>IF(ISBLANK(Tableau!$AE$26), "LIBRE", "OCCUPÉ")</f>
        <v>LIBRE</v>
      </c>
      <c r="S26" s="52" t="str">
        <f>IF(ISBLANK(Tableau!$AG$26), "LIBRE", "OCCUPÉ")</f>
        <v>LIBRE</v>
      </c>
      <c r="T26" s="52" t="str">
        <f>IF(ISBLANK(Tableau!$AI$26), "LIBRE", "OCCUPÉ")</f>
        <v>LIBRE</v>
      </c>
      <c r="U26" s="54" t="str">
        <f>IF(ISBLANK(Tableau!$AK$26), "LIBRE", "OCCUPÉ")</f>
        <v>LIBRE</v>
      </c>
      <c r="V26" s="52" t="str">
        <f>IF(ISBLANK(Tableau!$AM$26), "LIBRE", "OCCUPÉ")</f>
        <v>LIBRE</v>
      </c>
      <c r="W26" s="52" t="str">
        <f>IF(ISBLANK(Tableau!$AO$26), "LIBRE", "OCCUPÉ")</f>
        <v>LIBRE</v>
      </c>
      <c r="X26" s="52" t="str">
        <f>IF(ISBLANK(Tableau!$AQ$26), "LIBRE", "OCCUPÉ")</f>
        <v>LIBRE</v>
      </c>
      <c r="Y26" s="54" t="str">
        <f>IF(ISBLANK(Tableau!$AS$26), "LIBRE", "OCCUPÉ")</f>
        <v>LIBRE</v>
      </c>
      <c r="Z26" s="52" t="str">
        <f>IF(ISBLANK(Tableau!$AU$26), "LIBRE", "OCCUPÉ")</f>
        <v>LIBRE</v>
      </c>
      <c r="AA26" s="52" t="str">
        <f>IF(ISBLANK(Tableau!$AW$26), "LIBRE", "OCCUPÉ")</f>
        <v>LIBRE</v>
      </c>
      <c r="AB26" s="76" t="str">
        <f>IF(ISBLANK(Tableau!$AY26), "LIBRE", "OCCUPÉ")</f>
        <v>LIBRE</v>
      </c>
      <c r="AC26" s="70"/>
    </row>
    <row r="27" ht="21.75" hidden="1" customHeight="1">
      <c r="A27" s="72">
        <f>Tableau!A27</f>
        <v>202</v>
      </c>
      <c r="B27" s="73" t="str">
        <f>VLOOKUP($A27,LocalisationRemorque,2,0)</f>
        <v>Hannut</v>
      </c>
      <c r="C27" s="74" t="str">
        <f>VLOOKUP($A27,LocalisationRemorque,3,0)</f>
        <v>Braives</v>
      </c>
      <c r="D27" s="75" t="str">
        <f>CONCATENATE(VLOOKUP($A27,LocalisationRemorque,6,0)," ► ",VLOOKUP($A27,LocalisationRemorque,5,0))</f>
        <v>Hannut ► E42</v>
      </c>
      <c r="E27" s="52" t="str">
        <f>IF(ISBLANK(Tableau!$E$27), "LIBRE", "OCCUPÉ")</f>
        <v>LIBRE</v>
      </c>
      <c r="F27" s="52" t="str">
        <f>IF(ISBLANK(Tableau!$G$27), "LIBRE", "OCCUPÉ")</f>
        <v>LIBRE</v>
      </c>
      <c r="G27" s="52" t="str">
        <f>IF(ISBLANK(Tableau!$I$27), "LIBRE", "OCCUPÉ")</f>
        <v>LIBRE</v>
      </c>
      <c r="H27" s="52" t="str">
        <f>IF(ISBLANK(Tableau!$K$27), "LIBRE", "OCCUPÉ")</f>
        <v>LIBRE</v>
      </c>
      <c r="I27" s="54" t="str">
        <f>IF(ISBLANK(Tableau!$M$27), "LIBRE", "OCCUPÉ")</f>
        <v>LIBRE</v>
      </c>
      <c r="J27" s="54" t="str">
        <f>IF(ISBLANK(Tableau!$O$27), "LIBRE", "OCCUPÉ")</f>
        <v>LIBRE</v>
      </c>
      <c r="K27" s="54" t="str">
        <f>IF(ISBLANK(Tableau!$Q$27), "LIBRE", "OCCUPÉ")</f>
        <v>LIBRE</v>
      </c>
      <c r="L27" s="54" t="str">
        <f>IF(ISBLANK(Tableau!$S$27), "LIBRE", "OCCUPÉ")</f>
        <v>LIBRE</v>
      </c>
      <c r="M27" s="54" t="str">
        <f>IF(ISBLANK(Tableau!$U$27), "LIBRE", "OCCUPÉ")</f>
        <v>LIBRE</v>
      </c>
      <c r="N27" s="54" t="str">
        <f>IF(ISBLANK(Tableau!$W$27), "LIBRE", "OCCUPÉ")</f>
        <v>LIBRE</v>
      </c>
      <c r="O27" s="54" t="str">
        <f>IF(ISBLANK(Tableau!$Y$27), "LIBRE", "OCCUPÉ")</f>
        <v>LIBRE</v>
      </c>
      <c r="P27" s="52" t="str">
        <f>IF(ISBLANK(Tableau!$AA$27), "LIBRE", "OCCUPÉ")</f>
        <v>LIBRE</v>
      </c>
      <c r="Q27" s="54" t="str">
        <f>IF(ISBLANK(Tableau!$AC$27), "LIBRE", "OCCUPÉ")</f>
        <v>LIBRE</v>
      </c>
      <c r="R27" s="52" t="str">
        <f>IF(ISBLANK(Tableau!$AE$27), "LIBRE", "OCCUPÉ")</f>
        <v>LIBRE</v>
      </c>
      <c r="S27" s="52" t="str">
        <f>IF(ISBLANK(Tableau!$AG$27), "LIBRE", "OCCUPÉ")</f>
        <v>LIBRE</v>
      </c>
      <c r="T27" s="52" t="str">
        <f>IF(ISBLANK(Tableau!$AI$27), "LIBRE", "OCCUPÉ")</f>
        <v>LIBRE</v>
      </c>
      <c r="U27" s="54" t="str">
        <f>IF(ISBLANK(Tableau!$AK$27), "LIBRE", "OCCUPÉ")</f>
        <v>LIBRE</v>
      </c>
      <c r="V27" s="52" t="str">
        <f>IF(ISBLANK(Tableau!$AM$27), "LIBRE", "OCCUPÉ")</f>
        <v>LIBRE</v>
      </c>
      <c r="W27" s="54" t="str">
        <f>IF(ISBLANK(Tableau!$AO$27), "LIBRE", "OCCUPÉ")</f>
        <v>LIBRE</v>
      </c>
      <c r="X27" s="52" t="str">
        <f>IF(ISBLANK(Tableau!$AQ$27), "LIBRE", "OCCUPÉ")</f>
        <v>LIBRE</v>
      </c>
      <c r="Y27" s="54" t="str">
        <f>IF(ISBLANK(Tableau!$AS$27), "LIBRE", "OCCUPÉ")</f>
        <v>LIBRE</v>
      </c>
      <c r="Z27" s="52" t="str">
        <f>IF(ISBLANK(Tableau!$AU$27), "LIBRE", "OCCUPÉ")</f>
        <v>LIBRE</v>
      </c>
      <c r="AA27" s="52" t="str">
        <f>IF(ISBLANK(Tableau!$AW$27), "LIBRE", "OCCUPÉ")</f>
        <v>LIBRE</v>
      </c>
      <c r="AB27" s="76" t="str">
        <f>IF(ISBLANK(Tableau!$AY27), "LIBRE", "OCCUPÉ")</f>
        <v>LIBRE</v>
      </c>
      <c r="AC27" s="77"/>
    </row>
    <row r="28" ht="21.75" customHeight="1">
      <c r="A28" s="40">
        <f>Tableau!A28</f>
        <v>203</v>
      </c>
      <c r="B28" s="46" t="str">
        <f>VLOOKUP($A28,LocalisationRemorque,2,0)</f>
        <v>Huy</v>
      </c>
      <c r="C28" s="47" t="str">
        <f>VLOOKUP($A28,LocalisationRemorque,3,0)</f>
        <v>Wanze</v>
      </c>
      <c r="D28" s="49" t="str">
        <f>CONCATENATE(VLOOKUP($A28,LocalisationRemorque,6,0)," ► ",VLOOKUP($A28,LocalisationRemorque,5,0))</f>
        <v>Éghezée ► E42</v>
      </c>
      <c r="E28" s="54" t="str">
        <f>IF(ISBLANK(Tableau!$E$28), "LIBRE", "OCCUPÉ")</f>
        <v>OCCUPÉ</v>
      </c>
      <c r="F28" s="52" t="str">
        <f>IF(ISBLANK(Tableau!$G$28), "LIBRE", "OCCUPÉ")</f>
        <v>LIBRE</v>
      </c>
      <c r="G28" s="52" t="str">
        <f>IF(ISBLANK(Tableau!$I$28), "LIBRE", "OCCUPÉ")</f>
        <v>OCCUPÉ</v>
      </c>
      <c r="H28" s="52" t="str">
        <f>IF(ISBLANK(Tableau!$K$28), "LIBRE", "OCCUPÉ")</f>
        <v>LIBRE</v>
      </c>
      <c r="I28" s="52" t="str">
        <f>IF(ISBLANK(Tableau!$M$28), "LIBRE", "OCCUPÉ")</f>
        <v>OCCUPÉ</v>
      </c>
      <c r="J28" s="52" t="str">
        <f>IF(ISBLANK(Tableau!$O$28), "LIBRE", "OCCUPÉ")</f>
        <v>LIBRE</v>
      </c>
      <c r="K28" s="52" t="str">
        <f>IF(ISBLANK(Tableau!$Q$28), "LIBRE", "OCCUPÉ")</f>
        <v>OCCUPÉ</v>
      </c>
      <c r="L28" s="52" t="str">
        <f>IF(ISBLANK(Tableau!$S$28), "LIBRE", "OCCUPÉ")</f>
        <v>LIBRE</v>
      </c>
      <c r="M28" s="52" t="str">
        <f>IF(ISBLANK(Tableau!$U$28), "LIBRE", "OCCUPÉ")</f>
        <v>OCCUPÉ</v>
      </c>
      <c r="N28" s="54" t="str">
        <f>IF(ISBLANK(Tableau!$W$28), "LIBRE", "OCCUPÉ")</f>
        <v>LIBRE</v>
      </c>
      <c r="O28" s="54" t="str">
        <f>IF(ISBLANK(Tableau!$Y$28), "LIBRE", "OCCUPÉ")</f>
        <v>LIBRE</v>
      </c>
      <c r="P28" s="52" t="str">
        <f>IF(ISBLANK(Tableau!$AA$28), "LIBRE", "OCCUPÉ")</f>
        <v>LIBRE</v>
      </c>
      <c r="Q28" s="52" t="str">
        <f>IF(ISBLANK(Tableau!$AC$28), "LIBRE", "OCCUPÉ")</f>
        <v>LIBRE</v>
      </c>
      <c r="R28" s="52" t="str">
        <f>IF(ISBLANK(Tableau!$AE$28), "LIBRE", "OCCUPÉ")</f>
        <v>LIBRE</v>
      </c>
      <c r="S28" s="52" t="str">
        <f>IF(ISBLANK(Tableau!$AG$28), "LIBRE", "OCCUPÉ")</f>
        <v>LIBRE</v>
      </c>
      <c r="T28" s="52" t="str">
        <f>IF(ISBLANK(Tableau!$AI$28), "LIBRE", "OCCUPÉ")</f>
        <v>LIBRE</v>
      </c>
      <c r="U28" s="54" t="str">
        <f>IF(ISBLANK(Tableau!$AK$28), "LIBRE", "OCCUPÉ")</f>
        <v>LIBRE</v>
      </c>
      <c r="V28" s="52" t="str">
        <f>IF(ISBLANK(Tableau!$AM$28), "LIBRE", "OCCUPÉ")</f>
        <v>LIBRE</v>
      </c>
      <c r="W28" s="52" t="str">
        <f>IF(ISBLANK(Tableau!$AO$28), "LIBRE", "OCCUPÉ")</f>
        <v>LIBRE</v>
      </c>
      <c r="X28" s="52" t="str">
        <f>IF(ISBLANK(Tableau!$AQ$28), "LIBRE", "OCCUPÉ")</f>
        <v>LIBRE</v>
      </c>
      <c r="Y28" s="54" t="str">
        <f>IF(ISBLANK(Tableau!$AS$28), "LIBRE", "OCCUPÉ")</f>
        <v>LIBRE</v>
      </c>
      <c r="Z28" s="52" t="str">
        <f>IF(ISBLANK(Tableau!$AU$28), "LIBRE", "OCCUPÉ")</f>
        <v>LIBRE</v>
      </c>
      <c r="AA28" s="52" t="str">
        <f>IF(ISBLANK(Tableau!$AW$28), "LIBRE", "OCCUPÉ")</f>
        <v>LIBRE</v>
      </c>
      <c r="AB28" s="76" t="str">
        <f>IF(ISBLANK(Tableau!$AY28), "LIBRE", "OCCUPÉ")</f>
        <v>LIBRE</v>
      </c>
      <c r="AC28" s="70" t="s">
        <v>17</v>
      </c>
    </row>
    <row r="29" ht="21.75" customHeight="1">
      <c r="A29" s="72">
        <f>Tableau!A29</f>
        <v>204</v>
      </c>
      <c r="B29" s="73" t="str">
        <f>VLOOKUP($A29,LocalisationRemorque,2,0)</f>
        <v>Huy</v>
      </c>
      <c r="C29" s="74" t="str">
        <f>VLOOKUP($A29,LocalisationRemorque,3,0)</f>
        <v>Vinalmont</v>
      </c>
      <c r="D29" s="75" t="str">
        <f>CONCATENATE(VLOOKUP($A29,LocalisationRemorque,6,0)," ► ",VLOOKUP($A29,LocalisationRemorque,5,0))</f>
        <v>Huy ► E42</v>
      </c>
      <c r="E29" s="52" t="str">
        <f>IF(ISBLANK(Tableau!$E$29), "LIBRE", "OCCUPÉ")</f>
        <v>OCCUPÉ</v>
      </c>
      <c r="F29" s="52" t="str">
        <f>IF(ISBLANK(Tableau!$G$29), "LIBRE", "OCCUPÉ")</f>
        <v>LIBRE</v>
      </c>
      <c r="G29" s="52" t="str">
        <f>IF(ISBLANK(Tableau!$I$29), "LIBRE", "OCCUPÉ")</f>
        <v>OCCUPÉ</v>
      </c>
      <c r="H29" s="52" t="str">
        <f>IF(ISBLANK(Tableau!$K$29), "LIBRE", "OCCUPÉ")</f>
        <v>LIBRE</v>
      </c>
      <c r="I29" s="54" t="str">
        <f>IF(ISBLANK(Tableau!$M$29), "LIBRE", "OCCUPÉ")</f>
        <v>OCCUPÉ</v>
      </c>
      <c r="J29" s="54" t="str">
        <f>IF(ISBLANK(Tableau!$O$29), "LIBRE", "OCCUPÉ")</f>
        <v>LIBRE</v>
      </c>
      <c r="K29" s="52" t="str">
        <f>IF(ISBLANK(Tableau!$Q$29), "LIBRE", "OCCUPÉ")</f>
        <v>OCCUPÉ</v>
      </c>
      <c r="L29" s="52" t="str">
        <f>IF(ISBLANK(Tableau!$S$29), "LIBRE", "OCCUPÉ")</f>
        <v>LIBRE</v>
      </c>
      <c r="M29" s="54" t="str">
        <f>IF(ISBLANK(Tableau!$U$29), "LIBRE", "OCCUPÉ")</f>
        <v>OCCUPÉ</v>
      </c>
      <c r="N29" s="52" t="str">
        <f>IF(ISBLANK(Tableau!$W$29), "LIBRE", "OCCUPÉ")</f>
        <v>LIBRE</v>
      </c>
      <c r="O29" s="54" t="str">
        <f>IF(ISBLANK(Tableau!$Y$29), "LIBRE", "OCCUPÉ")</f>
        <v>LIBRE</v>
      </c>
      <c r="P29" s="52" t="str">
        <f>IF(ISBLANK(Tableau!$AA$29), "LIBRE", "OCCUPÉ")</f>
        <v>LIBRE</v>
      </c>
      <c r="Q29" s="52" t="str">
        <f>IF(ISBLANK(Tableau!$AC$29), "LIBRE", "OCCUPÉ")</f>
        <v>LIBRE</v>
      </c>
      <c r="R29" s="52" t="str">
        <f>IF(ISBLANK(Tableau!$AE$29), "LIBRE", "OCCUPÉ")</f>
        <v>LIBRE</v>
      </c>
      <c r="S29" s="52" t="str">
        <f>IF(ISBLANK(Tableau!$AG$29), "LIBRE", "OCCUPÉ")</f>
        <v>LIBRE</v>
      </c>
      <c r="T29" s="52" t="str">
        <f>IF(ISBLANK(Tableau!$AI$29), "LIBRE", "OCCUPÉ")</f>
        <v>LIBRE</v>
      </c>
      <c r="U29" s="54" t="str">
        <f>IF(ISBLANK(Tableau!$AK$29), "LIBRE", "OCCUPÉ")</f>
        <v>LIBRE</v>
      </c>
      <c r="V29" s="52" t="str">
        <f>IF(ISBLANK(Tableau!$AM$29), "LIBRE", "OCCUPÉ")</f>
        <v>LIBRE</v>
      </c>
      <c r="W29" s="54" t="str">
        <f>IF(ISBLANK(Tableau!$AO$29), "LIBRE", "OCCUPÉ")</f>
        <v>LIBRE</v>
      </c>
      <c r="X29" s="52" t="str">
        <f>IF(ISBLANK(Tableau!$AQ$29), "LIBRE", "OCCUPÉ")</f>
        <v>LIBRE</v>
      </c>
      <c r="Y29" s="52" t="str">
        <f>IF(ISBLANK(Tableau!$AS$29), "LIBRE", "OCCUPÉ")</f>
        <v>LIBRE</v>
      </c>
      <c r="Z29" s="52" t="str">
        <f>IF(ISBLANK(Tableau!$AU$29), "LIBRE", "OCCUPÉ")</f>
        <v>LIBRE</v>
      </c>
      <c r="AA29" s="52" t="str">
        <f>IF(ISBLANK(Tableau!$AW$29), "LIBRE", "OCCUPÉ")</f>
        <v>LIBRE</v>
      </c>
      <c r="AB29" s="76" t="str">
        <f>IF(ISBLANK(Tableau!$AY29), "LIBRE", "OCCUPÉ")</f>
        <v>LIBRE</v>
      </c>
      <c r="AC29" s="77" t="s">
        <v>17</v>
      </c>
    </row>
    <row r="30" ht="21.75" customHeight="1">
      <c r="A30" s="40">
        <f>Tableau!A30</f>
        <v>205</v>
      </c>
      <c r="B30" s="46" t="str">
        <f>VLOOKUP($A30,LocalisationRemorque,2,0)</f>
        <v>Huy</v>
      </c>
      <c r="C30" s="47" t="str">
        <f>VLOOKUP($A30,LocalisationRemorque,3,0)</f>
        <v>Villers-Le-Bouillet</v>
      </c>
      <c r="D30" s="49" t="str">
        <f>CONCATENATE(VLOOKUP($A30,LocalisationRemorque,6,0)," ► ",VLOOKUP($A30,LocalisationRemorque,5,0))</f>
        <v>Huy ► E42</v>
      </c>
      <c r="E30" s="52" t="str">
        <f>IF(ISBLANK(Tableau!$E$30), "LIBRE", "OCCUPÉ")</f>
        <v>OCCUPÉ</v>
      </c>
      <c r="F30" s="52" t="str">
        <f>IF(ISBLANK(Tableau!$G$30), "LIBRE", "OCCUPÉ")</f>
        <v>LIBRE</v>
      </c>
      <c r="G30" s="52" t="str">
        <f>IF(ISBLANK(Tableau!$I$30), "LIBRE", "OCCUPÉ")</f>
        <v>OCCUPÉ</v>
      </c>
      <c r="H30" s="52" t="str">
        <f>IF(ISBLANK(Tableau!$K$30), "LIBRE", "OCCUPÉ")</f>
        <v>LIBRE</v>
      </c>
      <c r="I30" s="54" t="str">
        <f>IF(ISBLANK(Tableau!$M$30), "LIBRE", "OCCUPÉ")</f>
        <v>OCCUPÉ</v>
      </c>
      <c r="J30" s="54" t="str">
        <f>IF(ISBLANK(Tableau!$O$30), "LIBRE", "OCCUPÉ")</f>
        <v>LIBRE</v>
      </c>
      <c r="K30" s="54" t="str">
        <f>IF(ISBLANK(Tableau!$Q$30), "LIBRE", "OCCUPÉ")</f>
        <v>OCCUPÉ</v>
      </c>
      <c r="L30" s="52" t="str">
        <f>IF(ISBLANK(Tableau!$S$30), "LIBRE", "OCCUPÉ")</f>
        <v>LIBRE</v>
      </c>
      <c r="M30" s="54" t="str">
        <f>IF(ISBLANK(Tableau!$U$30), "LIBRE", "OCCUPÉ")</f>
        <v>OCCUPÉ</v>
      </c>
      <c r="N30" s="54" t="str">
        <f>IF(ISBLANK(Tableau!$W$30), "LIBRE", "OCCUPÉ")</f>
        <v>LIBRE</v>
      </c>
      <c r="O30" s="52" t="str">
        <f>IF(ISBLANK(Tableau!$Y$30), "LIBRE", "OCCUPÉ")</f>
        <v>LIBRE</v>
      </c>
      <c r="P30" s="52" t="str">
        <f>IF(ISBLANK(Tableau!$AA$30), "LIBRE", "OCCUPÉ")</f>
        <v>LIBRE</v>
      </c>
      <c r="Q30" s="52" t="str">
        <f>IF(ISBLANK(Tableau!$AC$30), "LIBRE", "OCCUPÉ")</f>
        <v>LIBRE</v>
      </c>
      <c r="R30" s="52" t="str">
        <f>IF(ISBLANK(Tableau!$AE$30), "LIBRE", "OCCUPÉ")</f>
        <v>LIBRE</v>
      </c>
      <c r="S30" s="52" t="str">
        <f>IF(ISBLANK(Tableau!$AG$30), "LIBRE", "OCCUPÉ")</f>
        <v>LIBRE</v>
      </c>
      <c r="T30" s="52" t="str">
        <f>IF(ISBLANK(Tableau!$AI$30), "LIBRE", "OCCUPÉ")</f>
        <v>LIBRE</v>
      </c>
      <c r="U30" s="54" t="str">
        <f>IF(ISBLANK(Tableau!$AK$30), "LIBRE", "OCCUPÉ")</f>
        <v>LIBRE</v>
      </c>
      <c r="V30" s="52" t="str">
        <f>IF(ISBLANK(Tableau!$AM$30), "LIBRE", "OCCUPÉ")</f>
        <v>LIBRE</v>
      </c>
      <c r="W30" s="54" t="str">
        <f>IF(ISBLANK(Tableau!$AO$30), "LIBRE", "OCCUPÉ")</f>
        <v>LIBRE</v>
      </c>
      <c r="X30" s="52" t="str">
        <f>IF(ISBLANK(Tableau!$AQ$30), "LIBRE", "OCCUPÉ")</f>
        <v>LIBRE</v>
      </c>
      <c r="Y30" s="52" t="str">
        <f>IF(ISBLANK(Tableau!$AS$30), "LIBRE", "OCCUPÉ")</f>
        <v>LIBRE</v>
      </c>
      <c r="Z30" s="52" t="str">
        <f>IF(ISBLANK(Tableau!$AU$30), "LIBRE", "OCCUPÉ")</f>
        <v>LIBRE</v>
      </c>
      <c r="AA30" s="52" t="str">
        <f>IF(ISBLANK(Tableau!$AW$30), "LIBRE", "OCCUPÉ")</f>
        <v>LIBRE</v>
      </c>
      <c r="AB30" s="76" t="str">
        <f>IF(ISBLANK(Tableau!$AY30), "LIBRE", "OCCUPÉ")</f>
        <v>LIBRE</v>
      </c>
      <c r="AC30" s="70" t="s">
        <v>17</v>
      </c>
    </row>
    <row r="31" ht="21.75" customHeight="1">
      <c r="A31" s="72">
        <f>Tableau!A31</f>
        <v>206</v>
      </c>
      <c r="B31" s="73" t="str">
        <f>VLOOKUP($A31,LocalisationRemorque,2,0)</f>
        <v>Huy</v>
      </c>
      <c r="C31" s="74" t="str">
        <f>VLOOKUP($A31,LocalisationRemorque,3,0)</f>
        <v>Ombret</v>
      </c>
      <c r="D31" s="75" t="str">
        <f>CONCATENATE(VLOOKUP($A31,LocalisationRemorque,6,0)," ► ",VLOOKUP($A31,LocalisationRemorque,5,0))</f>
        <v>Seraing ► Huy</v>
      </c>
      <c r="E31" s="52" t="str">
        <f>IF(ISBLANK(Tableau!$E$31), "LIBRE", "OCCUPÉ")</f>
        <v>OCCUPÉ</v>
      </c>
      <c r="F31" s="52" t="str">
        <f>IF(ISBLANK(Tableau!$G$31), "LIBRE", "OCCUPÉ")</f>
        <v>LIBRE</v>
      </c>
      <c r="G31" s="52" t="str">
        <f>IF(ISBLANK(Tableau!$I$31), "LIBRE", "OCCUPÉ")</f>
        <v>OCCUPÉ</v>
      </c>
      <c r="H31" s="52" t="str">
        <f>IF(ISBLANK(Tableau!$K$31), "LIBRE", "OCCUPÉ")</f>
        <v>LIBRE</v>
      </c>
      <c r="I31" s="54" t="str">
        <f>IF(ISBLANK(Tableau!$M$31), "LIBRE", "OCCUPÉ")</f>
        <v>OCCUPÉ</v>
      </c>
      <c r="J31" s="52" t="str">
        <f>IF(ISBLANK(Tableau!$O$31), "LIBRE", "OCCUPÉ")</f>
        <v>LIBRE</v>
      </c>
      <c r="K31" s="54" t="str">
        <f>IF(ISBLANK(Tableau!$Q$31), "LIBRE", "OCCUPÉ")</f>
        <v>OCCUPÉ</v>
      </c>
      <c r="L31" s="52" t="str">
        <f>IF(ISBLANK(Tableau!$S$31), "LIBRE", "OCCUPÉ")</f>
        <v>LIBRE</v>
      </c>
      <c r="M31" s="54" t="str">
        <f>IF(ISBLANK(Tableau!$U$31), "LIBRE", "OCCUPÉ")</f>
        <v>OCCUPÉ</v>
      </c>
      <c r="N31" s="52" t="str">
        <f>IF(ISBLANK(Tableau!$W$31), "LIBRE", "OCCUPÉ")</f>
        <v>LIBRE</v>
      </c>
      <c r="O31" s="52" t="str">
        <f>IF(ISBLANK(Tableau!$Y$31), "LIBRE", "OCCUPÉ")</f>
        <v>LIBRE</v>
      </c>
      <c r="P31" s="52" t="str">
        <f>IF(ISBLANK(Tableau!$AA$31), "LIBRE", "OCCUPÉ")</f>
        <v>LIBRE</v>
      </c>
      <c r="Q31" s="52" t="str">
        <f>IF(ISBLANK(Tableau!$AC$31), "LIBRE", "OCCUPÉ")</f>
        <v>LIBRE</v>
      </c>
      <c r="R31" s="52" t="str">
        <f>IF(ISBLANK(Tableau!$AE$31), "LIBRE", "OCCUPÉ")</f>
        <v>LIBRE</v>
      </c>
      <c r="S31" s="52" t="str">
        <f>IF(ISBLANK(Tableau!$AG$31), "LIBRE", "OCCUPÉ")</f>
        <v>LIBRE</v>
      </c>
      <c r="T31" s="52" t="str">
        <f>IF(ISBLANK(Tableau!$AI$31), "LIBRE", "OCCUPÉ")</f>
        <v>LIBRE</v>
      </c>
      <c r="U31" s="54" t="str">
        <f>IF(ISBLANK(Tableau!$AK$31), "LIBRE", "OCCUPÉ")</f>
        <v>LIBRE</v>
      </c>
      <c r="V31" s="52" t="str">
        <f>IF(ISBLANK(Tableau!$AM$31), "LIBRE", "OCCUPÉ")</f>
        <v>LIBRE</v>
      </c>
      <c r="W31" s="54" t="str">
        <f>IF(ISBLANK(Tableau!$AO$31), "LIBRE", "OCCUPÉ")</f>
        <v>LIBRE</v>
      </c>
      <c r="X31" s="52" t="str">
        <f>IF(ISBLANK(Tableau!$AQ$31), "LIBRE", "OCCUPÉ")</f>
        <v>LIBRE</v>
      </c>
      <c r="Y31" s="54" t="str">
        <f>IF(ISBLANK(Tableau!$AS$31), "LIBRE", "OCCUPÉ")</f>
        <v>LIBRE</v>
      </c>
      <c r="Z31" s="54" t="str">
        <f>IF(ISBLANK(Tableau!$AU$31), "LIBRE", "OCCUPÉ")</f>
        <v>LIBRE</v>
      </c>
      <c r="AA31" s="52" t="str">
        <f>IF(ISBLANK(Tableau!$AW$31), "LIBRE", "OCCUPÉ")</f>
        <v>LIBRE</v>
      </c>
      <c r="AB31" s="76" t="str">
        <f>IF(ISBLANK(Tableau!$AY31), "LIBRE", "OCCUPÉ")</f>
        <v>LIBRE</v>
      </c>
      <c r="AC31" s="77" t="s">
        <v>17</v>
      </c>
    </row>
    <row r="32" ht="21.75" customHeight="1">
      <c r="A32" s="40">
        <f>Tableau!A32</f>
        <v>207</v>
      </c>
      <c r="B32" s="46" t="str">
        <f>VLOOKUP($A32,LocalisationRemorque,2,0)</f>
        <v>Huy</v>
      </c>
      <c r="C32" s="47" t="str">
        <f>VLOOKUP($A32,LocalisationRemorque,3,0)</f>
        <v>Solière</v>
      </c>
      <c r="D32" s="49" t="str">
        <f>CONCATENATE(VLOOKUP($A32,LocalisationRemorque,6,0)," ► ",VLOOKUP($A32,LocalisationRemorque,5,0))</f>
        <v>Ohey ► Huy</v>
      </c>
      <c r="E32" s="54" t="str">
        <f>IF(ISBLANK(Tableau!$E$32), "LIBRE", "OCCUPÉ")</f>
        <v>OCCUPÉ</v>
      </c>
      <c r="F32" s="52" t="str">
        <f>IF(ISBLANK(Tableau!$G$32), "LIBRE", "OCCUPÉ")</f>
        <v>LIBRE</v>
      </c>
      <c r="G32" s="52" t="str">
        <f>IF(ISBLANK(Tableau!$I$32), "LIBRE", "OCCUPÉ")</f>
        <v>OCCUPÉ</v>
      </c>
      <c r="H32" s="52" t="str">
        <f>IF(ISBLANK(Tableau!$K$32), "LIBRE", "OCCUPÉ")</f>
        <v>LIBRE</v>
      </c>
      <c r="I32" s="54" t="str">
        <f>IF(ISBLANK(Tableau!$M$32), "LIBRE", "OCCUPÉ")</f>
        <v>OCCUPÉ</v>
      </c>
      <c r="J32" s="52" t="str">
        <f>IF(ISBLANK(Tableau!$O$32), "LIBRE", "OCCUPÉ")</f>
        <v>LIBRE</v>
      </c>
      <c r="K32" s="54" t="str">
        <f>IF(ISBLANK(Tableau!$Q$32), "LIBRE", "OCCUPÉ")</f>
        <v>OCCUPÉ</v>
      </c>
      <c r="L32" s="52" t="str">
        <f>IF(ISBLANK(Tableau!$S$32), "LIBRE", "OCCUPÉ")</f>
        <v>LIBRE</v>
      </c>
      <c r="M32" s="54" t="str">
        <f>IF(ISBLANK(Tableau!$U$32), "LIBRE", "OCCUPÉ")</f>
        <v>OCCUPÉ</v>
      </c>
      <c r="N32" s="52" t="str">
        <f>IF(ISBLANK(Tableau!$W$32), "LIBRE", "OCCUPÉ")</f>
        <v>LIBRE</v>
      </c>
      <c r="O32" s="54" t="str">
        <f>IF(ISBLANK(Tableau!$Y$32), "LIBRE", "OCCUPÉ")</f>
        <v>LIBRE</v>
      </c>
      <c r="P32" s="52" t="str">
        <f>IF(ISBLANK(Tableau!$AA$32), "LIBRE", "OCCUPÉ")</f>
        <v>LIBRE</v>
      </c>
      <c r="Q32" s="52" t="str">
        <f>IF(ISBLANK(Tableau!$AC$32), "LIBRE", "OCCUPÉ")</f>
        <v>LIBRE</v>
      </c>
      <c r="R32" s="52" t="str">
        <f>IF(ISBLANK(Tableau!$AE$32), "LIBRE", "OCCUPÉ")</f>
        <v>LIBRE</v>
      </c>
      <c r="S32" s="54" t="str">
        <f>IF(ISBLANK(Tableau!$AG$32), "LIBRE", "OCCUPÉ")</f>
        <v>LIBRE</v>
      </c>
      <c r="T32" s="52" t="str">
        <f>IF(ISBLANK(Tableau!$AI$32), "LIBRE", "OCCUPÉ")</f>
        <v>LIBRE</v>
      </c>
      <c r="U32" s="54" t="str">
        <f>IF(ISBLANK(Tableau!$AK$32), "LIBRE", "OCCUPÉ")</f>
        <v>LIBRE</v>
      </c>
      <c r="V32" s="52" t="str">
        <f>IF(ISBLANK(Tableau!$AM$32), "LIBRE", "OCCUPÉ")</f>
        <v>LIBRE</v>
      </c>
      <c r="W32" s="54" t="str">
        <f>IF(ISBLANK(Tableau!$AO$32), "LIBRE", "OCCUPÉ")</f>
        <v>LIBRE</v>
      </c>
      <c r="X32" s="52" t="str">
        <f>IF(ISBLANK(Tableau!$AQ$32), "LIBRE", "OCCUPÉ")</f>
        <v>LIBRE</v>
      </c>
      <c r="Y32" s="54" t="str">
        <f>IF(ISBLANK(Tableau!$AS$32), "LIBRE", "OCCUPÉ")</f>
        <v>LIBRE</v>
      </c>
      <c r="Z32" s="52" t="str">
        <f>IF(ISBLANK(Tableau!$AU$32), "LIBRE", "OCCUPÉ")</f>
        <v>LIBRE</v>
      </c>
      <c r="AA32" s="52" t="str">
        <f>IF(ISBLANK(Tableau!$AW$32), "LIBRE", "OCCUPÉ")</f>
        <v>LIBRE</v>
      </c>
      <c r="AB32" s="76" t="str">
        <f>IF(ISBLANK(Tableau!$AY32), "LIBRE", "OCCUPÉ")</f>
        <v>LIBRE</v>
      </c>
      <c r="AC32" s="70" t="s">
        <v>17</v>
      </c>
    </row>
    <row r="33" ht="21.75" customHeight="1">
      <c r="A33" s="72">
        <f>Tableau!A33</f>
        <v>208</v>
      </c>
      <c r="B33" s="73" t="str">
        <f>VLOOKUP($A33,LocalisationRemorque,2,0)</f>
        <v>Huy</v>
      </c>
      <c r="C33" s="74" t="str">
        <f>VLOOKUP($A33,LocalisationRemorque,3,0)</f>
        <v>Tihange</v>
      </c>
      <c r="D33" s="75" t="str">
        <f>CONCATENATE(VLOOKUP($A33,LocalisationRemorque,6,0)," ► ",VLOOKUP($A33,LocalisationRemorque,5,0))</f>
        <v>Hamoir ► Huy</v>
      </c>
      <c r="E33" s="52" t="str">
        <f>IF(ISBLANK(Tableau!$E$33), "LIBRE", "OCCUPÉ")</f>
        <v>OCCUPÉ</v>
      </c>
      <c r="F33" s="52" t="str">
        <f>IF(ISBLANK(Tableau!$G$33), "LIBRE", "OCCUPÉ")</f>
        <v>LIBRE</v>
      </c>
      <c r="G33" s="52" t="str">
        <f>IF(ISBLANK(Tableau!$I$33), "LIBRE", "OCCUPÉ")</f>
        <v>OCCUPÉ</v>
      </c>
      <c r="H33" s="52" t="str">
        <f>IF(ISBLANK(Tableau!$K$33), "LIBRE", "OCCUPÉ")</f>
        <v>LIBRE</v>
      </c>
      <c r="I33" s="54" t="str">
        <f>IF(ISBLANK(Tableau!$M$33), "LIBRE", "OCCUPÉ")</f>
        <v>OCCUPÉ</v>
      </c>
      <c r="J33" s="52" t="str">
        <f>IF(ISBLANK(Tableau!$O$33), "LIBRE", "OCCUPÉ")</f>
        <v>LIBRE</v>
      </c>
      <c r="K33" s="54" t="str">
        <f>IF(ISBLANK(Tableau!$Q$33), "LIBRE", "OCCUPÉ")</f>
        <v>OCCUPÉ</v>
      </c>
      <c r="L33" s="54" t="str">
        <f>IF(ISBLANK(Tableau!$S$33), "LIBRE", "OCCUPÉ")</f>
        <v>LIBRE</v>
      </c>
      <c r="M33" s="54" t="str">
        <f>IF(ISBLANK(Tableau!$U$33), "LIBRE", "OCCUPÉ")</f>
        <v>OCCUPÉ</v>
      </c>
      <c r="N33" s="52" t="str">
        <f>IF(ISBLANK(Tableau!$W$33), "LIBRE", "OCCUPÉ")</f>
        <v>LIBRE</v>
      </c>
      <c r="O33" s="54" t="str">
        <f>IF(ISBLANK(Tableau!$Y$33), "LIBRE", "OCCUPÉ")</f>
        <v>LIBRE</v>
      </c>
      <c r="P33" s="52" t="str">
        <f>IF(ISBLANK(Tableau!$AA$33), "LIBRE", "OCCUPÉ")</f>
        <v>LIBRE</v>
      </c>
      <c r="Q33" s="52" t="str">
        <f>IF(ISBLANK(Tableau!$AC$33), "LIBRE", "OCCUPÉ")</f>
        <v>LIBRE</v>
      </c>
      <c r="R33" s="52" t="str">
        <f>IF(ISBLANK(Tableau!$AE$33), "LIBRE", "OCCUPÉ")</f>
        <v>LIBRE</v>
      </c>
      <c r="S33" s="52" t="str">
        <f>IF(ISBLANK(Tableau!$AG$33), "LIBRE", "OCCUPÉ")</f>
        <v>LIBRE</v>
      </c>
      <c r="T33" s="52" t="str">
        <f>IF(ISBLANK(Tableau!$AI$33), "LIBRE", "OCCUPÉ")</f>
        <v>LIBRE</v>
      </c>
      <c r="U33" s="52" t="str">
        <f>IF(ISBLANK(Tableau!$AK$33), "LIBRE", "OCCUPÉ")</f>
        <v>LIBRE</v>
      </c>
      <c r="V33" s="52" t="str">
        <f>IF(ISBLANK(Tableau!$AM$33), "LIBRE", "OCCUPÉ")</f>
        <v>LIBRE</v>
      </c>
      <c r="W33" s="54" t="str">
        <f>IF(ISBLANK(Tableau!$AO$33), "LIBRE", "OCCUPÉ")</f>
        <v>LIBRE</v>
      </c>
      <c r="X33" s="52" t="str">
        <f>IF(ISBLANK(Tableau!$AQ$33), "LIBRE", "OCCUPÉ")</f>
        <v>LIBRE</v>
      </c>
      <c r="Y33" s="54" t="str">
        <f>IF(ISBLANK(Tableau!$AS$33), "LIBRE", "OCCUPÉ")</f>
        <v>LIBRE</v>
      </c>
      <c r="Z33" s="52" t="str">
        <f>IF(ISBLANK(Tableau!$AU$33), "LIBRE", "OCCUPÉ")</f>
        <v>LIBRE</v>
      </c>
      <c r="AA33" s="52" t="str">
        <f>IF(ISBLANK(Tableau!$AW$33), "LIBRE", "OCCUPÉ")</f>
        <v>LIBRE</v>
      </c>
      <c r="AB33" s="76" t="str">
        <f>IF(ISBLANK(Tableau!$AY33), "LIBRE", "OCCUPÉ")</f>
        <v>LIBRE</v>
      </c>
      <c r="AC33" s="77" t="s">
        <v>17</v>
      </c>
    </row>
    <row r="34" ht="21.75" customHeight="1">
      <c r="A34" s="40">
        <f>Tableau!A34</f>
        <v>209</v>
      </c>
      <c r="B34" s="46" t="str">
        <f>VLOOKUP($A34,LocalisationRemorque,2,0)</f>
        <v>Huy</v>
      </c>
      <c r="C34" s="47" t="str">
        <f>VLOOKUP($A34,LocalisationRemorque,3,0)</f>
        <v>Pont de bonne</v>
      </c>
      <c r="D34" s="49" t="str">
        <f>CONCATENATE(VLOOKUP($A34,LocalisationRemorque,6,0)," ► ",VLOOKUP($A34,LocalisationRemorque,5,0))</f>
        <v>Havelange ► Huy</v>
      </c>
      <c r="E34" s="52" t="str">
        <f>IF(ISBLANK(Tableau!$E$34), "LIBRE", "OCCUPÉ")</f>
        <v>OCCUPÉ</v>
      </c>
      <c r="F34" s="52" t="str">
        <f>IF(ISBLANK(Tableau!$G$34), "LIBRE", "OCCUPÉ")</f>
        <v>LIBRE</v>
      </c>
      <c r="G34" s="52" t="str">
        <f>IF(ISBLANK(Tableau!$I$34), "LIBRE", "OCCUPÉ")</f>
        <v>OCCUPÉ</v>
      </c>
      <c r="H34" s="52" t="str">
        <f>IF(ISBLANK(Tableau!$K$34), "LIBRE", "OCCUPÉ")</f>
        <v>LIBRE</v>
      </c>
      <c r="I34" s="54" t="str">
        <f>IF(ISBLANK(Tableau!$M$34), "LIBRE", "OCCUPÉ")</f>
        <v>OCCUPÉ</v>
      </c>
      <c r="J34" s="52" t="str">
        <f>IF(ISBLANK(Tableau!$O$34), "LIBRE", "OCCUPÉ")</f>
        <v>LIBRE</v>
      </c>
      <c r="K34" s="54" t="str">
        <f>IF(ISBLANK(Tableau!$Q$34), "LIBRE", "OCCUPÉ")</f>
        <v>OCCUPÉ</v>
      </c>
      <c r="L34" s="52" t="str">
        <f>IF(ISBLANK(Tableau!$S$34), "LIBRE", "OCCUPÉ")</f>
        <v>LIBRE</v>
      </c>
      <c r="M34" s="54" t="str">
        <f>IF(ISBLANK(Tableau!$U$34), "LIBRE", "OCCUPÉ")</f>
        <v>OCCUPÉ</v>
      </c>
      <c r="N34" s="52" t="str">
        <f>IF(ISBLANK(Tableau!$W$34), "LIBRE", "OCCUPÉ")</f>
        <v>LIBRE</v>
      </c>
      <c r="O34" s="54" t="str">
        <f>IF(ISBLANK(Tableau!$Y$34), "LIBRE", "OCCUPÉ")</f>
        <v>LIBRE</v>
      </c>
      <c r="P34" s="52" t="str">
        <f>IF(ISBLANK(Tableau!$AA$34), "LIBRE", "OCCUPÉ")</f>
        <v>LIBRE</v>
      </c>
      <c r="Q34" s="52" t="str">
        <f>IF(ISBLANK(Tableau!$AC$34), "LIBRE", "OCCUPÉ")</f>
        <v>LIBRE</v>
      </c>
      <c r="R34" s="52" t="str">
        <f>IF(ISBLANK(Tableau!$AE$34), "LIBRE", "OCCUPÉ")</f>
        <v>LIBRE</v>
      </c>
      <c r="S34" s="52" t="str">
        <f>IF(ISBLANK(Tableau!$AG$34), "LIBRE", "OCCUPÉ")</f>
        <v>LIBRE</v>
      </c>
      <c r="T34" s="52" t="str">
        <f>IF(ISBLANK(Tableau!$AI$34), "LIBRE", "OCCUPÉ")</f>
        <v>LIBRE</v>
      </c>
      <c r="U34" s="54" t="str">
        <f>IF(ISBLANK(Tableau!$AK$34), "LIBRE", "OCCUPÉ")</f>
        <v>LIBRE</v>
      </c>
      <c r="V34" s="52" t="str">
        <f>IF(ISBLANK(Tableau!$AM$34), "LIBRE", "OCCUPÉ")</f>
        <v>LIBRE</v>
      </c>
      <c r="W34" s="52" t="str">
        <f>IF(ISBLANK(Tableau!$AO$34), "LIBRE", "OCCUPÉ")</f>
        <v>LIBRE</v>
      </c>
      <c r="X34" s="52" t="str">
        <f>IF(ISBLANK(Tableau!$AQ$34), "LIBRE", "OCCUPÉ")</f>
        <v>LIBRE</v>
      </c>
      <c r="Y34" s="52" t="str">
        <f>IF(ISBLANK(Tableau!$AS$34), "LIBRE", "OCCUPÉ")</f>
        <v>LIBRE</v>
      </c>
      <c r="Z34" s="52" t="str">
        <f>IF(ISBLANK(Tableau!$AU$34), "LIBRE", "OCCUPÉ")</f>
        <v>LIBRE</v>
      </c>
      <c r="AA34" s="52" t="str">
        <f>IF(ISBLANK(Tableau!$AW$34), "LIBRE", "OCCUPÉ")</f>
        <v>LIBRE</v>
      </c>
      <c r="AB34" s="76" t="str">
        <f>IF(ISBLANK(Tableau!$AY34), "LIBRE", "OCCUPÉ")</f>
        <v>LIBRE</v>
      </c>
      <c r="AC34" s="70" t="s">
        <v>17</v>
      </c>
    </row>
    <row r="35" ht="21.75" customHeight="1">
      <c r="A35" s="72">
        <f>Tableau!A35</f>
        <v>210</v>
      </c>
      <c r="B35" s="73" t="str">
        <f>VLOOKUP($A35,LocalisationRemorque,2,0)</f>
        <v>Huy</v>
      </c>
      <c r="C35" s="74" t="str">
        <f>VLOOKUP($A35,LocalisationRemorque,3,0)</f>
        <v>Nandrin</v>
      </c>
      <c r="D35" s="75" t="str">
        <f>CONCATENATE(VLOOKUP($A35,LocalisationRemorque,6,0)," ► ",VLOOKUP($A35,LocalisationRemorque,5,0))</f>
        <v>Marche-en-Famenne ► Liege</v>
      </c>
      <c r="E35" s="52" t="str">
        <f>IF(ISBLANK(Tableau!$E$35), "LIBRE", "OCCUPÉ")</f>
        <v>OCCUPÉ</v>
      </c>
      <c r="F35" s="52" t="str">
        <f>IF(ISBLANK(Tableau!$G$35), "LIBRE", "OCCUPÉ")</f>
        <v>LIBRE</v>
      </c>
      <c r="G35" s="52" t="str">
        <f>IF(ISBLANK(Tableau!$I$35), "LIBRE", "OCCUPÉ")</f>
        <v>OCCUPÉ</v>
      </c>
      <c r="H35" s="52" t="str">
        <f>IF(ISBLANK(Tableau!$K$35), "LIBRE", "OCCUPÉ")</f>
        <v>LIBRE</v>
      </c>
      <c r="I35" s="54" t="str">
        <f>IF(ISBLANK(Tableau!$M$35), "LIBRE", "OCCUPÉ")</f>
        <v>OCCUPÉ</v>
      </c>
      <c r="J35" s="52" t="str">
        <f>IF(ISBLANK(Tableau!$O$35), "LIBRE", "OCCUPÉ")</f>
        <v>LIBRE</v>
      </c>
      <c r="K35" s="54" t="str">
        <f>IF(ISBLANK(Tableau!$Q$35), "LIBRE", "OCCUPÉ")</f>
        <v>OCCUPÉ</v>
      </c>
      <c r="L35" s="52" t="str">
        <f>IF(ISBLANK(Tableau!$S$35), "LIBRE", "OCCUPÉ")</f>
        <v>LIBRE</v>
      </c>
      <c r="M35" s="54" t="str">
        <f>IF(ISBLANK(Tableau!$U$35), "LIBRE", "OCCUPÉ")</f>
        <v>OCCUPÉ</v>
      </c>
      <c r="N35" s="52" t="str">
        <f>IF(ISBLANK(Tableau!$W$35), "LIBRE", "OCCUPÉ")</f>
        <v>LIBRE</v>
      </c>
      <c r="O35" s="52" t="str">
        <f>IF(ISBLANK(Tableau!$Y$35), "LIBRE", "OCCUPÉ")</f>
        <v>LIBRE</v>
      </c>
      <c r="P35" s="52" t="str">
        <f>IF(ISBLANK(Tableau!$AA$35), "LIBRE", "OCCUPÉ")</f>
        <v>LIBRE</v>
      </c>
      <c r="Q35" s="52" t="str">
        <f>IF(ISBLANK(Tableau!$AC$35), "LIBRE", "OCCUPÉ")</f>
        <v>OCCUPÉ</v>
      </c>
      <c r="R35" s="52" t="str">
        <f>IF(ISBLANK(Tableau!$AE$35), "LIBRE", "OCCUPÉ")</f>
        <v>LIBRE</v>
      </c>
      <c r="S35" s="52" t="str">
        <f>IF(ISBLANK(Tableau!$AG$35), "LIBRE", "OCCUPÉ")</f>
        <v>OCCUPÉ</v>
      </c>
      <c r="T35" s="52" t="str">
        <f>IF(ISBLANK(Tableau!$AI$35), "LIBRE", "OCCUPÉ")</f>
        <v>LIBRE</v>
      </c>
      <c r="U35" s="52" t="str">
        <f>IF(ISBLANK(Tableau!$AK$35), "LIBRE", "OCCUPÉ")</f>
        <v>LIBRE</v>
      </c>
      <c r="V35" s="52" t="str">
        <f>IF(ISBLANK(Tableau!$AM$35), "LIBRE", "OCCUPÉ")</f>
        <v>LIBRE</v>
      </c>
      <c r="W35" s="52" t="str">
        <f>IF(ISBLANK(Tableau!$AO$35), "LIBRE", "OCCUPÉ")</f>
        <v>OCCUPÉ</v>
      </c>
      <c r="X35" s="52" t="str">
        <f>IF(ISBLANK(Tableau!$AQ$35), "LIBRE", "OCCUPÉ")</f>
        <v>LIBRE</v>
      </c>
      <c r="Y35" s="52" t="str">
        <f>IF(ISBLANK(Tableau!$AS$35), "LIBRE", "OCCUPÉ")</f>
        <v>LIBRE</v>
      </c>
      <c r="Z35" s="52" t="str">
        <f>IF(ISBLANK(Tableau!$AU$35), "LIBRE", "OCCUPÉ")</f>
        <v>LIBRE</v>
      </c>
      <c r="AA35" s="52" t="str">
        <f>IF(ISBLANK(Tableau!$AW$35), "LIBRE", "OCCUPÉ")</f>
        <v>LIBRE</v>
      </c>
      <c r="AB35" s="76" t="str">
        <f>IF(ISBLANK(Tableau!$AY35), "LIBRE", "OCCUPÉ")</f>
        <v>LIBRE</v>
      </c>
      <c r="AC35" s="77" t="s">
        <v>17</v>
      </c>
    </row>
    <row r="36" ht="21.75" customHeight="1">
      <c r="A36" s="40">
        <f>Tableau!A36</f>
        <v>211</v>
      </c>
      <c r="B36" s="46" t="str">
        <f>VLOOKUP($A36,LocalisationRemorque,2,0)</f>
        <v>Huy</v>
      </c>
      <c r="C36" s="47" t="str">
        <f>VLOOKUP($A36,LocalisationRemorque,3,0)</f>
        <v>Soheit-Tinlot</v>
      </c>
      <c r="D36" s="49" t="str">
        <f>CONCATENATE(VLOOKUP($A36,LocalisationRemorque,6,0)," ► ",VLOOKUP($A36,LocalisationRemorque,5,0))</f>
        <v>Marche-en-Famenne ► Liege</v>
      </c>
      <c r="E36" s="52" t="str">
        <f>IF(ISBLANK(Tableau!$E$36), "LIBRE", "OCCUPÉ")</f>
        <v>OCCUPÉ</v>
      </c>
      <c r="F36" s="52" t="str">
        <f>IF(ISBLANK(Tableau!$G$36), "LIBRE", "OCCUPÉ")</f>
        <v>LIBRE</v>
      </c>
      <c r="G36" s="54" t="str">
        <f>IF(ISBLANK(Tableau!$I$36), "LIBRE", "OCCUPÉ")</f>
        <v>OCCUPÉ</v>
      </c>
      <c r="H36" s="52" t="str">
        <f>IF(ISBLANK(Tableau!$K$36), "LIBRE", "OCCUPÉ")</f>
        <v>LIBRE</v>
      </c>
      <c r="I36" s="54" t="str">
        <f>IF(ISBLANK(Tableau!$M$36), "LIBRE", "OCCUPÉ")</f>
        <v>OCCUPÉ</v>
      </c>
      <c r="J36" s="52" t="str">
        <f>IF(ISBLANK(Tableau!$O$52), "LIBRE", "OCCUPÉ")</f>
        <v>LIBRE</v>
      </c>
      <c r="K36" s="54" t="str">
        <f>IF(ISBLANK(Tableau!$Q$36), "LIBRE", "OCCUPÉ")</f>
        <v>OCCUPÉ</v>
      </c>
      <c r="L36" s="52" t="str">
        <f>IF(ISBLANK(Tableau!$S$36), "LIBRE", "OCCUPÉ")</f>
        <v>LIBRE</v>
      </c>
      <c r="M36" s="54" t="str">
        <f>IF(ISBLANK(Tableau!$U$36), "LIBRE", "OCCUPÉ")</f>
        <v>OCCUPÉ</v>
      </c>
      <c r="N36" s="52" t="str">
        <f>IF(ISBLANK(Tableau!$W$36), "LIBRE", "OCCUPÉ")</f>
        <v>LIBRE</v>
      </c>
      <c r="O36" s="54" t="str">
        <f>IF(ISBLANK(Tableau!$Y$36), "LIBRE", "OCCUPÉ")</f>
        <v>LIBRE</v>
      </c>
      <c r="P36" s="52" t="str">
        <f>IF(ISBLANK(Tableau!$AA$36), "LIBRE", "OCCUPÉ")</f>
        <v>LIBRE</v>
      </c>
      <c r="Q36" s="52" t="str">
        <f>IF(ISBLANK(Tableau!$AC$36), "LIBRE", "OCCUPÉ")</f>
        <v>LIBRE</v>
      </c>
      <c r="R36" s="52" t="str">
        <f>IF(ISBLANK(Tableau!$AE$36), "LIBRE", "OCCUPÉ")</f>
        <v>LIBRE</v>
      </c>
      <c r="S36" s="52" t="str">
        <f>IF(ISBLANK(Tableau!$AG$36), "LIBRE", "OCCUPÉ")</f>
        <v>LIBRE</v>
      </c>
      <c r="T36" s="52" t="str">
        <f>IF(ISBLANK(Tableau!$AI$36), "LIBRE", "OCCUPÉ")</f>
        <v>LIBRE</v>
      </c>
      <c r="U36" s="54" t="str">
        <f>IF(ISBLANK(Tableau!$AK$36), "LIBRE", "OCCUPÉ")</f>
        <v>LIBRE</v>
      </c>
      <c r="V36" s="52" t="str">
        <f>IF(ISBLANK(Tableau!$AM$36), "LIBRE", "OCCUPÉ")</f>
        <v>LIBRE</v>
      </c>
      <c r="W36" s="52" t="str">
        <f>IF(ISBLANK(Tableau!$AO$36), "LIBRE", "OCCUPÉ")</f>
        <v>LIBRE</v>
      </c>
      <c r="X36" s="52" t="str">
        <f>IF(ISBLANK(Tableau!$AQ$36), "LIBRE", "OCCUPÉ")</f>
        <v>LIBRE</v>
      </c>
      <c r="Y36" s="54" t="str">
        <f>IF(ISBLANK(Tableau!$AS$36), "LIBRE", "OCCUPÉ")</f>
        <v>LIBRE</v>
      </c>
      <c r="Z36" s="52" t="str">
        <f>IF(ISBLANK(Tableau!$AU$36), "LIBRE", "OCCUPÉ")</f>
        <v>LIBRE</v>
      </c>
      <c r="AA36" s="52" t="str">
        <f>IF(ISBLANK(Tableau!$AW$36), "LIBRE", "OCCUPÉ")</f>
        <v>LIBRE</v>
      </c>
      <c r="AB36" s="76" t="str">
        <f>IF(ISBLANK(Tableau!$AY36), "LIBRE", "OCCUPÉ")</f>
        <v>LIBRE</v>
      </c>
      <c r="AC36" s="70" t="s">
        <v>17</v>
      </c>
    </row>
    <row r="37" ht="21.75" hidden="1" customHeight="1">
      <c r="A37" s="72">
        <f>Tableau!A37</f>
        <v>212</v>
      </c>
      <c r="B37" s="73" t="str">
        <f>VLOOKUP($A37,LocalisationRemorque,2,0)</f>
        <v>Flemalle</v>
      </c>
      <c r="C37" s="74" t="str">
        <f>VLOOKUP($A37,LocalisationRemorque,3,0)</f>
        <v>Pont dYvoz-Ramet</v>
      </c>
      <c r="D37" s="75" t="str">
        <f>CONCATENATE(VLOOKUP($A37,LocalisationRemorque,6,0)," ► ",VLOOKUP($A37,LocalisationRemorque,5,0))</f>
        <v>Liège ► Huy</v>
      </c>
      <c r="E37" s="52" t="str">
        <f>IF(ISBLANK(Tableau!$E$37), "LIBRE", "OCCUPÉ")</f>
        <v>LIBRE</v>
      </c>
      <c r="F37" s="52" t="str">
        <f>IF(ISBLANK(Tableau!$G$37), "LIBRE", "OCCUPÉ")</f>
        <v>LIBRE</v>
      </c>
      <c r="G37" s="52" t="str">
        <f>IF(ISBLANK(Tableau!$I$37), "LIBRE", "OCCUPÉ")</f>
        <v>LIBRE</v>
      </c>
      <c r="H37" s="52" t="str">
        <f>IF(ISBLANK(Tableau!$K$37), "LIBRE", "OCCUPÉ")</f>
        <v>LIBRE</v>
      </c>
      <c r="I37" s="52" t="str">
        <f>IF(ISBLANK(Tableau!$M$37), "LIBRE", "OCCUPÉ")</f>
        <v>LIBRE</v>
      </c>
      <c r="J37" s="52" t="str">
        <f>IF(ISBLANK(Tableau!$O$37), "LIBRE", "OCCUPÉ")</f>
        <v>LIBRE</v>
      </c>
      <c r="K37" s="54" t="str">
        <f>IF(ISBLANK(Tableau!$Q$37), "LIBRE", "OCCUPÉ")</f>
        <v>LIBRE</v>
      </c>
      <c r="L37" s="52" t="str">
        <f>IF(ISBLANK(Tableau!$S$37), "LIBRE", "OCCUPÉ")</f>
        <v>LIBRE</v>
      </c>
      <c r="M37" s="54" t="str">
        <f>IF(ISBLANK(Tableau!$U$37), "LIBRE", "OCCUPÉ")</f>
        <v>LIBRE</v>
      </c>
      <c r="N37" s="52" t="str">
        <f>IF(ISBLANK(Tableau!$W$37), "LIBRE", "OCCUPÉ")</f>
        <v>LIBRE</v>
      </c>
      <c r="O37" s="52" t="str">
        <f>IF(ISBLANK(Tableau!$Y$37), "LIBRE", "OCCUPÉ")</f>
        <v>LIBRE</v>
      </c>
      <c r="P37" s="52" t="str">
        <f>IF(ISBLANK(Tableau!$AA$37), "LIBRE", "OCCUPÉ")</f>
        <v>LIBRE</v>
      </c>
      <c r="Q37" s="54" t="str">
        <f>IF(ISBLANK(Tableau!$AC$37), "LIBRE", "OCCUPÉ")</f>
        <v>LIBRE</v>
      </c>
      <c r="R37" s="52" t="str">
        <f>IF(ISBLANK(Tableau!$AE$37), "LIBRE", "OCCUPÉ")</f>
        <v>LIBRE</v>
      </c>
      <c r="S37" s="54" t="str">
        <f>IF(ISBLANK(Tableau!$AG$37), "LIBRE", "OCCUPÉ")</f>
        <v>LIBRE</v>
      </c>
      <c r="T37" s="52" t="str">
        <f>IF(ISBLANK(Tableau!$AI$37), "LIBRE", "OCCUPÉ")</f>
        <v>LIBRE</v>
      </c>
      <c r="U37" s="54" t="str">
        <f>IF(ISBLANK(Tableau!$AK$37), "LIBRE", "OCCUPÉ")</f>
        <v>LIBRE</v>
      </c>
      <c r="V37" s="52" t="str">
        <f>IF(ISBLANK(Tableau!$AM$37), "LIBRE", "OCCUPÉ")</f>
        <v>LIBRE</v>
      </c>
      <c r="W37" s="54" t="str">
        <f>IF(ISBLANK(Tableau!$AO$37), "LIBRE", "OCCUPÉ")</f>
        <v>LIBRE</v>
      </c>
      <c r="X37" s="52" t="str">
        <f>IF(ISBLANK(Tableau!$AQ$37), "LIBRE", "OCCUPÉ")</f>
        <v>LIBRE</v>
      </c>
      <c r="Y37" s="52" t="str">
        <f>IF(ISBLANK(Tableau!$AS$37), "LIBRE", "OCCUPÉ")</f>
        <v>LIBRE</v>
      </c>
      <c r="Z37" s="52" t="str">
        <f>IF(ISBLANK(Tableau!$AU$37), "LIBRE", "OCCUPÉ")</f>
        <v>LIBRE</v>
      </c>
      <c r="AA37" s="52" t="str">
        <f>IF(ISBLANK(Tableau!$AW$37), "LIBRE", "OCCUPÉ")</f>
        <v>LIBRE</v>
      </c>
      <c r="AB37" s="76" t="str">
        <f>IF(ISBLANK(Tableau!$AY37), "LIBRE", "OCCUPÉ")</f>
        <v>LIBRE</v>
      </c>
      <c r="AC37" s="155"/>
    </row>
    <row r="38" ht="21.75" hidden="1" customHeight="1">
      <c r="A38" s="40">
        <f>Tableau!A38</f>
        <v>213</v>
      </c>
      <c r="B38" s="46" t="str">
        <f>VLOOKUP($A38,LocalisationRemorque,2,0)</f>
        <v>Fexhe-le-Haut-Clocher</v>
      </c>
      <c r="C38" s="47" t="str">
        <f>VLOOKUP($A38,LocalisationRemorque,3,0)</f>
        <v>Simonis</v>
      </c>
      <c r="D38" s="49" t="str">
        <f>CONCATENATE(VLOOKUP($A38,LocalisationRemorque,6,0)," ► ",VLOOKUP($A38,LocalisationRemorque,5,0))</f>
        <v>Waremme ► Bierset</v>
      </c>
      <c r="E38" s="52" t="str">
        <f>IF(ISBLANK(Tableau!$E$38), "LIBRE", "OCCUPÉ")</f>
        <v>LIBRE</v>
      </c>
      <c r="F38" s="52" t="str">
        <f>IF(ISBLANK(Tableau!$G$38), "LIBRE", "OCCUPÉ")</f>
        <v>LIBRE</v>
      </c>
      <c r="G38" s="54" t="str">
        <f>IF(ISBLANK(Tableau!$I$38), "LIBRE", "OCCUPÉ")</f>
        <v>LIBRE</v>
      </c>
      <c r="H38" s="52" t="str">
        <f>IF(ISBLANK(Tableau!$K$38), "LIBRE", "OCCUPÉ")</f>
        <v>LIBRE</v>
      </c>
      <c r="I38" s="54" t="str">
        <f>IF(ISBLANK(Tableau!$M$38), "LIBRE", "OCCUPÉ")</f>
        <v>LIBRE</v>
      </c>
      <c r="J38" s="52" t="str">
        <f>IF(ISBLANK(Tableau!$O$38), "LIBRE", "OCCUPÉ")</f>
        <v>LIBRE</v>
      </c>
      <c r="K38" s="52" t="str">
        <f>IF(ISBLANK(Tableau!$Q$38), "LIBRE", "OCCUPÉ")</f>
        <v>LIBRE</v>
      </c>
      <c r="L38" s="52" t="str">
        <f>IF(ISBLANK(Tableau!$S$38), "LIBRE", "OCCUPÉ")</f>
        <v>LIBRE</v>
      </c>
      <c r="M38" s="52" t="str">
        <f>IF(ISBLANK(Tableau!$U$38), "LIBRE", "OCCUPÉ")</f>
        <v>LIBRE</v>
      </c>
      <c r="N38" s="52" t="str">
        <f>IF(ISBLANK(Tableau!$W$38), "LIBRE", "OCCUPÉ")</f>
        <v>LIBRE</v>
      </c>
      <c r="O38" s="52" t="str">
        <f>IF(ISBLANK(Tableau!$Y$38), "LIBRE", "OCCUPÉ")</f>
        <v>LIBRE</v>
      </c>
      <c r="P38" s="52" t="str">
        <f>IF(ISBLANK(Tableau!$AA$38), "LIBRE", "OCCUPÉ")</f>
        <v>LIBRE</v>
      </c>
      <c r="Q38" s="52" t="str">
        <f>IF(ISBLANK(Tableau!$AC$38), "LIBRE", "OCCUPÉ")</f>
        <v>LIBRE</v>
      </c>
      <c r="R38" s="52" t="str">
        <f>IF(ISBLANK(Tableau!$AE$38), "LIBRE", "OCCUPÉ")</f>
        <v>LIBRE</v>
      </c>
      <c r="S38" s="52" t="str">
        <f>IF(ISBLANK(Tableau!$AG$38), "LIBRE", "OCCUPÉ")</f>
        <v>LIBRE</v>
      </c>
      <c r="T38" s="52" t="str">
        <f>IF(ISBLANK(Tableau!$AI$38), "LIBRE", "OCCUPÉ")</f>
        <v>LIBRE</v>
      </c>
      <c r="U38" s="54" t="str">
        <f>IF(ISBLANK(Tableau!$AK$38), "LIBRE", "OCCUPÉ")</f>
        <v>LIBRE</v>
      </c>
      <c r="V38" s="52" t="str">
        <f>IF(ISBLANK(Tableau!$AM$38), "LIBRE", "OCCUPÉ")</f>
        <v>LIBRE</v>
      </c>
      <c r="W38" s="52" t="str">
        <f>IF(ISBLANK(Tableau!$AO$38), "LIBRE", "OCCUPÉ")</f>
        <v>LIBRE</v>
      </c>
      <c r="X38" s="52" t="str">
        <f>IF(ISBLANK(Tableau!$AQ$38), "LIBRE", "OCCUPÉ")</f>
        <v>LIBRE</v>
      </c>
      <c r="Y38" s="52" t="str">
        <f>IF(ISBLANK(Tableau!$AS$38), "LIBRE", "OCCUPÉ")</f>
        <v>LIBRE</v>
      </c>
      <c r="Z38" s="52" t="str">
        <f>IF(ISBLANK(Tableau!$AU$38), "LIBRE", "OCCUPÉ")</f>
        <v>LIBRE</v>
      </c>
      <c r="AA38" s="52" t="str">
        <f>IF(ISBLANK(Tableau!$AW$38), "LIBRE", "OCCUPÉ")</f>
        <v>LIBRE</v>
      </c>
      <c r="AB38" s="76" t="str">
        <f>IF(ISBLANK(Tableau!$AY38), "LIBRE", "OCCUPÉ")</f>
        <v>LIBRE</v>
      </c>
      <c r="AC38" s="70"/>
    </row>
    <row r="39" ht="21.75" hidden="1" customHeight="1">
      <c r="A39" s="72">
        <f>Tableau!A39</f>
        <v>214</v>
      </c>
      <c r="B39" s="73" t="str">
        <f>VLOOKUP($A39,LocalisationRemorque,2,0)</f>
        <v>Fexhe-le-Haut-Clocher</v>
      </c>
      <c r="C39" s="74" t="str">
        <f>VLOOKUP($A39,LocalisationRemorque,3,0)</f>
        <v>Château d'eau Jeneffe</v>
      </c>
      <c r="D39" s="75" t="str">
        <f>CONCATENATE(VLOOKUP($A39,LocalisationRemorque,6,0)," ► ",VLOOKUP($A39,LocalisationRemorque,5,0))</f>
        <v>Tongres ► Amay</v>
      </c>
      <c r="E39" s="52" t="str">
        <f>IF(ISBLANK(Tableau!$E$39), "LIBRE", "OCCUPÉ")</f>
        <v>LIBRE</v>
      </c>
      <c r="F39" s="52" t="str">
        <f>IF(ISBLANK(Tableau!$G$39), "LIBRE", "OCCUPÉ")</f>
        <v>LIBRE</v>
      </c>
      <c r="G39" s="52" t="str">
        <f>IF(ISBLANK(Tableau!$I$39), "LIBRE", "OCCUPÉ")</f>
        <v>LIBRE</v>
      </c>
      <c r="H39" s="52" t="str">
        <f>IF(ISBLANK(Tableau!$K$39), "LIBRE", "OCCUPÉ")</f>
        <v>LIBRE</v>
      </c>
      <c r="I39" s="52" t="str">
        <f>IF(ISBLANK(Tableau!$M$39), "LIBRE", "OCCUPÉ")</f>
        <v>LIBRE</v>
      </c>
      <c r="J39" s="54" t="str">
        <f>IF(ISBLANK(Tableau!$O$39), "LIBRE", "OCCUPÉ")</f>
        <v>LIBRE</v>
      </c>
      <c r="K39" s="54" t="str">
        <f>IF(ISBLANK(Tableau!$Q$39), "LIBRE", "OCCUPÉ")</f>
        <v>LIBRE</v>
      </c>
      <c r="L39" s="52" t="str">
        <f>IF(ISBLANK(Tableau!$S$39), "LIBRE", "OCCUPÉ")</f>
        <v>LIBRE</v>
      </c>
      <c r="M39" s="54" t="str">
        <f>IF(ISBLANK(Tableau!$U$39), "LIBRE", "OCCUPÉ")</f>
        <v>LIBRE</v>
      </c>
      <c r="N39" s="52" t="str">
        <f>IF(ISBLANK(Tableau!$W$39), "LIBRE", "OCCUPÉ")</f>
        <v>LIBRE</v>
      </c>
      <c r="O39" s="54" t="str">
        <f>IF(ISBLANK(Tableau!$Y$39), "LIBRE", "OCCUPÉ")</f>
        <v>LIBRE</v>
      </c>
      <c r="P39" s="52" t="str">
        <f>IF(ISBLANK(Tableau!$AA$39), "LIBRE", "OCCUPÉ")</f>
        <v>LIBRE</v>
      </c>
      <c r="Q39" s="52" t="str">
        <f>IF(ISBLANK(Tableau!$AC$39), "LIBRE", "OCCUPÉ")</f>
        <v>LIBRE</v>
      </c>
      <c r="R39" s="52" t="str">
        <f>IF(ISBLANK(Tableau!$AE$39), "LIBRE", "OCCUPÉ")</f>
        <v>LIBRE</v>
      </c>
      <c r="S39" s="52" t="str">
        <f>IF(ISBLANK(Tableau!$AG$39), "LIBRE", "OCCUPÉ")</f>
        <v>LIBRE</v>
      </c>
      <c r="T39" s="52" t="str">
        <f>IF(ISBLANK(Tableau!$AI$39), "LIBRE", "OCCUPÉ")</f>
        <v>LIBRE</v>
      </c>
      <c r="U39" s="52" t="str">
        <f>IF(ISBLANK(Tableau!$AK$39), "LIBRE", "OCCUPÉ")</f>
        <v>LIBRE</v>
      </c>
      <c r="V39" s="52" t="str">
        <f>IF(ISBLANK(Tableau!$AM$39), "LIBRE", "OCCUPÉ")</f>
        <v>LIBRE</v>
      </c>
      <c r="W39" s="52" t="str">
        <f>IF(ISBLANK(Tableau!$AO$39), "LIBRE", "OCCUPÉ")</f>
        <v>LIBRE</v>
      </c>
      <c r="X39" s="52" t="str">
        <f>IF(ISBLANK(Tableau!$AQ$39), "LIBRE", "OCCUPÉ")</f>
        <v>LIBRE</v>
      </c>
      <c r="Y39" s="52" t="str">
        <f>IF(ISBLANK(Tableau!$AS$39), "LIBRE", "OCCUPÉ")</f>
        <v>LIBRE</v>
      </c>
      <c r="Z39" s="52" t="str">
        <f>IF(ISBLANK(Tableau!$AU$39), "LIBRE", "OCCUPÉ")</f>
        <v>LIBRE</v>
      </c>
      <c r="AA39" s="52" t="str">
        <f>IF(ISBLANK(Tableau!$AW$39), "LIBRE", "OCCUPÉ")</f>
        <v>LIBRE</v>
      </c>
      <c r="AB39" s="76" t="str">
        <f>IF(ISBLANK(Tableau!$AY39), "LIBRE", "OCCUPÉ")</f>
        <v>LIBRE</v>
      </c>
      <c r="AC39" s="155"/>
    </row>
    <row r="40" ht="21.75" hidden="1" customHeight="1">
      <c r="A40" s="40">
        <f>Tableau!A40</f>
        <v>215</v>
      </c>
      <c r="B40" s="46" t="str">
        <f>VLOOKUP($A40,LocalisationRemorque,2,0)</f>
        <v>Fexhe-le-Haut-Clocher</v>
      </c>
      <c r="C40" s="47" t="str">
        <f>VLOOKUP($A40,LocalisationRemorque,3,0)</f>
        <v>Noville</v>
      </c>
      <c r="D40" s="49" t="str">
        <f>CONCATENATE(VLOOKUP($A40,LocalisationRemorque,6,0)," ► ",VLOOKUP($A40,LocalisationRemorque,5,0))</f>
        <v>Amay ► E40</v>
      </c>
      <c r="E40" s="52" t="str">
        <f>IF(ISBLANK(Tableau!$E$40), "LIBRE", "OCCUPÉ")</f>
        <v>LIBRE</v>
      </c>
      <c r="F40" s="52" t="str">
        <f>IF(ISBLANK(Tableau!$G$40), "LIBRE", "OCCUPÉ")</f>
        <v>LIBRE</v>
      </c>
      <c r="G40" s="52" t="str">
        <f>IF(ISBLANK(Tableau!$I$40), "LIBRE", "OCCUPÉ")</f>
        <v>LIBRE</v>
      </c>
      <c r="H40" s="52" t="str">
        <f>IF(ISBLANK(Tableau!$K$40), "LIBRE", "OCCUPÉ")</f>
        <v>LIBRE</v>
      </c>
      <c r="I40" s="52" t="str">
        <f>IF(ISBLANK(Tableau!$M$40), "LIBRE", "OCCUPÉ")</f>
        <v>LIBRE</v>
      </c>
      <c r="J40" s="54" t="str">
        <f>IF(ISBLANK(Tableau!$O$40), "LIBRE", "OCCUPÉ")</f>
        <v>LIBRE</v>
      </c>
      <c r="K40" s="52" t="str">
        <f>IF(ISBLANK(Tableau!$Q$40), "LIBRE", "OCCUPÉ")</f>
        <v>LIBRE</v>
      </c>
      <c r="L40" s="52" t="str">
        <f>IF(ISBLANK(Tableau!$S$40), "LIBRE", "OCCUPÉ")</f>
        <v>LIBRE</v>
      </c>
      <c r="M40" s="54" t="str">
        <f>IF(ISBLANK(Tableau!$U$40), "LIBRE", "OCCUPÉ")</f>
        <v>LIBRE</v>
      </c>
      <c r="N40" s="52" t="str">
        <f>IF(ISBLANK(Tableau!$W$40), "LIBRE", "OCCUPÉ")</f>
        <v>LIBRE</v>
      </c>
      <c r="O40" s="52" t="str">
        <f>IF(ISBLANK(Tableau!$Y$40), "LIBRE", "OCCUPÉ")</f>
        <v>LIBRE</v>
      </c>
      <c r="P40" s="52" t="str">
        <f>IF(ISBLANK(Tableau!$AA$40), "LIBRE", "OCCUPÉ")</f>
        <v>LIBRE</v>
      </c>
      <c r="Q40" s="54" t="str">
        <f>IF(ISBLANK(Tableau!$AC$40), "LIBRE", "OCCUPÉ")</f>
        <v>LIBRE</v>
      </c>
      <c r="R40" s="52" t="str">
        <f>IF(ISBLANK(Tableau!$AE$40), "LIBRE", "OCCUPÉ")</f>
        <v>LIBRE</v>
      </c>
      <c r="S40" s="52" t="str">
        <f>IF(ISBLANK(Tableau!$AG$40), "LIBRE", "OCCUPÉ")</f>
        <v>LIBRE</v>
      </c>
      <c r="T40" s="52" t="str">
        <f>IF(ISBLANK(Tableau!$AI$40), "LIBRE", "OCCUPÉ")</f>
        <v>LIBRE</v>
      </c>
      <c r="U40" s="52" t="str">
        <f>IF(ISBLANK(Tableau!$AK$40), "LIBRE", "OCCUPÉ")</f>
        <v>LIBRE</v>
      </c>
      <c r="V40" s="52" t="str">
        <f>IF(ISBLANK(Tableau!$AM$40), "LIBRE", "OCCUPÉ")</f>
        <v>LIBRE</v>
      </c>
      <c r="W40" s="52" t="str">
        <f>IF(ISBLANK(Tableau!$AO$40), "LIBRE", "OCCUPÉ")</f>
        <v>LIBRE</v>
      </c>
      <c r="X40" s="52" t="str">
        <f>IF(ISBLANK(Tableau!$AQ$40), "LIBRE", "OCCUPÉ")</f>
        <v>LIBRE</v>
      </c>
      <c r="Y40" s="52" t="str">
        <f>IF(ISBLANK(Tableau!$AS$40), "LIBRE", "OCCUPÉ")</f>
        <v>LIBRE</v>
      </c>
      <c r="Z40" s="52" t="str">
        <f>IF(ISBLANK(Tableau!$AU$40), "LIBRE", "OCCUPÉ")</f>
        <v>LIBRE</v>
      </c>
      <c r="AA40" s="52" t="str">
        <f>IF(ISBLANK(Tableau!$AW$40), "LIBRE", "OCCUPÉ")</f>
        <v>LIBRE</v>
      </c>
      <c r="AB40" s="76" t="str">
        <f>IF(ISBLANK(Tableau!$AY40), "LIBRE", "OCCUPÉ")</f>
        <v>LIBRE</v>
      </c>
      <c r="AC40" s="88"/>
    </row>
    <row r="41" ht="21.75" hidden="1" customHeight="1">
      <c r="A41" s="72">
        <f>Tableau!A41</f>
        <v>216</v>
      </c>
      <c r="B41" s="73" t="str">
        <f>VLOOKUP($A41,LocalisationRemorque,2,0)</f>
        <v>Waremme</v>
      </c>
      <c r="C41" s="74" t="str">
        <f>VLOOKUP($A41,LocalisationRemorque,3,0)</f>
        <v>Waremme 1</v>
      </c>
      <c r="D41" s="75" t="str">
        <f>CONCATENATE(VLOOKUP($A41,LocalisationRemorque,6,0)," ► ",VLOOKUP($A41,LocalisationRemorque,5,0))</f>
        <v>Huy ► Waremme</v>
      </c>
      <c r="E41" s="52" t="str">
        <f>IF(ISBLANK(Tableau!$E$41), "LIBRE", "OCCUPÉ")</f>
        <v>LIBRE</v>
      </c>
      <c r="F41" s="52" t="str">
        <f>IF(ISBLANK(Tableau!$G$41), "LIBRE", "OCCUPÉ")</f>
        <v>LIBRE</v>
      </c>
      <c r="G41" s="52" t="str">
        <f>IF(ISBLANK(Tableau!$I$41), "LIBRE", "OCCUPÉ")</f>
        <v>LIBRE</v>
      </c>
      <c r="H41" s="52" t="str">
        <f>IF(ISBLANK(Tableau!$K$41), "LIBRE", "OCCUPÉ")</f>
        <v>LIBRE</v>
      </c>
      <c r="I41" s="54" t="str">
        <f>IF(ISBLANK(Tableau!$M$41), "LIBRE", "OCCUPÉ")</f>
        <v>LIBRE</v>
      </c>
      <c r="J41" s="54" t="str">
        <f>IF(ISBLANK(Tableau!$O$41), "LIBRE", "OCCUPÉ")</f>
        <v>LIBRE</v>
      </c>
      <c r="K41" s="54" t="str">
        <f>IF(ISBLANK(Tableau!$Q$41), "LIBRE", "OCCUPÉ")</f>
        <v>LIBRE</v>
      </c>
      <c r="L41" s="54" t="str">
        <f>IF(ISBLANK(Tableau!$S$41), "LIBRE", "OCCUPÉ")</f>
        <v>LIBRE</v>
      </c>
      <c r="M41" s="54" t="str">
        <f>IF(ISBLANK(Tableau!$U$41), "LIBRE", "OCCUPÉ")</f>
        <v>LIBRE</v>
      </c>
      <c r="N41" s="54" t="str">
        <f>IF(ISBLANK(Tableau!$W$41), "LIBRE", "OCCUPÉ")</f>
        <v>LIBRE</v>
      </c>
      <c r="O41" s="54" t="str">
        <f>IF(ISBLANK(Tableau!$Y$41), "LIBRE", "OCCUPÉ")</f>
        <v>LIBRE</v>
      </c>
      <c r="P41" s="54" t="str">
        <f>IF(ISBLANK(Tableau!$Z$41), "LIBRE", "OCCUPÉ")</f>
        <v>LIBRE</v>
      </c>
      <c r="Q41" s="52" t="str">
        <f>IF(ISBLANK(Tableau!$AC$41), "LIBRE", "OCCUPÉ")</f>
        <v>LIBRE</v>
      </c>
      <c r="R41" s="52" t="str">
        <f>IF(ISBLANK(Tableau!$AE$41), "LIBRE", "OCCUPÉ")</f>
        <v>LIBRE</v>
      </c>
      <c r="S41" s="52" t="str">
        <f>IF(ISBLANK(Tableau!$AG$41), "LIBRE", "OCCUPÉ")</f>
        <v>LIBRE</v>
      </c>
      <c r="T41" s="52" t="str">
        <f>IF(ISBLANK(Tableau!$AI$41), "LIBRE", "OCCUPÉ")</f>
        <v>LIBRE</v>
      </c>
      <c r="U41" s="54" t="str">
        <f>IF(ISBLANK(Tableau!$AK$41), "LIBRE", "OCCUPÉ")</f>
        <v>LIBRE</v>
      </c>
      <c r="V41" s="52" t="str">
        <f>IF(ISBLANK(Tableau!$AM$41), "LIBRE", "OCCUPÉ")</f>
        <v>LIBRE</v>
      </c>
      <c r="W41" s="54" t="str">
        <f>IF(ISBLANK(Tableau!$AO$41), "LIBRE", "OCCUPÉ")</f>
        <v>LIBRE</v>
      </c>
      <c r="X41" s="52" t="str">
        <f>IF(ISBLANK(Tableau!$AQ$41), "LIBRE", "OCCUPÉ")</f>
        <v>LIBRE</v>
      </c>
      <c r="Y41" s="54" t="str">
        <f>IF(ISBLANK(Tableau!$AS$41), "LIBRE", "OCCUPÉ")</f>
        <v>LIBRE</v>
      </c>
      <c r="Z41" s="52" t="str">
        <f>IF(ISBLANK(Tableau!$AU$41), "LIBRE", "OCCUPÉ")</f>
        <v>LIBRE</v>
      </c>
      <c r="AA41" s="52" t="str">
        <f>IF(ISBLANK(Tableau!$AW$41), "LIBRE", "OCCUPÉ")</f>
        <v>LIBRE</v>
      </c>
      <c r="AB41" s="76" t="str">
        <f>IF(ISBLANK(Tableau!$AY41), "LIBRE", "OCCUPÉ")</f>
        <v>LIBRE</v>
      </c>
      <c r="AC41" s="155"/>
    </row>
    <row r="42" ht="21.75" hidden="1" customHeight="1">
      <c r="A42" s="40">
        <f>Tableau!A42</f>
        <v>227</v>
      </c>
      <c r="B42" s="46" t="str">
        <f>VLOOKUP($A42,LocalisationRemorque,2,0)</f>
        <v>Waremme</v>
      </c>
      <c r="C42" s="47" t="str">
        <f>VLOOKUP($A42,LocalisationRemorque,3,0)</f>
        <v>Waremme 2</v>
      </c>
      <c r="D42" s="49" t="str">
        <f>CONCATENATE(VLOOKUP($A42,LocalisationRemorque,6,0)," ► ",VLOOKUP($A42,LocalisationRemorque,5,0))</f>
        <v>Huy ► Waremme</v>
      </c>
      <c r="E42" s="54" t="str">
        <f>IF(ISBLANK(Tableau!$E$42), "LIBRE", "OCCUPÉ")</f>
        <v>LIBRE</v>
      </c>
      <c r="F42" s="52" t="str">
        <f>IF(ISBLANK(Tableau!$G$42), "LIBRE", "OCCUPÉ")</f>
        <v>LIBRE</v>
      </c>
      <c r="G42" s="52" t="str">
        <f>IF(ISBLANK(Tableau!$I$42), "LIBRE", "OCCUPÉ")</f>
        <v>LIBRE</v>
      </c>
      <c r="H42" s="52" t="str">
        <f>IF(ISBLANK(Tableau!$K$42), "LIBRE", "OCCUPÉ")</f>
        <v>LIBRE</v>
      </c>
      <c r="I42" s="54" t="str">
        <f>IF(ISBLANK(Tableau!$M$42), "LIBRE", "OCCUPÉ")</f>
        <v>LIBRE</v>
      </c>
      <c r="J42" s="52" t="str">
        <f>IF(ISBLANK(Tableau!$O$42), "LIBRE", "OCCUPÉ")</f>
        <v>LIBRE</v>
      </c>
      <c r="K42" s="52" t="str">
        <f>IF(ISBLANK(Tableau!$Q$42), "LIBRE", "OCCUPÉ")</f>
        <v>LIBRE</v>
      </c>
      <c r="L42" s="52" t="str">
        <f>IF(ISBLANK(Tableau!$S$42), "LIBRE", "OCCUPÉ")</f>
        <v>LIBRE</v>
      </c>
      <c r="M42" s="54" t="str">
        <f>IF(ISBLANK(Tableau!$U$42), "LIBRE", "OCCUPÉ")</f>
        <v>LIBRE</v>
      </c>
      <c r="N42" s="52" t="str">
        <f>IF(ISBLANK(Tableau!$W$42), "LIBRE", "OCCUPÉ")</f>
        <v>LIBRE</v>
      </c>
      <c r="O42" s="54" t="str">
        <f>IF(ISBLANK(Tableau!$Y$42), "LIBRE", "OCCUPÉ")</f>
        <v>LIBRE</v>
      </c>
      <c r="P42" s="52" t="str">
        <f>IF(ISBLANK(Tableau!$AA$42), "LIBRE", "OCCUPÉ")</f>
        <v>LIBRE</v>
      </c>
      <c r="Q42" s="52" t="str">
        <f>IF(ISBLANK(Tableau!$AC$42), "LIBRE", "OCCUPÉ")</f>
        <v>LIBRE</v>
      </c>
      <c r="R42" s="52" t="str">
        <f>IF(ISBLANK(Tableau!$AE$42), "LIBRE", "OCCUPÉ")</f>
        <v>LIBRE</v>
      </c>
      <c r="S42" s="52" t="str">
        <f>IF(ISBLANK(Tableau!$AG$42), "LIBRE", "OCCUPÉ")</f>
        <v>LIBRE</v>
      </c>
      <c r="T42" s="52" t="str">
        <f>IF(ISBLANK(Tableau!$AI$42), "LIBRE", "OCCUPÉ")</f>
        <v>LIBRE</v>
      </c>
      <c r="U42" s="54" t="str">
        <f>IF(ISBLANK(Tableau!$AK$42), "LIBRE", "OCCUPÉ")</f>
        <v>LIBRE</v>
      </c>
      <c r="V42" s="52" t="str">
        <f>IF(ISBLANK(Tableau!$AM$42), "LIBRE", "OCCUPÉ")</f>
        <v>LIBRE</v>
      </c>
      <c r="W42" s="52" t="str">
        <f>IF(ISBLANK(Tableau!$AO$42), "LIBRE", "OCCUPÉ")</f>
        <v>LIBRE</v>
      </c>
      <c r="X42" s="52" t="str">
        <f>IF(ISBLANK(Tableau!$AQ$42), "LIBRE", "OCCUPÉ")</f>
        <v>LIBRE</v>
      </c>
      <c r="Y42" s="52" t="str">
        <f>IF(ISBLANK(Tableau!$AS$42), "LIBRE", "OCCUPÉ")</f>
        <v>LIBRE</v>
      </c>
      <c r="Z42" s="52" t="str">
        <f>IF(ISBLANK(Tableau!$AU$42), "LIBRE", "OCCUPÉ")</f>
        <v>LIBRE</v>
      </c>
      <c r="AA42" s="52" t="str">
        <f>IF(ISBLANK(Tableau!$AW$42), "LIBRE", "OCCUPÉ")</f>
        <v>LIBRE</v>
      </c>
      <c r="AB42" s="76" t="str">
        <f>IF(ISBLANK(Tableau!$AY42), "LIBRE", "OCCUPÉ")</f>
        <v>LIBRE</v>
      </c>
      <c r="AC42" s="88"/>
    </row>
    <row r="43" ht="21.75" hidden="1" customHeight="1">
      <c r="A43" s="72">
        <f>Tableau!A43</f>
        <v>217</v>
      </c>
      <c r="B43" s="73" t="str">
        <f>VLOOKUP($A43,LocalisationRemorque,2,0)</f>
        <v>Viemme</v>
      </c>
      <c r="C43" s="74" t="str">
        <f>VLOOKUP($A43,LocalisationRemorque,3,0)</f>
        <v>Viemme Rond-Point</v>
      </c>
      <c r="D43" s="75" t="str">
        <f>CONCATENATE(VLOOKUP($A43,LocalisationRemorque,6,0)," ► ",VLOOKUP($A43,LocalisationRemorque,5,0))</f>
        <v>Waremme ► Huy</v>
      </c>
      <c r="E43" s="52" t="str">
        <f>IF(ISBLANK(Tableau!$E$43), "LIBRE", "OCCUPÉ")</f>
        <v>LIBRE</v>
      </c>
      <c r="F43" s="52" t="str">
        <f>IF(ISBLANK(Tableau!$G$43), "LIBRE", "OCCUPÉ")</f>
        <v>LIBRE</v>
      </c>
      <c r="G43" s="52" t="str">
        <f>IF(ISBLANK(Tableau!$I$43), "LIBRE", "OCCUPÉ")</f>
        <v>LIBRE</v>
      </c>
      <c r="H43" s="52" t="str">
        <f>IF(ISBLANK(Tableau!$K$43), "LIBRE", "OCCUPÉ")</f>
        <v>LIBRE</v>
      </c>
      <c r="I43" s="54" t="str">
        <f>IF(ISBLANK(Tableau!$M$43), "LIBRE", "OCCUPÉ")</f>
        <v>LIBRE</v>
      </c>
      <c r="J43" s="54" t="str">
        <f>IF(ISBLANK(Tableau!$O$43), "LIBRE", "OCCUPÉ")</f>
        <v>LIBRE</v>
      </c>
      <c r="K43" s="54" t="str">
        <f>IF(ISBLANK(Tableau!$Q$43), "LIBRE", "OCCUPÉ")</f>
        <v>LIBRE</v>
      </c>
      <c r="L43" s="52" t="str">
        <f>IF(ISBLANK(Tableau!$S$43), "LIBRE", "OCCUPÉ")</f>
        <v>LIBRE</v>
      </c>
      <c r="M43" s="54" t="str">
        <f>IF(ISBLANK(Tableau!$U$43), "LIBRE", "OCCUPÉ")</f>
        <v>LIBRE</v>
      </c>
      <c r="N43" s="52" t="str">
        <f>IF(ISBLANK(Tableau!$W$43), "LIBRE", "OCCUPÉ")</f>
        <v>LIBRE</v>
      </c>
      <c r="O43" s="54" t="str">
        <f>IF(ISBLANK(Tableau!$Y$43), "LIBRE", "OCCUPÉ")</f>
        <v>LIBRE</v>
      </c>
      <c r="P43" s="52" t="str">
        <f>IF(ISBLANK(Tableau!$AA$43), "LIBRE", "OCCUPÉ")</f>
        <v>LIBRE</v>
      </c>
      <c r="Q43" s="52" t="str">
        <f>IF(ISBLANK(Tableau!$AC$43), "LIBRE", "OCCUPÉ")</f>
        <v>LIBRE</v>
      </c>
      <c r="R43" s="52" t="str">
        <f>IF(ISBLANK(Tableau!$AE$43), "LIBRE", "OCCUPÉ")</f>
        <v>LIBRE</v>
      </c>
      <c r="S43" s="52" t="str">
        <f>IF(ISBLANK(Tableau!$AG$43), "LIBRE", "OCCUPÉ")</f>
        <v>LIBRE</v>
      </c>
      <c r="T43" s="52" t="str">
        <f>IF(ISBLANK(Tableau!$AI$43), "LIBRE", "OCCUPÉ")</f>
        <v>LIBRE</v>
      </c>
      <c r="U43" s="52" t="str">
        <f>IF(ISBLANK(Tableau!$AK$43), "LIBRE", "OCCUPÉ")</f>
        <v>LIBRE</v>
      </c>
      <c r="V43" s="52" t="str">
        <f>IF(ISBLANK(Tableau!$AM$43), "LIBRE", "OCCUPÉ")</f>
        <v>LIBRE</v>
      </c>
      <c r="W43" s="54" t="str">
        <f>IF(ISBLANK(Tableau!$AO$43), "LIBRE", "OCCUPÉ")</f>
        <v>LIBRE</v>
      </c>
      <c r="X43" s="52" t="str">
        <f>IF(ISBLANK(Tableau!$AQ$43), "LIBRE", "OCCUPÉ")</f>
        <v>LIBRE</v>
      </c>
      <c r="Y43" s="54" t="str">
        <f>IF(ISBLANK(Tableau!$AS$43), "LIBRE", "OCCUPÉ")</f>
        <v>LIBRE</v>
      </c>
      <c r="Z43" s="52" t="str">
        <f>IF(ISBLANK(Tableau!$AU$43), "LIBRE", "OCCUPÉ")</f>
        <v>LIBRE</v>
      </c>
      <c r="AA43" s="52" t="str">
        <f>IF(ISBLANK(Tableau!$AW$43), "LIBRE", "OCCUPÉ")</f>
        <v>LIBRE</v>
      </c>
      <c r="AB43" s="76" t="str">
        <f>IF(ISBLANK(Tableau!$AY43), "LIBRE", "OCCUPÉ")</f>
        <v>LIBRE</v>
      </c>
      <c r="AC43" s="155"/>
    </row>
    <row r="44" ht="21.75" hidden="1" customHeight="1">
      <c r="A44" s="40">
        <f>Tableau!A44</f>
        <v>218</v>
      </c>
      <c r="B44" s="46" t="str">
        <f>VLOOKUP($A44,LocalisationRemorque,2,0)</f>
        <v>Oreye</v>
      </c>
      <c r="C44" s="47" t="str">
        <f>VLOOKUP($A44,LocalisationRemorque,3,0)</f>
        <v>Carrefour Otrange/Vechmaal</v>
      </c>
      <c r="D44" s="49" t="str">
        <f>CONCATENATE(VLOOKUP($A44,LocalisationRemorque,6,0)," ► ",VLOOKUP($A44,LocalisationRemorque,5,0))</f>
        <v>Oreye ► Veechmaal</v>
      </c>
      <c r="E44" s="52" t="str">
        <f>IF(ISBLANK(Tableau!$E$44), "LIBRE", "OCCUPÉ")</f>
        <v>LIBRE</v>
      </c>
      <c r="F44" s="52" t="str">
        <f>IF(ISBLANK(Tableau!$G$44), "LIBRE", "OCCUPÉ")</f>
        <v>LIBRE</v>
      </c>
      <c r="G44" s="54" t="str">
        <f>IF(ISBLANK(Tableau!$I$44), "LIBRE", "OCCUPÉ")</f>
        <v>LIBRE</v>
      </c>
      <c r="H44" s="52" t="str">
        <f>IF(ISBLANK(Tableau!$K$44), "LIBRE", "OCCUPÉ")</f>
        <v>LIBRE</v>
      </c>
      <c r="I44" s="54" t="str">
        <f>IF(ISBLANK(Tableau!$M$44), "LIBRE", "OCCUPÉ")</f>
        <v>LIBRE</v>
      </c>
      <c r="J44" s="52" t="str">
        <f>IF(ISBLANK(Tableau!$O$44), "LIBRE", "OCCUPÉ")</f>
        <v>LIBRE</v>
      </c>
      <c r="K44" s="52" t="str">
        <f>IF(ISBLANK(Tableau!$Q$44), "LIBRE", "OCCUPÉ")</f>
        <v>LIBRE</v>
      </c>
      <c r="L44" s="52" t="str">
        <f>IF(ISBLANK(Tableau!$S$44), "LIBRE", "OCCUPÉ")</f>
        <v>LIBRE</v>
      </c>
      <c r="M44" s="54" t="str">
        <f>IF(ISBLANK(Tableau!$U$44), "LIBRE", "OCCUPÉ")</f>
        <v>LIBRE</v>
      </c>
      <c r="N44" s="52" t="str">
        <f>IF(ISBLANK(Tableau!$W$44), "LIBRE", "OCCUPÉ")</f>
        <v>LIBRE</v>
      </c>
      <c r="O44" s="52" t="str">
        <f>IF(ISBLANK(Tableau!$Y$44), "LIBRE", "OCCUPÉ")</f>
        <v>LIBRE</v>
      </c>
      <c r="P44" s="52" t="str">
        <f>IF(ISBLANK(Tableau!$AA$44), "LIBRE", "OCCUPÉ")</f>
        <v>LIBRE</v>
      </c>
      <c r="Q44" s="54" t="str">
        <f>IF(ISBLANK(Tableau!$AC$44), "LIBRE", "OCCUPÉ")</f>
        <v>LIBRE</v>
      </c>
      <c r="R44" s="52" t="str">
        <f>IF(ISBLANK(Tableau!$AE$44), "LIBRE", "OCCUPÉ")</f>
        <v>LIBRE</v>
      </c>
      <c r="S44" s="52" t="str">
        <f>IF(ISBLANK(Tableau!$AG$44), "LIBRE", "OCCUPÉ")</f>
        <v>LIBRE</v>
      </c>
      <c r="T44" s="52" t="str">
        <f>IF(ISBLANK(Tableau!$AI$44), "LIBRE", "OCCUPÉ")</f>
        <v>LIBRE</v>
      </c>
      <c r="U44" s="52" t="str">
        <f>IF(ISBLANK(Tableau!$AK$44), "LIBRE", "OCCUPÉ")</f>
        <v>LIBRE</v>
      </c>
      <c r="V44" s="52" t="str">
        <f>IF(ISBLANK(Tableau!$AM$44), "LIBRE", "OCCUPÉ")</f>
        <v>LIBRE</v>
      </c>
      <c r="W44" s="52" t="str">
        <f>IF(ISBLANK(Tableau!$AO$44), "LIBRE", "OCCUPÉ")</f>
        <v>LIBRE</v>
      </c>
      <c r="X44" s="52" t="str">
        <f>IF(ISBLANK(Tableau!$AQ$44), "LIBRE", "OCCUPÉ")</f>
        <v>LIBRE</v>
      </c>
      <c r="Y44" s="52" t="str">
        <f>IF(ISBLANK(Tableau!$AS$44), "LIBRE", "OCCUPÉ")</f>
        <v>LIBRE</v>
      </c>
      <c r="Z44" s="52" t="str">
        <f>IF(ISBLANK(Tableau!$AU$44), "LIBRE", "OCCUPÉ")</f>
        <v>LIBRE</v>
      </c>
      <c r="AA44" s="52" t="str">
        <f>IF(ISBLANK(Tableau!$AW$44), "LIBRE", "OCCUPÉ")</f>
        <v>LIBRE</v>
      </c>
      <c r="AB44" s="76" t="str">
        <f>IF(ISBLANK(Tableau!$AY44), "LIBRE", "OCCUPÉ")</f>
        <v>LIBRE</v>
      </c>
      <c r="AC44" s="88"/>
    </row>
    <row r="45" ht="21.75" hidden="1" customHeight="1">
      <c r="A45" s="72" t="str">
        <f>Tableau!A45</f>
        <v/>
      </c>
      <c r="B45" s="73" t="str">
        <f>VLOOKUP($A45,LocalisationRemorque,2,0)</f>
        <v> Remorque non listée</v>
      </c>
      <c r="C45" s="74" t="str">
        <f>VLOOKUP($A45,LocalisationRemorque,3,0)</f>
        <v/>
      </c>
      <c r="D45" s="75" t="str">
        <f>CONCATENATE(VLOOKUP($A45,LocalisationRemorque,6,0)," ► ",VLOOKUP($A45,LocalisationRemorque,5,0))</f>
        <v> ► </v>
      </c>
      <c r="E45" s="52" t="str">
        <f>IF(ISBLANK(Tableau!$E$45), "LIBRE", "OCCUPÉ")</f>
        <v>LIBRE</v>
      </c>
      <c r="F45" s="52" t="str">
        <f>IF(ISBLANK(Tableau!$G$45), "LIBRE", "OCCUPÉ")</f>
        <v>LIBRE</v>
      </c>
      <c r="G45" s="52" t="str">
        <f>IF(ISBLANK(Tableau!$I$45), "LIBRE", "OCCUPÉ")</f>
        <v>LIBRE</v>
      </c>
      <c r="H45" s="52" t="str">
        <f>IF(ISBLANK(Tableau!$K$45), "LIBRE", "OCCUPÉ")</f>
        <v>LIBRE</v>
      </c>
      <c r="I45" s="52" t="str">
        <f>IF(ISBLANK(Tableau!$M$45), "LIBRE", "OCCUPÉ")</f>
        <v>LIBRE</v>
      </c>
      <c r="J45" s="52" t="str">
        <f>IF(ISBLANK(Tableau!$O$45), "LIBRE", "OCCUPÉ")</f>
        <v>LIBRE</v>
      </c>
      <c r="K45" s="54" t="str">
        <f>IF(ISBLANK(Tableau!$Q$45), "LIBRE", "OCCUPÉ")</f>
        <v>LIBRE</v>
      </c>
      <c r="L45" s="52" t="str">
        <f>IF(ISBLANK(Tableau!$S$45), "LIBRE", "OCCUPÉ")</f>
        <v>LIBRE</v>
      </c>
      <c r="M45" s="54" t="str">
        <f>IF(ISBLANK(Tableau!$U$45), "LIBRE", "OCCUPÉ")</f>
        <v>LIBRE</v>
      </c>
      <c r="N45" s="52" t="str">
        <f>IF(ISBLANK(Tableau!$W$45), "LIBRE", "OCCUPÉ")</f>
        <v>LIBRE</v>
      </c>
      <c r="O45" s="52" t="str">
        <f>IF(ISBLANK(Tableau!$Y$45), "LIBRE", "OCCUPÉ")</f>
        <v>LIBRE</v>
      </c>
      <c r="P45" s="52" t="str">
        <f>IF(ISBLANK(Tableau!$AA$45), "LIBRE", "OCCUPÉ")</f>
        <v>LIBRE</v>
      </c>
      <c r="Q45" s="54" t="str">
        <f>IF(ISBLANK(Tableau!$AC$45), "LIBRE", "OCCUPÉ")</f>
        <v>LIBRE</v>
      </c>
      <c r="R45" s="52" t="str">
        <f>IF(ISBLANK(Tableau!$AE$45), "LIBRE", "OCCUPÉ")</f>
        <v>LIBRE</v>
      </c>
      <c r="S45" s="54" t="str">
        <f>IF(ISBLANK(Tableau!$AG$45), "LIBRE", "OCCUPÉ")</f>
        <v>LIBRE</v>
      </c>
      <c r="T45" s="52" t="str">
        <f>IF(ISBLANK(Tableau!$AI$45), "LIBRE", "OCCUPÉ")</f>
        <v>LIBRE</v>
      </c>
      <c r="U45" s="52" t="str">
        <f>IF(ISBLANK(Tableau!$AK$45), "LIBRE", "OCCUPÉ")</f>
        <v>LIBRE</v>
      </c>
      <c r="V45" s="52" t="str">
        <f>IF(ISBLANK(Tableau!$AM$45), "LIBRE", "OCCUPÉ")</f>
        <v>LIBRE</v>
      </c>
      <c r="W45" s="52" t="str">
        <f>IF(ISBLANK(Tableau!$AO$45), "LIBRE", "OCCUPÉ")</f>
        <v>LIBRE</v>
      </c>
      <c r="X45" s="52" t="str">
        <f>IF(ISBLANK(Tableau!$AQ$45), "LIBRE", "OCCUPÉ")</f>
        <v>LIBRE</v>
      </c>
      <c r="Y45" s="52" t="str">
        <f>IF(ISBLANK(Tableau!$AS$45), "LIBRE", "OCCUPÉ")</f>
        <v>LIBRE</v>
      </c>
      <c r="Z45" s="52" t="str">
        <f>IF(ISBLANK(Tableau!$AU$45), "LIBRE", "OCCUPÉ")</f>
        <v>LIBRE</v>
      </c>
      <c r="AA45" s="52" t="str">
        <f>IF(ISBLANK(Tableau!$AW$45), "LIBRE", "OCCUPÉ")</f>
        <v>LIBRE</v>
      </c>
      <c r="AB45" s="76" t="str">
        <f>IF(ISBLANK(Tableau!$AY45), "LIBRE", "OCCUPÉ")</f>
        <v>LIBRE</v>
      </c>
      <c r="AC45" s="162"/>
    </row>
    <row r="46" ht="21.75" customHeight="1">
      <c r="A46" s="40">
        <f>Tableau!A46</f>
        <v>220</v>
      </c>
      <c r="B46" s="46" t="str">
        <f>VLOOKUP($A46,LocalisationRemorque,2,0)</f>
        <v>Theux</v>
      </c>
      <c r="C46" s="47" t="str">
        <f>VLOOKUP($A46,LocalisationRemorque,3,0)</f>
        <v>Hautregard Haut</v>
      </c>
      <c r="D46" s="49" t="str">
        <f>CONCATENATE(VLOOKUP($A46,LocalisationRemorque,6,0)," ► ",VLOOKUP($A46,LocalisationRemorque,5,0))</f>
        <v>Aywaille ► Theux</v>
      </c>
      <c r="E46" s="52" t="str">
        <f>IF(ISBLANK(Tableau!$E$46), "LIBRE", "OCCUPÉ")</f>
        <v>LIBRE</v>
      </c>
      <c r="F46" s="52" t="str">
        <f>IF(ISBLANK(Tableau!$G$46), "LIBRE", "OCCUPÉ")</f>
        <v>LIBRE</v>
      </c>
      <c r="G46" s="52" t="str">
        <f>IF(ISBLANK(Tableau!$I$46), "LIBRE", "OCCUPÉ")</f>
        <v>LIBRE</v>
      </c>
      <c r="H46" s="52" t="str">
        <f>IF(ISBLANK(Tableau!$K$46), "LIBRE", "OCCUPÉ")</f>
        <v>LIBRE</v>
      </c>
      <c r="I46" s="52" t="str">
        <f>IF(ISBLANK(Tableau!$M$46), "LIBRE", "OCCUPÉ")</f>
        <v>LIBRE</v>
      </c>
      <c r="J46" s="52" t="str">
        <f>IF(ISBLANK(Tableau!$O$46), "LIBRE", "OCCUPÉ")</f>
        <v>LIBRE</v>
      </c>
      <c r="K46" s="52" t="str">
        <f>IF(ISBLANK(Tableau!$Q$46), "LIBRE", "OCCUPÉ")</f>
        <v>LIBRE</v>
      </c>
      <c r="L46" s="52" t="str">
        <f>IF(ISBLANK(Tableau!$S$46), "LIBRE", "OCCUPÉ")</f>
        <v>LIBRE</v>
      </c>
      <c r="M46" s="54" t="str">
        <f>IF(ISBLANK(Tableau!$U$46), "LIBRE", "OCCUPÉ")</f>
        <v>LIBRE</v>
      </c>
      <c r="N46" s="52" t="str">
        <f>IF(ISBLANK(Tableau!$W$46), "LIBRE", "OCCUPÉ")</f>
        <v>LIBRE</v>
      </c>
      <c r="O46" s="52" t="str">
        <f>IF(ISBLANK(Tableau!$Y$46), "LIBRE", "OCCUPÉ")</f>
        <v>LIBRE</v>
      </c>
      <c r="P46" s="52" t="str">
        <f>IF(ISBLANK(Tableau!$AA$46), "LIBRE", "OCCUPÉ")</f>
        <v>LIBRE</v>
      </c>
      <c r="Q46" s="52" t="str">
        <f>IF(ISBLANK(Tableau!$AC$46), "LIBRE", "OCCUPÉ")</f>
        <v>LIBRE</v>
      </c>
      <c r="R46" s="52" t="str">
        <f>IF(ISBLANK(Tableau!$AE$46), "LIBRE", "OCCUPÉ")</f>
        <v>LIBRE</v>
      </c>
      <c r="S46" s="52" t="str">
        <f>IF(ISBLANK(Tableau!$AG$46), "LIBRE", "OCCUPÉ")</f>
        <v>LIBRE</v>
      </c>
      <c r="T46" s="52" t="str">
        <f>IF(ISBLANK(Tableau!$AI$46), "LIBRE", "OCCUPÉ")</f>
        <v>LIBRE</v>
      </c>
      <c r="U46" s="54" t="str">
        <f>IF(ISBLANK(Tableau!$AK$46), "LIBRE", "OCCUPÉ")</f>
        <v>LIBRE</v>
      </c>
      <c r="V46" s="52" t="str">
        <f>IF(ISBLANK(Tableau!$AM$46), "LIBRE", "OCCUPÉ")</f>
        <v>LIBRE</v>
      </c>
      <c r="W46" s="52" t="str">
        <f>IF(ISBLANK(Tableau!$AO$46), "LIBRE", "OCCUPÉ")</f>
        <v>LIBRE</v>
      </c>
      <c r="X46" s="52" t="str">
        <f>IF(ISBLANK(Tableau!$AQ$46), "LIBRE", "OCCUPÉ")</f>
        <v>LIBRE</v>
      </c>
      <c r="Y46" s="52" t="str">
        <f>IF(ISBLANK(Tableau!$AS$46), "LIBRE", "OCCUPÉ")</f>
        <v>LIBRE</v>
      </c>
      <c r="Z46" s="52" t="str">
        <f>IF(ISBLANK(Tableau!$AU$46), "LIBRE", "OCCUPÉ")</f>
        <v>LIBRE</v>
      </c>
      <c r="AA46" s="52" t="str">
        <f>IF(ISBLANK(Tableau!$AW$46), "LIBRE", "OCCUPÉ")</f>
        <v>LIBRE</v>
      </c>
      <c r="AB46" s="76" t="str">
        <f>IF(ISBLANK(Tableau!$AY46), "LIBRE", "OCCUPÉ")</f>
        <v>LIBRE</v>
      </c>
      <c r="AC46" s="70" t="s">
        <v>17</v>
      </c>
    </row>
    <row r="47" ht="21.75" customHeight="1">
      <c r="A47" s="72">
        <f>Tableau!A47</f>
        <v>221</v>
      </c>
      <c r="B47" s="73" t="str">
        <f>VLOOKUP($A47,LocalisationRemorque,2,0)</f>
        <v>Theux</v>
      </c>
      <c r="C47" s="74" t="str">
        <f>VLOOKUP($A47,LocalisationRemorque,3,0)</f>
        <v>Hautregard Bas</v>
      </c>
      <c r="D47" s="75" t="str">
        <f>CONCATENATE(VLOOKUP($A47,LocalisationRemorque,6,0)," ► ",VLOOKUP($A47,LocalisationRemorque,5,0))</f>
        <v>Aywaille ► Spa</v>
      </c>
      <c r="E47" s="52" t="str">
        <f>IF(ISBLANK(Tableau!$E$47), "LIBRE", "OCCUPÉ")</f>
        <v>LIBRE</v>
      </c>
      <c r="F47" s="52" t="str">
        <f>IF(ISBLANK(Tableau!$G$47), "LIBRE", "OCCUPÉ")</f>
        <v>LIBRE</v>
      </c>
      <c r="G47" s="52" t="str">
        <f>IF(ISBLANK(Tableau!$I$47), "LIBRE", "OCCUPÉ")</f>
        <v>LIBRE</v>
      </c>
      <c r="H47" s="52" t="str">
        <f>IF(ISBLANK(Tableau!$K$47), "LIBRE", "OCCUPÉ")</f>
        <v>LIBRE</v>
      </c>
      <c r="I47" s="54" t="str">
        <f>IF(ISBLANK(Tableau!$M$47), "LIBRE", "OCCUPÉ")</f>
        <v>LIBRE</v>
      </c>
      <c r="J47" s="52" t="str">
        <f>IF(ISBLANK(Tableau!$O$47), "LIBRE", "OCCUPÉ")</f>
        <v>LIBRE</v>
      </c>
      <c r="K47" s="52" t="str">
        <f>IF(ISBLANK(Tableau!$Q$47), "LIBRE", "OCCUPÉ")</f>
        <v>LIBRE</v>
      </c>
      <c r="L47" s="52" t="str">
        <f>IF(ISBLANK(Tableau!$S$47), "LIBRE", "OCCUPÉ")</f>
        <v>LIBRE</v>
      </c>
      <c r="M47" s="54" t="str">
        <f>IF(ISBLANK(Tableau!$U$47), "LIBRE", "OCCUPÉ")</f>
        <v>LIBRE</v>
      </c>
      <c r="N47" s="52" t="str">
        <f>IF(ISBLANK(Tableau!$W$47), "LIBRE", "OCCUPÉ")</f>
        <v>LIBRE</v>
      </c>
      <c r="O47" s="52" t="str">
        <f>IF(ISBLANK(Tableau!$Y$47), "LIBRE", "OCCUPÉ")</f>
        <v>LIBRE</v>
      </c>
      <c r="P47" s="52" t="str">
        <f>IF(ISBLANK(Tableau!$AA$47), "LIBRE", "OCCUPÉ")</f>
        <v>LIBRE</v>
      </c>
      <c r="Q47" s="52" t="str">
        <f>IF(ISBLANK(Tableau!$AC$47), "LIBRE", "OCCUPÉ")</f>
        <v>LIBRE</v>
      </c>
      <c r="R47" s="52" t="str">
        <f>IF(ISBLANK(Tableau!$AE$47), "LIBRE", "OCCUPÉ")</f>
        <v>LIBRE</v>
      </c>
      <c r="S47" s="52" t="str">
        <f>IF(ISBLANK(Tableau!$AG$47), "LIBRE", "OCCUPÉ")</f>
        <v>LIBRE</v>
      </c>
      <c r="T47" s="52" t="str">
        <f>IF(ISBLANK(Tableau!$AI$47), "LIBRE", "OCCUPÉ")</f>
        <v>LIBRE</v>
      </c>
      <c r="U47" s="54" t="str">
        <f>IF(ISBLANK(Tableau!$AK$47), "LIBRE", "OCCUPÉ")</f>
        <v>LIBRE</v>
      </c>
      <c r="V47" s="52" t="str">
        <f>IF(ISBLANK(Tableau!$AM$47), "LIBRE", "OCCUPÉ")</f>
        <v>LIBRE</v>
      </c>
      <c r="W47" s="52" t="str">
        <f>IF(ISBLANK(Tableau!$AO$47), "LIBRE", "OCCUPÉ")</f>
        <v>LIBRE</v>
      </c>
      <c r="X47" s="52" t="str">
        <f>IF(ISBLANK(Tableau!$AQ$47), "LIBRE", "OCCUPÉ")</f>
        <v>LIBRE</v>
      </c>
      <c r="Y47" s="52" t="str">
        <f>IF(ISBLANK(Tableau!$AS$47), "LIBRE", "OCCUPÉ")</f>
        <v>LIBRE</v>
      </c>
      <c r="Z47" s="52" t="str">
        <f>IF(ISBLANK(Tableau!$AU$47), "LIBRE", "OCCUPÉ")</f>
        <v>LIBRE</v>
      </c>
      <c r="AA47" s="52" t="str">
        <f>IF(ISBLANK(Tableau!$AW$47), "LIBRE", "OCCUPÉ")</f>
        <v>LIBRE</v>
      </c>
      <c r="AB47" s="76" t="str">
        <f>IF(ISBLANK(Tableau!$AY47), "LIBRE", "OCCUPÉ")</f>
        <v>LIBRE</v>
      </c>
      <c r="AC47" s="77" t="s">
        <v>17</v>
      </c>
    </row>
    <row r="48" ht="21.75" customHeight="1">
      <c r="A48" s="40">
        <f>Tableau!A48</f>
        <v>226</v>
      </c>
      <c r="B48" s="46" t="str">
        <f>VLOOKUP($A48,LocalisationRemorque,2,0)</f>
        <v>Theux</v>
      </c>
      <c r="C48" s="47" t="str">
        <f>VLOOKUP($A48,LocalisationRemorque,3,0)</f>
        <v>La Reid</v>
      </c>
      <c r="D48" s="49" t="str">
        <f>CONCATENATE(VLOOKUP($A48,LocalisationRemorque,6,0)," ► ",VLOOKUP($A48,LocalisationRemorque,5,0))</f>
        <v>Aywaille ► Spa</v>
      </c>
      <c r="E48" s="54" t="str">
        <f>IF(ISBLANK(Tableau!$E$48), "LIBRE", "OCCUPÉ")</f>
        <v>LIBRE</v>
      </c>
      <c r="F48" s="52" t="str">
        <f>IF(ISBLANK(Tableau!$G$48), "LIBRE", "OCCUPÉ")</f>
        <v>LIBRE</v>
      </c>
      <c r="G48" s="54" t="str">
        <f>IF(ISBLANK(Tableau!$I$48), "LIBRE", "OCCUPÉ")</f>
        <v>LIBRE</v>
      </c>
      <c r="H48" s="52" t="str">
        <f>IF(ISBLANK(Tableau!$K$48), "LIBRE", "OCCUPÉ")</f>
        <v>LIBRE</v>
      </c>
      <c r="I48" s="52" t="str">
        <f>IF(ISBLANK(Tableau!$M$48), "LIBRE", "OCCUPÉ")</f>
        <v>LIBRE</v>
      </c>
      <c r="J48" s="52" t="str">
        <f>IF(ISBLANK(Tableau!$O$48), "LIBRE", "OCCUPÉ")</f>
        <v>LIBRE</v>
      </c>
      <c r="K48" s="54" t="str">
        <f>IF(ISBLANK(Tableau!$Q$48), "LIBRE", "OCCUPÉ")</f>
        <v>LIBRE</v>
      </c>
      <c r="L48" s="52" t="str">
        <f>IF(ISBLANK(Tableau!$S$48), "LIBRE", "OCCUPÉ")</f>
        <v>LIBRE</v>
      </c>
      <c r="M48" s="54" t="str">
        <f>IF(ISBLANK(Tableau!$U$48), "LIBRE", "OCCUPÉ")</f>
        <v>LIBRE</v>
      </c>
      <c r="N48" s="54" t="str">
        <f>IF(ISBLANK(Tableau!$W$48), "LIBRE", "OCCUPÉ")</f>
        <v>LIBRE</v>
      </c>
      <c r="O48" s="52" t="str">
        <f>IF(ISBLANK(Tableau!$Y$48), "LIBRE", "OCCUPÉ")</f>
        <v>LIBRE</v>
      </c>
      <c r="P48" s="52" t="str">
        <f>IF(ISBLANK(Tableau!$AA$48), "LIBRE", "OCCUPÉ")</f>
        <v>LIBRE</v>
      </c>
      <c r="Q48" s="54" t="str">
        <f>IF(ISBLANK(Tableau!$AC$48), "LIBRE", "OCCUPÉ")</f>
        <v>LIBRE</v>
      </c>
      <c r="R48" s="52" t="str">
        <f>IF(ISBLANK(Tableau!$AE$48), "LIBRE", "OCCUPÉ")</f>
        <v>LIBRE</v>
      </c>
      <c r="S48" s="52" t="str">
        <f>IF(ISBLANK(Tableau!$AG$48), "LIBRE", "OCCUPÉ")</f>
        <v>LIBRE</v>
      </c>
      <c r="T48" s="52" t="str">
        <f>IF(ISBLANK(Tableau!$AI$48), "LIBRE", "OCCUPÉ")</f>
        <v>LIBRE</v>
      </c>
      <c r="U48" s="52" t="str">
        <f>IF(ISBLANK(Tableau!$AK$48), "LIBRE", "OCCUPÉ")</f>
        <v>LIBRE</v>
      </c>
      <c r="V48" s="52" t="str">
        <f>IF(ISBLANK(Tableau!$AM$48), "LIBRE", "OCCUPÉ")</f>
        <v>LIBRE</v>
      </c>
      <c r="W48" s="52" t="str">
        <f>IF(ISBLANK(Tableau!$AO$48), "LIBRE", "OCCUPÉ")</f>
        <v>LIBRE</v>
      </c>
      <c r="X48" s="52" t="str">
        <f>IF(ISBLANK(Tableau!$AQ$48), "LIBRE", "OCCUPÉ")</f>
        <v>LIBRE</v>
      </c>
      <c r="Y48" s="52" t="str">
        <f>IF(ISBLANK(Tableau!$AS$48), "LIBRE", "OCCUPÉ")</f>
        <v>LIBRE</v>
      </c>
      <c r="Z48" s="52" t="str">
        <f>IF(ISBLANK(Tableau!$AU$48), "LIBRE", "OCCUPÉ")</f>
        <v>LIBRE</v>
      </c>
      <c r="AA48" s="52" t="str">
        <f>IF(ISBLANK(Tableau!$AW$48), "LIBRE", "OCCUPÉ")</f>
        <v>LIBRE</v>
      </c>
      <c r="AB48" s="76" t="str">
        <f>IF(ISBLANK(Tableau!$AY48), "LIBRE", "OCCUPÉ")</f>
        <v>LIBRE</v>
      </c>
      <c r="AC48" s="70" t="s">
        <v>17</v>
      </c>
    </row>
    <row r="49" ht="21.75" customHeight="1">
      <c r="A49" s="72">
        <f>Tableau!A49</f>
        <v>222</v>
      </c>
      <c r="B49" s="73" t="str">
        <f>VLOOKUP($A49,LocalisationRemorque,2,0)</f>
        <v>Sprimont</v>
      </c>
      <c r="C49" s="74" t="str">
        <f>VLOOKUP($A49,LocalisationRemorque,3,0)</f>
        <v>Sprimont - Theux</v>
      </c>
      <c r="D49" s="75" t="str">
        <f>CONCATENATE(VLOOKUP($A49,LocalisationRemorque,6,0)," ► ",VLOOKUP($A49,LocalisationRemorque,5,0))</f>
        <v>Sprimont ► Theux</v>
      </c>
      <c r="E49" s="52" t="str">
        <f>IF(ISBLANK(Tableau!$E$49), "LIBRE", "OCCUPÉ")</f>
        <v>LIBRE</v>
      </c>
      <c r="F49" s="52" t="str">
        <f>IF(ISBLANK(Tableau!$G$49), "LIBRE", "OCCUPÉ")</f>
        <v>LIBRE</v>
      </c>
      <c r="G49" s="52" t="str">
        <f>IF(ISBLANK(Tableau!$I$49), "LIBRE", "OCCUPÉ")</f>
        <v>LIBRE</v>
      </c>
      <c r="H49" s="52" t="str">
        <f>IF(ISBLANK(Tableau!$K$49), "LIBRE", "OCCUPÉ")</f>
        <v>LIBRE</v>
      </c>
      <c r="I49" s="54" t="str">
        <f>IF(ISBLANK(Tableau!$M$49), "LIBRE", "OCCUPÉ")</f>
        <v>LIBRE</v>
      </c>
      <c r="J49" s="52" t="str">
        <f>IF(ISBLANK(Tableau!$O$49), "LIBRE", "OCCUPÉ")</f>
        <v>LIBRE</v>
      </c>
      <c r="K49" s="54" t="str">
        <f>IF(ISBLANK(Tableau!$Q$49), "LIBRE", "OCCUPÉ")</f>
        <v>LIBRE</v>
      </c>
      <c r="L49" s="54" t="str">
        <f>IF(ISBLANK(Tableau!$S$49), "LIBRE", "OCCUPÉ")</f>
        <v>LIBRE</v>
      </c>
      <c r="M49" s="54" t="str">
        <f>IF(ISBLANK(Tableau!$U$49), "LIBRE", "OCCUPÉ")</f>
        <v>LIBRE</v>
      </c>
      <c r="N49" s="52" t="str">
        <f>IF(ISBLANK(Tableau!$W$49), "LIBRE", "OCCUPÉ")</f>
        <v>LIBRE</v>
      </c>
      <c r="O49" s="54" t="str">
        <f>IF(ISBLANK(Tableau!$Y$49), "LIBRE", "OCCUPÉ")</f>
        <v>LIBRE</v>
      </c>
      <c r="P49" s="52" t="str">
        <f>IF(ISBLANK(Tableau!$AA$49), "LIBRE", "OCCUPÉ")</f>
        <v>LIBRE</v>
      </c>
      <c r="Q49" s="54" t="str">
        <f>IF(ISBLANK(Tableau!$AC$49), "LIBRE", "OCCUPÉ")</f>
        <v>LIBRE</v>
      </c>
      <c r="R49" s="52" t="str">
        <f>IF(ISBLANK(Tableau!$AE$49), "LIBRE", "OCCUPÉ")</f>
        <v>LIBRE</v>
      </c>
      <c r="S49" s="54" t="str">
        <f>IF(ISBLANK(Tableau!$AG$49), "LIBRE", "OCCUPÉ")</f>
        <v>LIBRE</v>
      </c>
      <c r="T49" s="52" t="str">
        <f>IF(ISBLANK(Tableau!$AI$49), "LIBRE", "OCCUPÉ")</f>
        <v>LIBRE</v>
      </c>
      <c r="U49" s="54" t="str">
        <f>IF(ISBLANK(Tableau!$AK$49), "LIBRE", "OCCUPÉ")</f>
        <v>LIBRE</v>
      </c>
      <c r="V49" s="52" t="str">
        <f>IF(ISBLANK(Tableau!$AM$49), "LIBRE", "OCCUPÉ")</f>
        <v>LIBRE</v>
      </c>
      <c r="W49" s="52" t="str">
        <f>IF(ISBLANK(Tableau!$AO$49), "LIBRE", "OCCUPÉ")</f>
        <v>LIBRE</v>
      </c>
      <c r="X49" s="52" t="str">
        <f>IF(ISBLANK(Tableau!$AQ$49), "LIBRE", "OCCUPÉ")</f>
        <v>LIBRE</v>
      </c>
      <c r="Y49" s="54" t="str">
        <f>IF(ISBLANK(Tableau!$AS$49), "LIBRE", "OCCUPÉ")</f>
        <v>LIBRE</v>
      </c>
      <c r="Z49" s="52" t="str">
        <f>IF(ISBLANK(Tableau!$AU$49), "LIBRE", "OCCUPÉ")</f>
        <v>LIBRE</v>
      </c>
      <c r="AA49" s="52" t="str">
        <f>IF(ISBLANK(Tableau!$AW$49), "LIBRE", "OCCUPÉ")</f>
        <v>LIBRE</v>
      </c>
      <c r="AB49" s="76" t="str">
        <f>IF(ISBLANK(Tableau!$AY49), "LIBRE", "OCCUPÉ")</f>
        <v>LIBRE</v>
      </c>
      <c r="AC49" s="77" t="s">
        <v>17</v>
      </c>
    </row>
    <row r="50" ht="21.75" customHeight="1">
      <c r="A50" s="40">
        <f>Tableau!A50</f>
        <v>224</v>
      </c>
      <c r="B50" s="46" t="str">
        <f>VLOOKUP($A50,LocalisationRemorque,2,0)</f>
        <v>Crisnee</v>
      </c>
      <c r="C50" s="47" t="str">
        <f>VLOOKUP($A50,LocalisationRemorque,3,0)</f>
        <v>Station Ledouble</v>
      </c>
      <c r="D50" s="49" t="str">
        <f>CONCATENATE(VLOOKUP($A50,LocalisationRemorque,6,0)," ► ",VLOOKUP($A50,LocalisationRemorque,5,0))</f>
        <v>Saint-Trond ► Liege</v>
      </c>
      <c r="E50" s="52" t="str">
        <f>IF(ISBLANK(Tableau!$E$50), "LIBRE", "OCCUPÉ")</f>
        <v>LIBRE</v>
      </c>
      <c r="F50" s="52" t="str">
        <f>IF(ISBLANK(Tableau!$G$50), "LIBRE", "OCCUPÉ")</f>
        <v>LIBRE</v>
      </c>
      <c r="G50" s="52" t="str">
        <f>IF(ISBLANK(Tableau!$I$50), "LIBRE", "OCCUPÉ")</f>
        <v>LIBRE</v>
      </c>
      <c r="H50" s="52" t="str">
        <f>IF(ISBLANK(Tableau!$K$50), "LIBRE", "OCCUPÉ")</f>
        <v>LIBRE</v>
      </c>
      <c r="I50" s="54" t="str">
        <f>IF(ISBLANK(Tableau!$M$50), "LIBRE", "OCCUPÉ")</f>
        <v>LIBRE</v>
      </c>
      <c r="J50" s="52" t="str">
        <f>IF(ISBLANK(Tableau!$O$50), "LIBRE", "OCCUPÉ")</f>
        <v>LIBRE</v>
      </c>
      <c r="K50" s="52" t="str">
        <f>IF(ISBLANK(Tableau!$Q$50), "LIBRE", "OCCUPÉ")</f>
        <v>LIBRE</v>
      </c>
      <c r="L50" s="52" t="str">
        <f>IF(ISBLANK(Tableau!$S$50), "LIBRE", "OCCUPÉ")</f>
        <v>LIBRE</v>
      </c>
      <c r="M50" s="54" t="str">
        <f>IF(ISBLANK(Tableau!$U$50), "LIBRE", "OCCUPÉ")</f>
        <v>LIBRE</v>
      </c>
      <c r="N50" s="52" t="str">
        <f>IF(ISBLANK(Tableau!$W$50), "LIBRE", "OCCUPÉ")</f>
        <v>LIBRE</v>
      </c>
      <c r="O50" s="52" t="str">
        <f>IF(ISBLANK(Tableau!$Y$50), "LIBRE", "OCCUPÉ")</f>
        <v>LIBRE</v>
      </c>
      <c r="P50" s="52" t="str">
        <f>IF(ISBLANK(Tableau!$AA$50), "LIBRE", "OCCUPÉ")</f>
        <v>LIBRE</v>
      </c>
      <c r="Q50" s="52" t="str">
        <f>IF(ISBLANK(Tableau!$AC$50), "LIBRE", "OCCUPÉ")</f>
        <v>LIBRE</v>
      </c>
      <c r="R50" s="52" t="str">
        <f>IF(ISBLANK(Tableau!$AE$50), "LIBRE", "OCCUPÉ")</f>
        <v>LIBRE</v>
      </c>
      <c r="S50" s="54" t="str">
        <f>IF(ISBLANK(Tableau!$AG$50), "LIBRE", "OCCUPÉ")</f>
        <v>LIBRE</v>
      </c>
      <c r="T50" s="52" t="str">
        <f>IF(ISBLANK(Tableau!$AI$50), "LIBRE", "OCCUPÉ")</f>
        <v>LIBRE</v>
      </c>
      <c r="U50" s="52" t="str">
        <f>IF(ISBLANK(Tableau!$AK$50), "LIBRE", "OCCUPÉ")</f>
        <v>LIBRE</v>
      </c>
      <c r="V50" s="52" t="str">
        <f>IF(ISBLANK(Tableau!$AM$50), "LIBRE", "OCCUPÉ")</f>
        <v>LIBRE</v>
      </c>
      <c r="W50" s="52" t="str">
        <f>IF(ISBLANK(Tableau!$AO$50), "LIBRE", "OCCUPÉ")</f>
        <v>LIBRE</v>
      </c>
      <c r="X50" s="52" t="str">
        <f>IF(ISBLANK(Tableau!$AQ$50), "LIBRE", "OCCUPÉ")</f>
        <v>LIBRE</v>
      </c>
      <c r="Y50" s="52" t="str">
        <f>IF(ISBLANK(Tableau!$AS$50), "LIBRE", "OCCUPÉ")</f>
        <v>LIBRE</v>
      </c>
      <c r="Z50" s="52" t="str">
        <f>IF(ISBLANK(Tableau!$AU$50), "LIBRE", "OCCUPÉ")</f>
        <v>LIBRE</v>
      </c>
      <c r="AA50" s="52" t="str">
        <f>IF(ISBLANK(Tableau!$AW$50), "LIBRE", "OCCUPÉ")</f>
        <v>LIBRE</v>
      </c>
      <c r="AB50" s="76" t="str">
        <f>IF(ISBLANK(Tableau!$AY50), "LIBRE", "OCCUPÉ")</f>
        <v>LIBRE</v>
      </c>
      <c r="AC50" s="70" t="s">
        <v>17</v>
      </c>
    </row>
    <row r="51" ht="21.75" customHeight="1">
      <c r="A51" s="72">
        <f>Tableau!A52</f>
        <v>225</v>
      </c>
      <c r="B51" s="73" t="str">
        <f>VLOOKUP($A51,LocalisationRemorque,2,0)</f>
        <v>Clavier</v>
      </c>
      <c r="C51" s="74" t="str">
        <f>VLOOKUP($A51,LocalisationRemorque,3,0)</f>
        <v>Bois-et-Borsu</v>
      </c>
      <c r="D51" s="75" t="str">
        <f>CONCATENATE(VLOOKUP($A51,LocalisationRemorque,6,0)," ► ",VLOOKUP($A51,LocalisationRemorque,5,0))</f>
        <v>Liège ► Marche-en-Famenne</v>
      </c>
      <c r="E51" s="52" t="str">
        <f>IF(ISBLANK(Tableau!$E$52), "LIBRE", "OCCUPÉ")</f>
        <v>LIBRE</v>
      </c>
      <c r="F51" s="52" t="str">
        <f>IF(ISBLANK(Tableau!$G$52), "LIBRE", "OCCUPÉ")</f>
        <v>LIBRE</v>
      </c>
      <c r="G51" s="52" t="str">
        <f>IF(ISBLANK(Tableau!$I$52), "LIBRE", "OCCUPÉ")</f>
        <v>LIBRE</v>
      </c>
      <c r="H51" s="52" t="str">
        <f>IF(ISBLANK(Tableau!$K$52), "LIBRE", "OCCUPÉ")</f>
        <v>LIBRE</v>
      </c>
      <c r="I51" s="52" t="str">
        <f>IF(ISBLANK(Tableau!$M$52), "LIBRE", "OCCUPÉ")</f>
        <v>LIBRE</v>
      </c>
      <c r="J51" s="52" t="str">
        <f>IF(ISBLANK(Tableau!$O$52), "LIBRE", "OCCUPÉ")</f>
        <v>LIBRE</v>
      </c>
      <c r="K51" s="54" t="str">
        <f>IF(ISBLANK(Tableau!$Q$52), "LIBRE", "OCCUPÉ")</f>
        <v>OCCUPÉ</v>
      </c>
      <c r="L51" s="52" t="str">
        <f>IF(ISBLANK(Tableau!$S$52), "LIBRE", "OCCUPÉ")</f>
        <v>LIBRE</v>
      </c>
      <c r="M51" s="54" t="str">
        <f>IF(ISBLANK(Tableau!$U$52), "LIBRE", "OCCUPÉ")</f>
        <v>LIBRE</v>
      </c>
      <c r="N51" s="54" t="str">
        <f>IF(ISBLANK(Tableau!$W$52), "LIBRE", "OCCUPÉ")</f>
        <v>LIBRE</v>
      </c>
      <c r="O51" s="54" t="str">
        <f>IF(ISBLANK(Tableau!$Y$52), "LIBRE", "OCCUPÉ")</f>
        <v>OCCUPÉ</v>
      </c>
      <c r="P51" s="54" t="str">
        <f>IF(ISBLANK(Tableau!$AA$52), "LIBRE", "OCCUPÉ")</f>
        <v>LIBRE</v>
      </c>
      <c r="Q51" s="54" t="str">
        <f>IF(ISBLANK(Tableau!$AC$52), "LIBRE", "OCCUPÉ")</f>
        <v>OCCUPÉ</v>
      </c>
      <c r="R51" s="52" t="str">
        <f>IF(ISBLANK(Tableau!$AE$52), "LIBRE", "OCCUPÉ")</f>
        <v>LIBRE</v>
      </c>
      <c r="S51" s="54" t="str">
        <f>IF(ISBLANK(Tableau!$AG$52), "LIBRE", "OCCUPÉ")</f>
        <v>LIBRE</v>
      </c>
      <c r="T51" s="52" t="str">
        <f>IF(ISBLANK(Tableau!$AI$52), "LIBRE", "OCCUPÉ")</f>
        <v>LIBRE</v>
      </c>
      <c r="U51" s="54" t="str">
        <f>IF(ISBLANK(Tableau!$AK$52), "LIBRE", "OCCUPÉ")</f>
        <v>OCCUPÉ</v>
      </c>
      <c r="V51" s="54" t="str">
        <f>IF(ISBLANK(Tableau!$AM$52), "LIBRE", "OCCUPÉ")</f>
        <v>LIBRE</v>
      </c>
      <c r="W51" s="54" t="str">
        <f>IF(ISBLANK(Tableau!$AO$52), "LIBRE", "OCCUPÉ")</f>
        <v>LIBRE</v>
      </c>
      <c r="X51" s="52" t="str">
        <f>IF(ISBLANK(Tableau!$AQ$52), "LIBRE", "OCCUPÉ")</f>
        <v>LIBRE</v>
      </c>
      <c r="Y51" s="54" t="str">
        <f>IF(ISBLANK(Tableau!$AS$52), "LIBRE", "OCCUPÉ")</f>
        <v>OCCUPÉ</v>
      </c>
      <c r="Z51" s="52" t="str">
        <f>IF(ISBLANK(Tableau!$AU$52), "LIBRE", "OCCUPÉ")</f>
        <v>LIBRE</v>
      </c>
      <c r="AA51" s="54" t="str">
        <f>IF(ISBLANK(Tableau!$AW$52), "LIBRE", "OCCUPÉ")</f>
        <v>OCCUPÉ</v>
      </c>
      <c r="AB51" s="76" t="str">
        <f>IF(ISBLANK(Tableau!$AY52), "LIBRE", "OCCUPÉ")</f>
        <v>LIBRE</v>
      </c>
      <c r="AC51" s="77" t="s">
        <v>17</v>
      </c>
    </row>
    <row r="52" ht="21.75" customHeight="1">
      <c r="A52" s="114">
        <f>Tableau!A53</f>
        <v>230</v>
      </c>
      <c r="B52" s="115" t="str">
        <f>VLOOKUP($A52,LocalisationRemorque,2,0)</f>
        <v>Stavelot</v>
      </c>
      <c r="C52" s="116" t="str">
        <f>VLOOKUP($A52,LocalisationRemorque,3,0)</f>
        <v>Stavelot</v>
      </c>
      <c r="D52" s="117" t="str">
        <f>CONCATENATE(VLOOKUP($A52,LocalisationRemorque,6,0)," ► ",VLOOKUP($A52,LocalisationRemorque,5,0))</f>
        <v>Malmedy ► Trois-Pont</v>
      </c>
      <c r="E52" s="52" t="str">
        <f>IF(ISBLANK(Tableau!$E$53), "LIBRE", "OCCUPÉ")</f>
        <v>LIBRE</v>
      </c>
      <c r="F52" s="52" t="str">
        <f>IF(ISBLANK(Tableau!$G$53), "LIBRE", "OCCUPÉ")</f>
        <v>LIBRE</v>
      </c>
      <c r="G52" s="52" t="str">
        <f>IF(ISBLANK(Tableau!$I$53), "LIBRE", "OCCUPÉ")</f>
        <v>LIBRE</v>
      </c>
      <c r="H52" s="52" t="str">
        <f>IF(ISBLANK(Tableau!$K$53), "LIBRE", "OCCUPÉ")</f>
        <v>LIBRE</v>
      </c>
      <c r="I52" s="52" t="str">
        <f>IF(ISBLANK(Tableau!$M$53), "LIBRE", "OCCUPÉ")</f>
        <v>LIBRE</v>
      </c>
      <c r="J52" s="52" t="str">
        <f>IF(ISBLANK(Tableau!$O$53), "LIBRE", "OCCUPÉ")</f>
        <v>LIBRE</v>
      </c>
      <c r="K52" s="54" t="str">
        <f>IF(ISBLANK(Tableau!$Q$53), "LIBRE", "OCCUPÉ")</f>
        <v>LIBRE</v>
      </c>
      <c r="L52" s="52" t="str">
        <f>IF(ISBLANK(Tableau!$S$53), "LIBRE", "OCCUPÉ")</f>
        <v>OCCUPÉ</v>
      </c>
      <c r="M52" s="54" t="str">
        <f>IF(ISBLANK(Tableau!$U$53), "LIBRE", "OCCUPÉ")</f>
        <v>LIBRE</v>
      </c>
      <c r="N52" s="54" t="str">
        <f>IF(ISBLANK(Tableau!$W$53), "LIBRE", "OCCUPÉ")</f>
        <v>OCCUPÉ</v>
      </c>
      <c r="O52" s="54" t="str">
        <f>IF(ISBLANK(Tableau!$Y$53), "LIBRE", "OCCUPÉ")</f>
        <v>LIBRE</v>
      </c>
      <c r="P52" s="54" t="str">
        <f>IF(ISBLANK(Tableau!$AA$53), "LIBRE", "OCCUPÉ")</f>
        <v>OCCUPÉ</v>
      </c>
      <c r="Q52" s="54" t="str">
        <f>IF(ISBLANK(Tableau!$AC$53), "LIBRE", "OCCUPÉ")</f>
        <v>OCCUPÉ</v>
      </c>
      <c r="R52" s="52" t="str">
        <f>IF(ISBLANK(Tableau!$AE$53), "LIBRE", "OCCUPÉ")</f>
        <v>LIBRE</v>
      </c>
      <c r="S52" s="54" t="str">
        <f>IF(ISBLANK(Tableau!$AG$53), "LIBRE", "OCCUPÉ")</f>
        <v>OCCUPÉ</v>
      </c>
      <c r="T52" s="52" t="str">
        <f>IF(ISBLANK(Tableau!$AI$53), "LIBRE", "OCCUPÉ")</f>
        <v>LIBRE</v>
      </c>
      <c r="U52" s="54" t="str">
        <f>IF(ISBLANK(Tableau!$AK$53), "LIBRE", "OCCUPÉ")</f>
        <v>LIBRE</v>
      </c>
      <c r="V52" s="54" t="str">
        <f>IF(ISBLANK(Tableau!$AM$53), "LIBRE", "OCCUPÉ")</f>
        <v>LIBRE</v>
      </c>
      <c r="W52" s="54" t="str">
        <f>IF(ISBLANK(Tableau!$AO$53), "LIBRE", "OCCUPÉ")</f>
        <v>OCCUPÉ</v>
      </c>
      <c r="X52" s="52" t="str">
        <f>IF(ISBLANK(Tableau!$AQ$53), "LIBRE", "OCCUPÉ")</f>
        <v>LIBRE</v>
      </c>
      <c r="Y52" s="54" t="str">
        <f>IF(ISBLANK(Tableau!$AS$53), "LIBRE", "OCCUPÉ")</f>
        <v>OCCUPÉ</v>
      </c>
      <c r="Z52" s="52" t="str">
        <f>IF(ISBLANK(Tableau!$AU$53), "LIBRE", "OCCUPÉ")</f>
        <v>LIBRE</v>
      </c>
      <c r="AA52" s="54" t="str">
        <f>IF(ISBLANK(Tableau!$AW$53), "LIBRE", "OCCUPÉ")</f>
        <v>OCCUPÉ</v>
      </c>
      <c r="AB52" s="76" t="str">
        <f>IF(ISBLANK(Tableau!$AY53), "LIBRE", "OCCUPÉ")</f>
        <v>LIBRE</v>
      </c>
      <c r="AC52" s="77" t="s">
        <v>17</v>
      </c>
    </row>
    <row r="53" ht="21.75" hidden="1" customHeight="1">
      <c r="A53" s="114">
        <f>Tableau!A51</f>
        <v>223</v>
      </c>
      <c r="B53" s="121"/>
      <c r="C53" s="121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21"/>
      <c r="AC53" s="120"/>
    </row>
    <row r="54" ht="21.75" hidden="1" customHeight="1">
      <c r="A54" s="114">
        <f>Tableau!A54</f>
        <v>231</v>
      </c>
      <c r="B54" s="121"/>
      <c r="C54" s="121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21"/>
      <c r="AC54" s="120"/>
    </row>
    <row r="55" ht="21.75" hidden="1" customHeight="1">
      <c r="A55" s="114" t="str">
        <f>Tableau!A55</f>
        <v/>
      </c>
      <c r="B55" s="121"/>
      <c r="C55" s="121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21"/>
      <c r="AC55" s="120"/>
    </row>
    <row r="56" ht="21.75" hidden="1" customHeight="1">
      <c r="A56" s="114" t="str">
        <f>Tableau!A56</f>
        <v/>
      </c>
      <c r="B56" s="121"/>
      <c r="C56" s="121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21"/>
      <c r="AC56" s="120"/>
    </row>
    <row r="57" ht="21.75" hidden="1" customHeight="1">
      <c r="A57" s="114" t="str">
        <f>Tableau!A57</f>
        <v/>
      </c>
      <c r="B57" s="121"/>
      <c r="C57" s="121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21"/>
      <c r="AC57" s="120"/>
    </row>
    <row r="58" ht="21.75" hidden="1" customHeight="1">
      <c r="A58" s="114" t="str">
        <f>Tableau!A58</f>
        <v/>
      </c>
      <c r="B58" s="121"/>
      <c r="C58" s="121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21"/>
      <c r="AC58" s="120"/>
    </row>
    <row r="59" ht="21.75" hidden="1" customHeight="1">
      <c r="A59" s="114" t="str">
        <f>Tableau!A59</f>
        <v/>
      </c>
      <c r="B59" s="121"/>
      <c r="C59" s="121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21"/>
      <c r="AC59" s="120"/>
    </row>
    <row r="60" ht="21.75" hidden="1" customHeight="1">
      <c r="A60" s="114" t="str">
        <f>Tableau!A60</f>
        <v/>
      </c>
      <c r="B60" s="121"/>
      <c r="C60" s="121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21"/>
      <c r="AC60" s="120"/>
    </row>
    <row r="61" ht="21.75" hidden="1" customHeight="1">
      <c r="A61" s="114" t="str">
        <f>Tableau!A61</f>
        <v/>
      </c>
      <c r="B61" s="121"/>
      <c r="C61" s="121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21"/>
      <c r="AC61" s="120"/>
    </row>
    <row r="62" ht="21.75" hidden="1" customHeight="1">
      <c r="A62" s="114" t="str">
        <f>Tableau!A62</f>
        <v/>
      </c>
      <c r="B62" s="121"/>
      <c r="C62" s="121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21"/>
      <c r="AC62" s="120"/>
    </row>
    <row r="63" ht="21.75" hidden="1" customHeight="1">
      <c r="A63" s="114" t="str">
        <f>Tableau!A63</f>
        <v/>
      </c>
      <c r="B63" s="121"/>
      <c r="C63" s="121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21"/>
      <c r="AC63" s="120"/>
    </row>
    <row r="64" ht="21.75" hidden="1" customHeight="1">
      <c r="A64" s="114" t="str">
        <f>Tableau!A64</f>
        <v/>
      </c>
      <c r="B64" s="121"/>
      <c r="C64" s="121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21"/>
      <c r="AC64" s="120"/>
    </row>
    <row r="65" ht="21.75" customHeight="1">
      <c r="A65" s="40">
        <f>Tableau!A65</f>
        <v>301</v>
      </c>
      <c r="B65" s="46" t="str">
        <f>VLOOKUP($A65,LocalisationRemorque,2,0)</f>
        <v>Andenne</v>
      </c>
      <c r="C65" s="47" t="str">
        <f>VLOOKUP($A65,LocalisationRemorque,3,0)</f>
        <v>Sclayn pas de garage</v>
      </c>
      <c r="D65" s="49" t="str">
        <f>CONCATENATE(VLOOKUP($A65,LocalisationRemorque,6,0)," ► ",VLOOKUP($A65,LocalisationRemorque,5,0))</f>
        <v>Andenne ► Namur</v>
      </c>
      <c r="E65" s="54" t="str">
        <f>IF(ISBLANK(Tableau!$E$65), "LIBRE", "OCCUPÉ")</f>
        <v>OCCUPÉ</v>
      </c>
      <c r="F65" s="54" t="str">
        <f>IF(ISBLANK(Tableau!$G$65), "LIBRE", "OCCUPÉ")</f>
        <v>LIBRE</v>
      </c>
      <c r="G65" s="52" t="str">
        <f>IF(ISBLANK(Tableau!$I$65), "LIBRE", "OCCUPÉ")</f>
        <v>OCCUPÉ</v>
      </c>
      <c r="H65" s="52" t="str">
        <f>IF(ISBLANK(Tableau!$K$65), "LIBRE", "OCCUPÉ")</f>
        <v>LIBRE</v>
      </c>
      <c r="I65" s="54" t="str">
        <f>IF(ISBLANK(Tableau!$M$65), "LIBRE", "OCCUPÉ")</f>
        <v>OCCUPÉ</v>
      </c>
      <c r="J65" s="54" t="str">
        <f>IF(ISBLANK(Tableau!$O$65), "LIBRE", "OCCUPÉ")</f>
        <v>LIBRE</v>
      </c>
      <c r="K65" s="54" t="str">
        <f>IF(ISBLANK(Tableau!$Q$65), "LIBRE", "OCCUPÉ")</f>
        <v>OCCUPÉ</v>
      </c>
      <c r="L65" s="54" t="str">
        <f>IF(ISBLANK(Tableau!$S$69), "LIBRE", "OCCUPÉ")</f>
        <v>LIBRE</v>
      </c>
      <c r="M65" s="54" t="str">
        <f>IF(ISBLANK(Tableau!$U$65), "LIBRE", "OCCUPÉ")</f>
        <v>OCCUPÉ</v>
      </c>
      <c r="N65" s="54" t="str">
        <f>IF(ISBLANK(Tableau!$W$65), "LIBRE", "OCCUPÉ")</f>
        <v>LIBRE</v>
      </c>
      <c r="O65" s="54" t="str">
        <f>IF(ISBLANK(Tableau!$Y$65), "LIBRE", "OCCUPÉ")</f>
        <v>LIBRE</v>
      </c>
      <c r="P65" s="54" t="str">
        <f>IF(ISBLANK(Tableau!$AA$65), "LIBRE", "OCCUPÉ")</f>
        <v>LIBRE</v>
      </c>
      <c r="Q65" s="54" t="str">
        <f>IF(ISBLANK(Tableau!$AC$65), "LIBRE", "OCCUPÉ")</f>
        <v>LIBRE</v>
      </c>
      <c r="R65" s="54" t="str">
        <f>IF(ISBLANK(Tableau!$AE$65), "LIBRE", "OCCUPÉ")</f>
        <v>LIBRE</v>
      </c>
      <c r="S65" s="54" t="str">
        <f>IF(ISBLANK(Tableau!$AG$65), "LIBRE", "OCCUPÉ")</f>
        <v>LIBRE</v>
      </c>
      <c r="T65" s="52" t="str">
        <f>IF(ISBLANK(Tableau!$AI$65), "LIBRE", "OCCUPÉ")</f>
        <v>LIBRE</v>
      </c>
      <c r="U65" s="54" t="str">
        <f>IF(ISBLANK(Tableau!$AK$65), "LIBRE", "OCCUPÉ")</f>
        <v>LIBRE</v>
      </c>
      <c r="V65" s="52" t="str">
        <f>IF(ISBLANK(Tableau!$AM$65), "LIBRE", "OCCUPÉ")</f>
        <v>LIBRE</v>
      </c>
      <c r="W65" s="52" t="str">
        <f>IF(ISBLANK(Tableau!$AO$65), "LIBRE", "OCCUPÉ")</f>
        <v>LIBRE</v>
      </c>
      <c r="X65" s="52" t="str">
        <f>IF(ISBLANK(Tableau!$AQ$65), "LIBRE", "OCCUPÉ")</f>
        <v>LIBRE</v>
      </c>
      <c r="Y65" s="54" t="str">
        <f>IF(ISBLANK(Tableau!$AS$65), "LIBRE", "OCCUPÉ")</f>
        <v>LIBRE</v>
      </c>
      <c r="Z65" s="54" t="str">
        <f>IF(ISBLANK(Tableau!$AU$65), "LIBRE", "OCCUPÉ")</f>
        <v>LIBRE</v>
      </c>
      <c r="AA65" s="54" t="str">
        <f>IF(ISBLANK(Tableau!$AW$65), "LIBRE", "OCCUPÉ")</f>
        <v>LIBRE</v>
      </c>
      <c r="AB65" s="76" t="str">
        <f>IF(ISBLANK(Tableau!$AY65), "LIBRE", "OCCUPÉ")</f>
        <v>LIBRE</v>
      </c>
      <c r="AC65" s="70" t="s">
        <v>17</v>
      </c>
    </row>
    <row r="66" ht="21.75" hidden="1" customHeight="1">
      <c r="A66" s="72" t="str">
        <f>Tableau!A66</f>
        <v/>
      </c>
      <c r="B66" s="73" t="str">
        <f>VLOOKUP($A66,LocalisationRemorque,2,0)</f>
        <v> Remorque non listée</v>
      </c>
      <c r="C66" s="74" t="str">
        <f>VLOOKUP($A66,LocalisationRemorque,3,0)</f>
        <v/>
      </c>
      <c r="D66" s="75" t="str">
        <f>CONCATENATE(VLOOKUP($A66,LocalisationRemorque,6,0)," ► ",VLOOKUP($A66,LocalisationRemorque,5,0))</f>
        <v> ► </v>
      </c>
      <c r="E66" s="54" t="str">
        <f>IF(ISBLANK(Tableau!$E$66), "LIBRE", "OCCUPÉ")</f>
        <v>LIBRE</v>
      </c>
      <c r="F66" s="54" t="str">
        <f>IF(ISBLANK(Tableau!$G$66), "LIBRE", "OCCUPÉ")</f>
        <v>LIBRE</v>
      </c>
      <c r="G66" s="52" t="str">
        <f>IF(ISBLANK(Tableau!$I$66), "LIBRE", "OCCUPÉ")</f>
        <v>OCCUPÉ</v>
      </c>
      <c r="H66" s="54" t="str">
        <f>IF(ISBLANK(Tableau!$K$66), "LIBRE", "OCCUPÉ")</f>
        <v>LIBRE</v>
      </c>
      <c r="I66" s="54" t="str">
        <f>IF(ISBLANK(Tableau!$M$66), "LIBRE", "OCCUPÉ")</f>
        <v>LIBRE</v>
      </c>
      <c r="J66" s="54" t="str">
        <f>IF(ISBLANK(Tableau!$O$66), "LIBRE", "OCCUPÉ")</f>
        <v>LIBRE</v>
      </c>
      <c r="K66" s="54" t="str">
        <f>IF(ISBLANK(Tableau!$Q$66), "LIBRE", "OCCUPÉ")</f>
        <v>LIBRE</v>
      </c>
      <c r="L66" s="54" t="str">
        <f>IF(ISBLANK(Tableau!$S$66), "LIBRE", "OCCUPÉ")</f>
        <v>LIBRE</v>
      </c>
      <c r="M66" s="54" t="str">
        <f>IF(ISBLANK(Tableau!$U$66), "LIBRE", "OCCUPÉ")</f>
        <v>LIBRE</v>
      </c>
      <c r="N66" s="54" t="str">
        <f>IF(ISBLANK(Tableau!$W$66), "LIBRE", "OCCUPÉ")</f>
        <v>LIBRE</v>
      </c>
      <c r="O66" s="54" t="str">
        <f>IF(ISBLANK(Tableau!$Y$66), "LIBRE", "OCCUPÉ")</f>
        <v>LIBRE</v>
      </c>
      <c r="P66" s="54" t="str">
        <f>IF(ISBLANK(Tableau!$AA$66), "LIBRE", "OCCUPÉ")</f>
        <v>LIBRE</v>
      </c>
      <c r="Q66" s="54" t="str">
        <f>IF(ISBLANK(Tableau!$AC$66), "LIBRE", "OCCUPÉ")</f>
        <v>LIBRE</v>
      </c>
      <c r="R66" s="54" t="str">
        <f>IF(ISBLANK(Tableau!$AE$66), "LIBRE", "OCCUPÉ")</f>
        <v>LIBRE</v>
      </c>
      <c r="S66" s="54" t="str">
        <f>IF(ISBLANK(Tableau!$AG$66), "LIBRE", "OCCUPÉ")</f>
        <v>LIBRE</v>
      </c>
      <c r="T66" s="54" t="str">
        <f>IF(ISBLANK(Tableau!$AI$66), "LIBRE", "OCCUPÉ")</f>
        <v>LIBRE</v>
      </c>
      <c r="U66" s="54" t="str">
        <f>IF(ISBLANK(Tableau!$AK$66), "LIBRE", "OCCUPÉ")</f>
        <v>LIBRE</v>
      </c>
      <c r="V66" s="54" t="str">
        <f>IF(ISBLANK(Tableau!$AM$66), "LIBRE", "OCCUPÉ")</f>
        <v>LIBRE</v>
      </c>
      <c r="W66" s="54" t="str">
        <f>IF(ISBLANK(Tableau!$AO$66), "LIBRE", "OCCUPÉ")</f>
        <v>LIBRE</v>
      </c>
      <c r="X66" s="52" t="str">
        <f>IF(ISBLANK(Tableau!$AQ$66), "LIBRE", "OCCUPÉ")</f>
        <v>LIBRE</v>
      </c>
      <c r="Y66" s="52" t="str">
        <f>IF(ISBLANK(Tableau!$AS$66), "LIBRE", "OCCUPÉ")</f>
        <v>LIBRE</v>
      </c>
      <c r="Z66" s="54" t="str">
        <f>IF(ISBLANK(Tableau!$AU$66), "LIBRE", "OCCUPÉ")</f>
        <v>LIBRE</v>
      </c>
      <c r="AA66" s="54" t="str">
        <f>IF(ISBLANK(Tableau!$AW$66), "LIBRE", "OCCUPÉ")</f>
        <v>LIBRE</v>
      </c>
      <c r="AB66" s="76" t="str">
        <f>IF(ISBLANK(Tableau!$AY66), "LIBRE", "OCCUPÉ")</f>
        <v>LIBRE</v>
      </c>
      <c r="AC66" s="155"/>
    </row>
    <row r="67" ht="21.75" customHeight="1">
      <c r="A67" s="40">
        <f>Tableau!A67</f>
        <v>303</v>
      </c>
      <c r="B67" s="46" t="str">
        <f>VLOOKUP($A67,LocalisationRemorque,2,0)</f>
        <v>Andenne</v>
      </c>
      <c r="C67" s="47" t="str">
        <f>VLOOKUP($A67,LocalisationRemorque,3,0)</f>
        <v>Haute Bise</v>
      </c>
      <c r="D67" s="49" t="str">
        <f>CONCATENATE(VLOOKUP($A67,LocalisationRemorque,6,0)," ► ",VLOOKUP($A67,LocalisationRemorque,5,0))</f>
        <v>Andenne ► Ciney</v>
      </c>
      <c r="E67" s="54" t="str">
        <f>IF(ISBLANK(Tableau!$E$67), "LIBRE", "OCCUPÉ")</f>
        <v>OCCUPÉ</v>
      </c>
      <c r="F67" s="52" t="str">
        <f>IF(ISBLANK(Tableau!$G$67), "LIBRE", "OCCUPÉ")</f>
        <v>LIBRE</v>
      </c>
      <c r="G67" s="52" t="str">
        <f>IF(ISBLANK(Tableau!$I$67), "LIBRE", "OCCUPÉ")</f>
        <v>OCCUPÉ</v>
      </c>
      <c r="H67" s="54" t="str">
        <f>IF(ISBLANK(Tableau!$K$67), "LIBRE", "OCCUPÉ")</f>
        <v>LIBRE</v>
      </c>
      <c r="I67" s="54" t="str">
        <f>IF(ISBLANK(Tableau!$M$67), "LIBRE", "OCCUPÉ")</f>
        <v>OCCUPÉ</v>
      </c>
      <c r="J67" s="54" t="str">
        <f>IF(ISBLANK(Tableau!$O$67), "LIBRE", "OCCUPÉ")</f>
        <v>LIBRE</v>
      </c>
      <c r="K67" s="54" t="str">
        <f>IF(ISBLANK(Tableau!$Q$67), "LIBRE", "OCCUPÉ")</f>
        <v>OCCUPÉ</v>
      </c>
      <c r="L67" s="54" t="str">
        <f>IF(ISBLANK(Tableau!$S$67), "LIBRE", "OCCUPÉ")</f>
        <v>LIBRE</v>
      </c>
      <c r="M67" s="54" t="str">
        <f>IF(ISBLANK(Tableau!$U$67), "LIBRE", "OCCUPÉ")</f>
        <v>OCCUPÉ</v>
      </c>
      <c r="N67" s="54" t="str">
        <f>IF(ISBLANK(Tableau!$W$67), "LIBRE", "OCCUPÉ")</f>
        <v>LIBRE</v>
      </c>
      <c r="O67" s="54" t="str">
        <f>IF(ISBLANK(Tableau!$Y$67), "LIBRE", "OCCUPÉ")</f>
        <v>LIBRE</v>
      </c>
      <c r="P67" s="54" t="str">
        <f>IF(ISBLANK(Tableau!$AA$67), "LIBRE", "OCCUPÉ")</f>
        <v>LIBRE</v>
      </c>
      <c r="Q67" s="54" t="str">
        <f>IF(ISBLANK(Tableau!$AC$67), "LIBRE", "OCCUPÉ")</f>
        <v>LIBRE</v>
      </c>
      <c r="R67" s="52" t="str">
        <f>IF(ISBLANK(Tableau!$AE$67), "LIBRE", "OCCUPÉ")</f>
        <v>LIBRE</v>
      </c>
      <c r="S67" s="54" t="str">
        <f>IF(ISBLANK(Tableau!$AG$67), "LIBRE", "OCCUPÉ")</f>
        <v>LIBRE</v>
      </c>
      <c r="T67" s="54" t="str">
        <f>IF(ISBLANK(Tableau!$AI$67), "LIBRE", "OCCUPÉ")</f>
        <v>LIBRE</v>
      </c>
      <c r="U67" s="54" t="str">
        <f>IF(ISBLANK(Tableau!$AC$67), "LIBRE", "OCCUPÉ")</f>
        <v>LIBRE</v>
      </c>
      <c r="V67" s="52" t="str">
        <f>IF(ISBLANK(Tableau!$AM$67), "LIBRE", "OCCUPÉ")</f>
        <v>LIBRE</v>
      </c>
      <c r="W67" s="52" t="str">
        <f>IF(ISBLANK(Tableau!$AO$67), "LIBRE", "OCCUPÉ")</f>
        <v>LIBRE</v>
      </c>
      <c r="X67" s="52" t="str">
        <f>IF(ISBLANK(Tableau!$AQ$67), "LIBRE", "OCCUPÉ")</f>
        <v>LIBRE</v>
      </c>
      <c r="Y67" s="54" t="str">
        <f>IF(ISBLANK(Tableau!$AS$67), "LIBRE", "OCCUPÉ")</f>
        <v>LIBRE</v>
      </c>
      <c r="Z67" s="52" t="str">
        <f>IF(ISBLANK(Tableau!$AU$67), "LIBRE", "OCCUPÉ")</f>
        <v>LIBRE</v>
      </c>
      <c r="AA67" s="52" t="str">
        <f>IF(ISBLANK(Tableau!$AW$67), "LIBRE", "OCCUPÉ")</f>
        <v>LIBRE</v>
      </c>
      <c r="AB67" s="69" t="str">
        <f>IF(ISBLANK(Tableau!$AY67), "LIBRE", "OCCUPÉ")</f>
        <v>LIBRE</v>
      </c>
      <c r="AC67" s="70" t="s">
        <v>17</v>
      </c>
    </row>
    <row r="68" ht="21.75" customHeight="1">
      <c r="A68" s="72">
        <f>Tableau!A68</f>
        <v>304</v>
      </c>
      <c r="B68" s="73" t="str">
        <f>VLOOKUP($A68,LocalisationRemorque,2,0)</f>
        <v>Andenne</v>
      </c>
      <c r="C68" s="74" t="str">
        <f>VLOOKUP($A68,LocalisationRemorque,3,0)</f>
        <v>Ohey</v>
      </c>
      <c r="D68" s="75" t="str">
        <f>CONCATENATE(VLOOKUP($A68,LocalisationRemorque,6,0)," ► ",VLOOKUP($A68,LocalisationRemorque,5,0))</f>
        <v>Ciney ► Andenne</v>
      </c>
      <c r="E68" s="54" t="str">
        <f>IF(ISBLANK(Tableau!$E$68), "LIBRE", "OCCUPÉ")</f>
        <v>OCCUPÉ</v>
      </c>
      <c r="F68" s="54" t="str">
        <f>IF(ISBLANK(Tableau!$G$68), "LIBRE", "OCCUPÉ")</f>
        <v>LIBRE</v>
      </c>
      <c r="G68" s="54" t="str">
        <f>IF(ISBLANK(Tableau!$I$68), "LIBRE", "OCCUPÉ")</f>
        <v>OCCUPÉ</v>
      </c>
      <c r="H68" s="52" t="str">
        <f>IF(ISBLANK(Tableau!$K$68), "LIBRE", "OCCUPÉ")</f>
        <v>LIBRE</v>
      </c>
      <c r="I68" s="54" t="str">
        <f>IF(ISBLANK(Tableau!$M$68), "LIBRE", "OCCUPÉ")</f>
        <v>OCCUPÉ</v>
      </c>
      <c r="J68" s="54" t="str">
        <f>IF(ISBLANK(Tableau!$O$68), "LIBRE", "OCCUPÉ")</f>
        <v>LIBRE</v>
      </c>
      <c r="K68" s="54" t="str">
        <f>IF(ISBLANK(Tableau!$Q$68), "LIBRE", "OCCUPÉ")</f>
        <v>OCCUPÉ</v>
      </c>
      <c r="L68" s="54" t="str">
        <f>IF(ISBLANK(Tableau!$S$68), "LIBRE", "OCCUPÉ")</f>
        <v>LIBRE</v>
      </c>
      <c r="M68" s="54" t="str">
        <f>IF(ISBLANK(Tableau!$U$68), "LIBRE", "OCCUPÉ")</f>
        <v>OCCUPÉ</v>
      </c>
      <c r="N68" s="54" t="str">
        <f>IF(ISBLANK(Tableau!$W$68), "LIBRE", "OCCUPÉ")</f>
        <v>LIBRE</v>
      </c>
      <c r="O68" s="54" t="str">
        <f>IF(ISBLANK(Tableau!$Y$68), "LIBRE", "OCCUPÉ")</f>
        <v>LIBRE</v>
      </c>
      <c r="P68" s="54" t="str">
        <f>IF(ISBLANK(Tableau!$AA$68), "LIBRE", "OCCUPÉ")</f>
        <v>LIBRE</v>
      </c>
      <c r="Q68" s="54" t="str">
        <f>IF(ISBLANK(Tableau!$AC$68), "LIBRE", "OCCUPÉ")</f>
        <v>LIBRE</v>
      </c>
      <c r="R68" s="52" t="str">
        <f>IF(ISBLANK(Tableau!$AE$68), "LIBRE", "OCCUPÉ")</f>
        <v>LIBRE</v>
      </c>
      <c r="S68" s="54" t="str">
        <f>IF(ISBLANK(Tableau!$AG$68), "LIBRE", "OCCUPÉ")</f>
        <v>LIBRE</v>
      </c>
      <c r="T68" s="52" t="str">
        <f>IF(ISBLANK(Tableau!$AI$68), "LIBRE", "OCCUPÉ")</f>
        <v>LIBRE</v>
      </c>
      <c r="U68" s="54" t="str">
        <f>IF(ISBLANK(Tableau!$AK$68), "LIBRE", "OCCUPÉ")</f>
        <v>LIBRE</v>
      </c>
      <c r="V68" s="54" t="str">
        <f>IF(ISBLANK(Tableau!$AM$68), "LIBRE", "OCCUPÉ")</f>
        <v>LIBRE</v>
      </c>
      <c r="W68" s="54" t="str">
        <f>IF(ISBLANK(Tableau!$AO$68), "LIBRE", "OCCUPÉ")</f>
        <v>LIBRE</v>
      </c>
      <c r="X68" s="52" t="str">
        <f>IF(ISBLANK(Tableau!$AQ$68), "LIBRE", "OCCUPÉ")</f>
        <v>LIBRE</v>
      </c>
      <c r="Y68" s="52" t="str">
        <f>IF(ISBLANK(Tableau!$AS$68), "LIBRE", "OCCUPÉ")</f>
        <v>LIBRE</v>
      </c>
      <c r="Z68" s="52" t="str">
        <f>IF(ISBLANK(Tableau!$AU$68), "LIBRE", "OCCUPÉ")</f>
        <v>LIBRE</v>
      </c>
      <c r="AA68" s="54" t="str">
        <f>IF(ISBLANK(Tableau!$AW$68), "LIBRE", "OCCUPÉ")</f>
        <v>LIBRE</v>
      </c>
      <c r="AB68" s="76" t="str">
        <f>IF(ISBLANK(Tableau!$AY68), "LIBRE", "OCCUPÉ")</f>
        <v>LIBRE</v>
      </c>
      <c r="AC68" s="77" t="s">
        <v>17</v>
      </c>
    </row>
    <row r="69" ht="21.75" customHeight="1">
      <c r="A69" s="40">
        <f>Tableau!A69</f>
        <v>305</v>
      </c>
      <c r="B69" s="46" t="str">
        <f>VLOOKUP($A69,LocalisationRemorque,2,0)</f>
        <v>Andenne</v>
      </c>
      <c r="C69" s="47" t="str">
        <f>VLOOKUP($A69,LocalisationRemorque,3,0)</f>
        <v>Bierwart</v>
      </c>
      <c r="D69" s="49" t="str">
        <f>CONCATENATE(VLOOKUP($A69,LocalisationRemorque,6,0)," ► ",VLOOKUP($A69,LocalisationRemorque,5,0))</f>
        <v>Hannut ► Fernelmont</v>
      </c>
      <c r="E69" s="52" t="str">
        <f>IF(ISBLANK(Tableau!$E$69), "LIBRE", "OCCUPÉ")</f>
        <v>LIBRE</v>
      </c>
      <c r="F69" s="54" t="str">
        <f>IF(ISBLANK(Tableau!$G$69), "LIBRE", "OCCUPÉ")</f>
        <v>LIBRE</v>
      </c>
      <c r="G69" s="52" t="str">
        <f>IF(ISBLANK(Tableau!$I$69), "LIBRE", "OCCUPÉ")</f>
        <v>LIBRE</v>
      </c>
      <c r="H69" s="52" t="str">
        <f>IF(ISBLANK(Tableau!$K$69), "LIBRE", "OCCUPÉ")</f>
        <v>LIBRE</v>
      </c>
      <c r="I69" s="54" t="str">
        <f>IF(ISBLANK(Tableau!$M$69), "LIBRE", "OCCUPÉ")</f>
        <v>LIBRE</v>
      </c>
      <c r="J69" s="54" t="str">
        <f>IF(ISBLANK(Tableau!$O$69), "LIBRE", "OCCUPÉ")</f>
        <v>LIBRE</v>
      </c>
      <c r="K69" s="54" t="str">
        <f>IF(ISBLANK(Tableau!$Q$69), "LIBRE", "OCCUPÉ")</f>
        <v>LIBRE</v>
      </c>
      <c r="L69" s="54" t="str">
        <f>IF(ISBLANK(Tableau!$S$69), "LIBRE", "OCCUPÉ")</f>
        <v>LIBRE</v>
      </c>
      <c r="M69" s="54" t="str">
        <f>IF(ISBLANK(Tableau!$U$69), "LIBRE", "OCCUPÉ")</f>
        <v>LIBRE</v>
      </c>
      <c r="N69" s="54" t="str">
        <f>IF(ISBLANK(Tableau!$W$69), "LIBRE", "OCCUPÉ")</f>
        <v>LIBRE</v>
      </c>
      <c r="O69" s="54" t="str">
        <f>IF(ISBLANK(Tableau!$Y$69), "LIBRE", "OCCUPÉ")</f>
        <v>LIBRE</v>
      </c>
      <c r="P69" s="54" t="str">
        <f>IF(ISBLANK(Tableau!$AA$69), "LIBRE", "OCCUPÉ")</f>
        <v>LIBRE</v>
      </c>
      <c r="Q69" s="54" t="str">
        <f>IF(ISBLANK(Tableau!$AC$69), "LIBRE", "OCCUPÉ")</f>
        <v>LIBRE</v>
      </c>
      <c r="R69" s="52" t="str">
        <f>IF(ISBLANK(Tableau!$AE$69), "LIBRE", "OCCUPÉ")</f>
        <v>LIBRE</v>
      </c>
      <c r="S69" s="52" t="str">
        <f>IF(ISBLANK(Tableau!$AG$69), "LIBRE", "OCCUPÉ")</f>
        <v>LIBRE</v>
      </c>
      <c r="T69" s="52" t="str">
        <f>IF(ISBLANK(Tableau!$AI$69), "LIBRE", "OCCUPÉ")</f>
        <v>LIBRE</v>
      </c>
      <c r="U69" s="54" t="str">
        <f>IF(ISBLANK(Tableau!$AK$69), "LIBRE", "OCCUPÉ")</f>
        <v>LIBRE</v>
      </c>
      <c r="V69" s="52" t="str">
        <f>IF(ISBLANK(Tableau!$AM$69), "LIBRE", "OCCUPÉ")</f>
        <v>LIBRE</v>
      </c>
      <c r="W69" s="54" t="str">
        <f>IF(ISBLANK(Tableau!$AO$69), "LIBRE", "OCCUPÉ")</f>
        <v>LIBRE</v>
      </c>
      <c r="X69" s="54" t="str">
        <f>IF(ISBLANK(Tableau!$AQ$69), "LIBRE", "OCCUPÉ")</f>
        <v>LIBRE</v>
      </c>
      <c r="Y69" s="54" t="str">
        <f>IF(ISBLANK(Tableau!$AS$69), "LIBRE", "OCCUPÉ")</f>
        <v>LIBRE</v>
      </c>
      <c r="Z69" s="52" t="str">
        <f>IF(ISBLANK(Tableau!$AU$69), "LIBRE", "OCCUPÉ")</f>
        <v>LIBRE</v>
      </c>
      <c r="AA69" s="52" t="str">
        <f>IF(ISBLANK(Tableau!$AW$69), "LIBRE", "OCCUPÉ")</f>
        <v>LIBRE</v>
      </c>
      <c r="AB69" s="76" t="str">
        <f>IF(ISBLANK(Tableau!$AY69), "LIBRE", "OCCUPÉ")</f>
        <v>LIBRE</v>
      </c>
      <c r="AC69" s="70" t="s">
        <v>17</v>
      </c>
    </row>
    <row r="70" ht="21.75" customHeight="1">
      <c r="A70" s="72">
        <f>Tableau!A70</f>
        <v>306</v>
      </c>
      <c r="B70" s="73" t="str">
        <f>VLOOKUP($A70,LocalisationRemorque,2,0)</f>
        <v>Beauraing</v>
      </c>
      <c r="C70" s="74" t="str">
        <f>VLOOKUP($A70,LocalisationRemorque,3,0)</f>
        <v>Focant</v>
      </c>
      <c r="D70" s="75" t="str">
        <f>CONCATENATE(VLOOKUP($A70,LocalisationRemorque,6,0)," ► ",VLOOKUP($A70,LocalisationRemorque,5,0))</f>
        <v>Beauraing ► Rochefort</v>
      </c>
      <c r="E70" s="54" t="str">
        <f>IF(ISBLANK(Tableau!$E$70), "LIBRE", "OCCUPÉ")</f>
        <v>LIBRE</v>
      </c>
      <c r="F70" s="52" t="str">
        <f>IF(ISBLANK(Tableau!$G$70), "LIBRE", "OCCUPÉ")</f>
        <v>LIBRE</v>
      </c>
      <c r="G70" s="54" t="str">
        <f>IF(ISBLANK(Tableau!$I$70), "LIBRE", "OCCUPÉ")</f>
        <v>LIBRE</v>
      </c>
      <c r="H70" s="54" t="str">
        <f>IF(ISBLANK(Tableau!$K$70), "LIBRE", "OCCUPÉ")</f>
        <v>LIBRE</v>
      </c>
      <c r="I70" s="54" t="str">
        <f>IF(ISBLANK(Tableau!$M$70), "LIBRE", "OCCUPÉ")</f>
        <v>LIBRE</v>
      </c>
      <c r="J70" s="54" t="str">
        <f>IF(ISBLANK(Tableau!$O$70), "LIBRE", "OCCUPÉ")</f>
        <v>LIBRE</v>
      </c>
      <c r="K70" s="54" t="str">
        <f>IF(ISBLANK(Tableau!$Q$70), "LIBRE", "OCCUPÉ")</f>
        <v>LIBRE</v>
      </c>
      <c r="L70" s="54" t="str">
        <f>IF(ISBLANK(Tableau!$S$70), "LIBRE", "OCCUPÉ")</f>
        <v>LIBRE</v>
      </c>
      <c r="M70" s="54" t="str">
        <f>IF(ISBLANK(Tableau!$U$70), "LIBRE", "OCCUPÉ")</f>
        <v>LIBRE</v>
      </c>
      <c r="N70" s="54" t="str">
        <f>IF(ISBLANK(Tableau!$W$70), "LIBRE", "OCCUPÉ")</f>
        <v>LIBRE</v>
      </c>
      <c r="O70" s="54" t="str">
        <f>IF(ISBLANK(Tableau!$Y$70), "LIBRE", "OCCUPÉ")</f>
        <v>LIBRE</v>
      </c>
      <c r="P70" s="52" t="str">
        <f>IF(ISBLANK(Tableau!$AA$70), "LIBRE", "OCCUPÉ")</f>
        <v>LIBRE</v>
      </c>
      <c r="Q70" s="54" t="str">
        <f>IF(ISBLANK(Tableau!$AC$70), "LIBRE", "OCCUPÉ")</f>
        <v>LIBRE</v>
      </c>
      <c r="R70" s="52" t="str">
        <f>IF(ISBLANK(Tableau!$AE$70), "LIBRE", "OCCUPÉ")</f>
        <v>LIBRE</v>
      </c>
      <c r="S70" s="52" t="str">
        <f>IF(ISBLANK(Tableau!$AG$70), "LIBRE", "OCCUPÉ")</f>
        <v>LIBRE</v>
      </c>
      <c r="T70" s="52" t="str">
        <f>IF(ISBLANK(Tableau!$AI$70), "LIBRE", "OCCUPÉ")</f>
        <v>LIBRE</v>
      </c>
      <c r="U70" s="52" t="str">
        <f>IF(ISBLANK(Tableau!$AK$70), "LIBRE", "OCCUPÉ")</f>
        <v>LIBRE</v>
      </c>
      <c r="V70" s="52" t="str">
        <f>IF(ISBLANK(Tableau!$AM$70), "LIBRE", "OCCUPÉ")</f>
        <v>LIBRE</v>
      </c>
      <c r="W70" s="52" t="str">
        <f>IF(ISBLANK(Tableau!$AO$70), "LIBRE", "OCCUPÉ")</f>
        <v>LIBRE</v>
      </c>
      <c r="X70" s="52" t="str">
        <f>IF(ISBLANK(Tableau!$AQ$70), "LIBRE", "OCCUPÉ")</f>
        <v>LIBRE</v>
      </c>
      <c r="Y70" s="52" t="str">
        <f>IF(ISBLANK(Tableau!$AS$70), "LIBRE", "OCCUPÉ")</f>
        <v>LIBRE</v>
      </c>
      <c r="Z70" s="52" t="str">
        <f>IF(ISBLANK(Tableau!$AU$70), "LIBRE", "OCCUPÉ")</f>
        <v>LIBRE</v>
      </c>
      <c r="AA70" s="54" t="str">
        <f>IF(ISBLANK(Tableau!$AW$70), "LIBRE", "OCCUPÉ")</f>
        <v>LIBRE</v>
      </c>
      <c r="AB70" s="76" t="str">
        <f>IF(ISBLANK(Tableau!$AY70), "LIBRE", "OCCUPÉ")</f>
        <v>LIBRE</v>
      </c>
      <c r="AC70" s="77" t="s">
        <v>17</v>
      </c>
    </row>
    <row r="71" ht="21.75" customHeight="1">
      <c r="A71" s="40">
        <f>Tableau!A71</f>
        <v>307</v>
      </c>
      <c r="B71" s="46" t="str">
        <f>VLOOKUP($A71,LocalisationRemorque,2,0)</f>
        <v>Hamois</v>
      </c>
      <c r="C71" s="47" t="str">
        <f>VLOOKUP($A71,LocalisationRemorque,3,0)</f>
        <v>Hamois</v>
      </c>
      <c r="D71" s="49" t="str">
        <f>CONCATENATE(VLOOKUP($A71,LocalisationRemorque,6,0)," ► ",VLOOKUP($A71,LocalisationRemorque,5,0))</f>
        <v>Ciney ► Havelange</v>
      </c>
      <c r="E71" s="54" t="str">
        <f>IF(ISBLANK(Tableau!$E$71), "LIBRE", "OCCUPÉ")</f>
        <v>LIBRE</v>
      </c>
      <c r="F71" s="54" t="str">
        <f>IF(ISBLANK(Tableau!$G$71), "LIBRE", "OCCUPÉ")</f>
        <v>LIBRE</v>
      </c>
      <c r="G71" s="54" t="str">
        <f>IF(ISBLANK(Tableau!$I$71), "LIBRE", "OCCUPÉ")</f>
        <v>LIBRE</v>
      </c>
      <c r="H71" s="52" t="str">
        <f>IF(ISBLANK(Tableau!$K$71), "LIBRE", "OCCUPÉ")</f>
        <v>LIBRE</v>
      </c>
      <c r="I71" s="54" t="str">
        <f>IF(ISBLANK(Tableau!$M$71), "LIBRE", "OCCUPÉ")</f>
        <v>LIBRE</v>
      </c>
      <c r="J71" s="54" t="str">
        <f>IF(ISBLANK(Tableau!$O$71), "LIBRE", "OCCUPÉ")</f>
        <v>LIBRE</v>
      </c>
      <c r="K71" s="54" t="str">
        <f>IF(ISBLANK(Tableau!$Q$71), "LIBRE", "OCCUPÉ")</f>
        <v>LIBRE</v>
      </c>
      <c r="L71" s="54" t="str">
        <f>IF(ISBLANK(Tableau!$S$71), "LIBRE", "OCCUPÉ")</f>
        <v>LIBRE</v>
      </c>
      <c r="M71" s="54" t="str">
        <f>IF(ISBLANK(Tableau!$U$71), "LIBRE", "OCCUPÉ")</f>
        <v>LIBRE</v>
      </c>
      <c r="N71" s="54" t="str">
        <f>IF(ISBLANK(Tableau!$W$71), "LIBRE", "OCCUPÉ")</f>
        <v>LIBRE</v>
      </c>
      <c r="O71" s="54" t="str">
        <f>IF(ISBLANK(Tableau!$Y$71), "LIBRE", "OCCUPÉ")</f>
        <v>LIBRE</v>
      </c>
      <c r="P71" s="54" t="str">
        <f>IF(ISBLANK(Tableau!$AA$71), "LIBRE", "OCCUPÉ")</f>
        <v>LIBRE</v>
      </c>
      <c r="Q71" s="54" t="str">
        <f>IF(ISBLANK(Tableau!$AC$71), "LIBRE", "OCCUPÉ")</f>
        <v>LIBRE</v>
      </c>
      <c r="R71" s="52" t="str">
        <f>IF(ISBLANK(Tableau!$AE$71), "LIBRE", "OCCUPÉ")</f>
        <v>OCCUPÉ</v>
      </c>
      <c r="S71" s="54" t="str">
        <f>IF(ISBLANK(Tableau!$AG$71), "LIBRE", "OCCUPÉ")</f>
        <v>LIBRE</v>
      </c>
      <c r="T71" s="52" t="str">
        <f>IF(ISBLANK(Tableau!$AI$71), "LIBRE", "OCCUPÉ")</f>
        <v>LIBRE</v>
      </c>
      <c r="U71" s="54" t="str">
        <f>IF(ISBLANK(Tableau!$AK$71), "LIBRE", "OCCUPÉ")</f>
        <v>LIBRE</v>
      </c>
      <c r="V71" s="54" t="str">
        <f>IF(ISBLANK(Tableau!$AM$71), "LIBRE", "OCCUPÉ")</f>
        <v>LIBRE</v>
      </c>
      <c r="W71" s="52" t="str">
        <f>IF(ISBLANK(Tableau!$AO$71), "LIBRE", "OCCUPÉ")</f>
        <v>LIBRE</v>
      </c>
      <c r="X71" s="54" t="str">
        <f>IF(ISBLANK(Tableau!$AQ$71), "LIBRE", "OCCUPÉ")</f>
        <v>LIBRE</v>
      </c>
      <c r="Y71" s="52" t="str">
        <f>IF(ISBLANK(Tableau!$AS$71), "LIBRE", "OCCUPÉ")</f>
        <v>LIBRE</v>
      </c>
      <c r="Z71" s="52" t="str">
        <f>IF(ISBLANK(Tableau!$AU$71), "LIBRE", "OCCUPÉ")</f>
        <v>LIBRE</v>
      </c>
      <c r="AA71" s="52" t="str">
        <f>IF(ISBLANK(Tableau!$AW$71), "LIBRE", "OCCUPÉ")</f>
        <v>LIBRE</v>
      </c>
      <c r="AB71" s="76" t="str">
        <f>IF(ISBLANK(Tableau!$AY71), "LIBRE", "OCCUPÉ")</f>
        <v>LIBRE</v>
      </c>
      <c r="AC71" s="70" t="s">
        <v>17</v>
      </c>
    </row>
    <row r="72" ht="21.75" customHeight="1">
      <c r="A72" s="72">
        <f>Tableau!A72</f>
        <v>367</v>
      </c>
      <c r="B72" s="73" t="str">
        <f>VLOOKUP($A72,LocalisationRemorque,2,0)</f>
        <v>Hamois</v>
      </c>
      <c r="C72" s="74" t="str">
        <f>VLOOKUP($A72,LocalisationRemorque,3,0)</f>
        <v>Hamois 2</v>
      </c>
      <c r="D72" s="75" t="str">
        <f>CONCATENATE(VLOOKUP($A72,LocalisationRemorque,6,0)," ► ",VLOOKUP($A72,LocalisationRemorque,5,0))</f>
        <v>Havelange ► Ciney</v>
      </c>
      <c r="E72" s="54" t="str">
        <f>IF(ISBLANK(Tableau!$E$72), "LIBRE", "OCCUPÉ")</f>
        <v>LIBRE</v>
      </c>
      <c r="F72" s="52" t="str">
        <f>IF(ISBLANK(Tableau!$G$72), "LIBRE", "OCCUPÉ")</f>
        <v>LIBRE</v>
      </c>
      <c r="G72" s="52" t="str">
        <f>IF(ISBLANK(Tableau!$I$72), "LIBRE", "OCCUPÉ")</f>
        <v>LIBRE</v>
      </c>
      <c r="H72" s="52" t="str">
        <f>IF(ISBLANK(Tableau!$K$72), "LIBRE", "OCCUPÉ")</f>
        <v>LIBRE</v>
      </c>
      <c r="I72" s="54" t="str">
        <f>IF(ISBLANK(Tableau!$M$72), "LIBRE", "OCCUPÉ")</f>
        <v>LIBRE</v>
      </c>
      <c r="J72" s="52" t="str">
        <f>IF(ISBLANK(Tableau!$O$72), "LIBRE", "OCCUPÉ")</f>
        <v>LIBRE</v>
      </c>
      <c r="K72" s="54" t="str">
        <f>IF(ISBLANK(Tableau!$Q$72), "LIBRE", "OCCUPÉ")</f>
        <v>LIBRE</v>
      </c>
      <c r="L72" s="52" t="str">
        <f>IF(ISBLANK(Tableau!$S$72), "LIBRE", "OCCUPÉ")</f>
        <v>LIBRE</v>
      </c>
      <c r="M72" s="54" t="str">
        <f>IF(ISBLANK(Tableau!$U$72), "LIBRE", "OCCUPÉ")</f>
        <v>LIBRE</v>
      </c>
      <c r="N72" s="52" t="str">
        <f>IF(ISBLANK(Tableau!$W$72), "LIBRE", "OCCUPÉ")</f>
        <v>LIBRE</v>
      </c>
      <c r="O72" s="54" t="str">
        <f>IF(ISBLANK(Tableau!$Y$72), "LIBRE", "OCCUPÉ")</f>
        <v>LIBRE</v>
      </c>
      <c r="P72" s="54" t="str">
        <f>IF(ISBLANK(Tableau!$AA$72), "LIBRE", "OCCUPÉ")</f>
        <v>LIBRE</v>
      </c>
      <c r="Q72" s="54" t="str">
        <f>IF(ISBLANK(Tableau!$AC$72), "LIBRE", "OCCUPÉ")</f>
        <v>LIBRE</v>
      </c>
      <c r="R72" s="52" t="str">
        <f>IF(ISBLANK(Tableau!$AE$72), "LIBRE", "OCCUPÉ")</f>
        <v>LIBRE</v>
      </c>
      <c r="S72" s="52" t="str">
        <f>IF(ISBLANK(Tableau!$AG$72), "LIBRE", "OCCUPÉ")</f>
        <v>LIBRE</v>
      </c>
      <c r="T72" s="54" t="str">
        <f>IF(ISBLANK(Tableau!$AI$72), "LIBRE", "OCCUPÉ")</f>
        <v>LIBRE</v>
      </c>
      <c r="U72" s="54" t="str">
        <f>IF(ISBLANK(Tableau!$AK$72), "LIBRE", "OCCUPÉ")</f>
        <v>LIBRE</v>
      </c>
      <c r="V72" s="52" t="str">
        <f>IF(ISBLANK(Tableau!$AM$72), "LIBRE", "OCCUPÉ")</f>
        <v>LIBRE</v>
      </c>
      <c r="W72" s="54" t="str">
        <f>IF(ISBLANK(Tableau!$AO$72), "LIBRE", "OCCUPÉ")</f>
        <v>LIBRE</v>
      </c>
      <c r="X72" s="54" t="str">
        <f>IF(ISBLANK(Tableau!$AQ$72), "LIBRE", "OCCUPÉ")</f>
        <v>LIBRE</v>
      </c>
      <c r="Y72" s="54" t="str">
        <f>IF(ISBLANK(Tableau!$AS$72), "LIBRE", "OCCUPÉ")</f>
        <v>LIBRE</v>
      </c>
      <c r="Z72" s="54" t="str">
        <f>IF(ISBLANK(Tableau!$AU$72), "LIBRE", "OCCUPÉ")</f>
        <v>LIBRE</v>
      </c>
      <c r="AA72" s="52" t="str">
        <f>IF(ISBLANK(Tableau!$AW$72), "LIBRE", "OCCUPÉ")</f>
        <v>OCCUPÉ</v>
      </c>
      <c r="AB72" s="69" t="str">
        <f>IF(ISBLANK(Tableau!$AY72), "LIBRE", "OCCUPÉ")</f>
        <v>LIBRE</v>
      </c>
      <c r="AC72" s="77" t="s">
        <v>17</v>
      </c>
    </row>
    <row r="73" ht="21.75" customHeight="1">
      <c r="A73" s="40">
        <f>Tableau!A73</f>
        <v>308</v>
      </c>
      <c r="B73" s="46" t="str">
        <f>VLOOKUP($A73,LocalisationRemorque,2,0)</f>
        <v>Ciney</v>
      </c>
      <c r="C73" s="47" t="str">
        <f>VLOOKUP($A73,LocalisationRemorque,3,0)</f>
        <v>Barcène</v>
      </c>
      <c r="D73" s="49" t="str">
        <f>CONCATENATE(VLOOKUP($A73,LocalisationRemorque,6,0)," ► ",VLOOKUP($A73,LocalisationRemorque,5,0))</f>
        <v>Rochefort ► Ciney</v>
      </c>
      <c r="E73" s="54" t="str">
        <f>IF(ISBLANK(Tableau!$E$73), "LIBRE", "OCCUPÉ")</f>
        <v>LIBRE</v>
      </c>
      <c r="F73" s="52" t="str">
        <f>IF(ISBLANK(Tableau!$G$73), "LIBRE", "OCCUPÉ")</f>
        <v>LIBRE</v>
      </c>
      <c r="G73" s="52" t="str">
        <f>IF(ISBLANK(Tableau!$I$73), "LIBRE", "OCCUPÉ")</f>
        <v>LIBRE</v>
      </c>
      <c r="H73" s="54" t="str">
        <f>IF(ISBLANK(Tableau!$K$73), "LIBRE", "OCCUPÉ")</f>
        <v>LIBRE</v>
      </c>
      <c r="I73" s="52" t="str">
        <f>IF(ISBLANK(Tableau!$M$73), "LIBRE", "OCCUPÉ")</f>
        <v>LIBRE</v>
      </c>
      <c r="J73" s="54" t="str">
        <f>IF(ISBLANK(Tableau!$O$73), "LIBRE", "OCCUPÉ")</f>
        <v>LIBRE</v>
      </c>
      <c r="K73" s="54" t="str">
        <f>IF(ISBLANK(Tableau!$Q$73), "LIBRE", "OCCUPÉ")</f>
        <v>LIBRE</v>
      </c>
      <c r="L73" s="54" t="str">
        <f>IF(ISBLANK(Tableau!$S$73), "LIBRE", "OCCUPÉ")</f>
        <v>LIBRE</v>
      </c>
      <c r="M73" s="54" t="str">
        <f>IF(ISBLANK(Tableau!$U$73), "LIBRE", "OCCUPÉ")</f>
        <v>LIBRE</v>
      </c>
      <c r="N73" s="54" t="str">
        <f>IF(ISBLANK(Tableau!$W$73), "LIBRE", "OCCUPÉ")</f>
        <v>LIBRE</v>
      </c>
      <c r="O73" s="54" t="str">
        <f>IF(ISBLANK(Tableau!$Y$73), "LIBRE", "OCCUPÉ")</f>
        <v>LIBRE</v>
      </c>
      <c r="P73" s="52" t="str">
        <f>IF(ISBLANK(Tableau!$AA$73), "LIBRE", "OCCUPÉ")</f>
        <v>LIBRE</v>
      </c>
      <c r="Q73" s="54" t="str">
        <f>IF(ISBLANK(Tableau!$AC$73), "LIBRE", "OCCUPÉ")</f>
        <v>LIBRE</v>
      </c>
      <c r="R73" s="52" t="str">
        <f>IF(ISBLANK(Tableau!$AE$73), "LIBRE", "OCCUPÉ")</f>
        <v>LIBRE</v>
      </c>
      <c r="S73" s="52" t="str">
        <f>IF(ISBLANK(Tableau!$AG$73), "LIBRE", "OCCUPÉ")</f>
        <v>LIBRE</v>
      </c>
      <c r="T73" s="52" t="str">
        <f>IF(ISBLANK(Tableau!$AI$73), "LIBRE", "OCCUPÉ")</f>
        <v>LIBRE</v>
      </c>
      <c r="U73" s="52" t="str">
        <f>IF(ISBLANK(Tableau!$AK$73), "LIBRE", "OCCUPÉ")</f>
        <v>LIBRE</v>
      </c>
      <c r="V73" s="52" t="str">
        <f>IF(ISBLANK(Tableau!$AM$73), "LIBRE", "OCCUPÉ")</f>
        <v>LIBRE</v>
      </c>
      <c r="W73" s="54" t="str">
        <f>IF(ISBLANK(Tableau!$AO$73), "LIBRE", "OCCUPÉ")</f>
        <v>LIBRE</v>
      </c>
      <c r="X73" s="52" t="str">
        <f>IF(ISBLANK(Tableau!$AQ$73), "LIBRE", "OCCUPÉ")</f>
        <v>LIBRE</v>
      </c>
      <c r="Y73" s="52" t="str">
        <f>IF(ISBLANK(Tableau!$AS$73), "LIBRE", "OCCUPÉ")</f>
        <v>LIBRE</v>
      </c>
      <c r="Z73" s="52" t="str">
        <f>IF(ISBLANK(Tableau!$AU$73), "LIBRE", "OCCUPÉ")</f>
        <v>LIBRE</v>
      </c>
      <c r="AA73" s="54" t="str">
        <f>IF(ISBLANK(Tableau!$AW$73), "LIBRE", "OCCUPÉ")</f>
        <v>LIBRE</v>
      </c>
      <c r="AB73" s="76" t="str">
        <f>IF(ISBLANK(Tableau!$AY73), "LIBRE", "OCCUPÉ")</f>
        <v>LIBRE</v>
      </c>
      <c r="AC73" s="70" t="s">
        <v>17</v>
      </c>
    </row>
    <row r="74" ht="21.75" customHeight="1">
      <c r="A74" s="72">
        <f>Tableau!A74</f>
        <v>319</v>
      </c>
      <c r="B74" s="73" t="str">
        <f>VLOOKUP($A74,LocalisationRemorque,2,0)</f>
        <v>Ciney</v>
      </c>
      <c r="C74" s="74" t="str">
        <f>VLOOKUP($A74,LocalisationRemorque,3,0)</f>
        <v>Lienne Haut</v>
      </c>
      <c r="D74" s="75" t="str">
        <f>CONCATENATE(VLOOKUP($A74,LocalisationRemorque,6,0)," ► ",VLOOKUP($A74,LocalisationRemorque,5,0))</f>
        <v>Ciney ► Andenne</v>
      </c>
      <c r="E74" s="54" t="str">
        <f>IF(ISBLANK(Tableau!$E$74), "LIBRE", "OCCUPÉ")</f>
        <v>LIBRE</v>
      </c>
      <c r="F74" s="54" t="str">
        <f>IF(ISBLANK(Tableau!$G$74), "LIBRE", "OCCUPÉ")</f>
        <v>LIBRE</v>
      </c>
      <c r="G74" s="54" t="str">
        <f>IF(ISBLANK(Tableau!$I$74), "LIBRE", "OCCUPÉ")</f>
        <v>LIBRE</v>
      </c>
      <c r="H74" s="54" t="str">
        <f>IF(ISBLANK(Tableau!$K$74), "LIBRE", "OCCUPÉ")</f>
        <v>LIBRE</v>
      </c>
      <c r="I74" s="54" t="str">
        <f>IF(ISBLANK(Tableau!$M$74), "LIBRE", "OCCUPÉ")</f>
        <v>LIBRE</v>
      </c>
      <c r="J74" s="54" t="str">
        <f>IF(ISBLANK(Tableau!$O$74), "LIBRE", "OCCUPÉ")</f>
        <v>LIBRE</v>
      </c>
      <c r="K74" s="54" t="str">
        <f>IF(ISBLANK(Tableau!$Q$74), "LIBRE", "OCCUPÉ")</f>
        <v>LIBRE</v>
      </c>
      <c r="L74" s="54" t="str">
        <f>IF(ISBLANK(Tableau!$S$74), "LIBRE", "OCCUPÉ")</f>
        <v>LIBRE</v>
      </c>
      <c r="M74" s="54" t="str">
        <f>IF(ISBLANK(Tableau!$U$74), "LIBRE", "OCCUPÉ")</f>
        <v>LIBRE</v>
      </c>
      <c r="N74" s="54" t="str">
        <f>IF(ISBLANK(Tableau!$W$74), "LIBRE", "OCCUPÉ")</f>
        <v>LIBRE</v>
      </c>
      <c r="O74" s="54" t="str">
        <f>IF(ISBLANK(Tableau!$Y$74), "LIBRE", "OCCUPÉ")</f>
        <v>LIBRE</v>
      </c>
      <c r="P74" s="54" t="str">
        <f>IF(ISBLANK(Tableau!$AA$74), "LIBRE", "OCCUPÉ")</f>
        <v>LIBRE</v>
      </c>
      <c r="Q74" s="54" t="str">
        <f>IF(ISBLANK(Tableau!$AC$74), "LIBRE", "OCCUPÉ")</f>
        <v>LIBRE</v>
      </c>
      <c r="R74" s="54" t="str">
        <f>IF(ISBLANK(Tableau!$AE$74), "LIBRE", "OCCUPÉ")</f>
        <v>LIBRE</v>
      </c>
      <c r="S74" s="54" t="str">
        <f>IF(ISBLANK(Tableau!$AG$74), "LIBRE", "OCCUPÉ")</f>
        <v>LIBRE</v>
      </c>
      <c r="T74" s="54" t="str">
        <f>IF(ISBLANK(Tableau!$AI$74), "LIBRE", "OCCUPÉ")</f>
        <v>LIBRE</v>
      </c>
      <c r="U74" s="54" t="str">
        <f>IF(ISBLANK(Tableau!$AK$74), "LIBRE", "OCCUPÉ")</f>
        <v>LIBRE</v>
      </c>
      <c r="V74" s="54" t="str">
        <f>IF(ISBLANK(Tableau!$AM$74), "LIBRE", "OCCUPÉ")</f>
        <v>LIBRE</v>
      </c>
      <c r="W74" s="54" t="str">
        <f>IF(ISBLANK(Tableau!$AO$74), "LIBRE", "OCCUPÉ")</f>
        <v>LIBRE</v>
      </c>
      <c r="X74" s="54" t="str">
        <f>IF(ISBLANK(Tableau!$AQ$74), "LIBRE", "OCCUPÉ")</f>
        <v>LIBRE</v>
      </c>
      <c r="Y74" s="54" t="str">
        <f>IF(ISBLANK(Tableau!$AS$74), "LIBRE", "OCCUPÉ")</f>
        <v>LIBRE</v>
      </c>
      <c r="Z74" s="54" t="str">
        <f>IF(ISBLANK(Tableau!$AU$74), "LIBRE", "OCCUPÉ")</f>
        <v>LIBRE</v>
      </c>
      <c r="AA74" s="54" t="str">
        <f>IF(ISBLANK(Tableau!$AW$74), "LIBRE", "OCCUPÉ")</f>
        <v>LIBRE</v>
      </c>
      <c r="AB74" s="69" t="str">
        <f>IF(ISBLANK(Tableau!$AY74), "LIBRE", "OCCUPÉ")</f>
        <v>LIBRE</v>
      </c>
      <c r="AC74" s="77" t="s">
        <v>17</v>
      </c>
    </row>
    <row r="75" ht="21.75" customHeight="1">
      <c r="A75" s="40">
        <f>Tableau!A75</f>
        <v>309</v>
      </c>
      <c r="B75" s="46" t="str">
        <f>VLOOKUP($A75,LocalisationRemorque,2,0)</f>
        <v>Ciney</v>
      </c>
      <c r="C75" s="47" t="str">
        <f>VLOOKUP($A75,LocalisationRemorque,3,0)</f>
        <v>Lienne Bas</v>
      </c>
      <c r="D75" s="49" t="str">
        <f>CONCATENATE(VLOOKUP($A75,LocalisationRemorque,6,0)," ► ",VLOOKUP($A75,LocalisationRemorque,5,0))</f>
        <v>Andenne ► Ciney Centre</v>
      </c>
      <c r="E75" s="54" t="str">
        <f>IF(ISBLANK(Tableau!$E$75), "LIBRE", "OCCUPÉ")</f>
        <v>LIBRE</v>
      </c>
      <c r="F75" s="54" t="str">
        <f>IF(ISBLANK(Tableau!$G$75), "LIBRE", "OCCUPÉ")</f>
        <v>LIBRE</v>
      </c>
      <c r="G75" s="54" t="str">
        <f>IF(ISBLANK(Tableau!$I$75), "LIBRE", "OCCUPÉ")</f>
        <v>LIBRE</v>
      </c>
      <c r="H75" s="52" t="str">
        <f>IF(ISBLANK(Tableau!$K$75), "LIBRE", "OCCUPÉ")</f>
        <v>LIBRE</v>
      </c>
      <c r="I75" s="54" t="str">
        <f>IF(ISBLANK(Tableau!$M$75), "LIBRE", "OCCUPÉ")</f>
        <v>LIBRE</v>
      </c>
      <c r="J75" s="54" t="str">
        <f>IF(ISBLANK(Tableau!$O$75), "LIBRE", "OCCUPÉ")</f>
        <v>LIBRE</v>
      </c>
      <c r="K75" s="54" t="str">
        <f>IF(ISBLANK(Tableau!$Q$75), "LIBRE", "OCCUPÉ")</f>
        <v>LIBRE</v>
      </c>
      <c r="L75" s="54" t="str">
        <f>IF(ISBLANK(Tableau!$S$75), "LIBRE", "OCCUPÉ")</f>
        <v>LIBRE</v>
      </c>
      <c r="M75" s="54" t="str">
        <f>IF(ISBLANK(Tableau!$U$75), "LIBRE", "OCCUPÉ")</f>
        <v>LIBRE</v>
      </c>
      <c r="N75" s="54" t="str">
        <f>IF(ISBLANK(Tableau!$W$75), "LIBRE", "OCCUPÉ")</f>
        <v>LIBRE</v>
      </c>
      <c r="O75" s="54" t="str">
        <f>IF(ISBLANK(Tableau!$Y$75), "LIBRE", "OCCUPÉ")</f>
        <v>LIBRE</v>
      </c>
      <c r="P75" s="54" t="str">
        <f>IF(ISBLANK(Tableau!$AA$75), "LIBRE", "OCCUPÉ")</f>
        <v>LIBRE</v>
      </c>
      <c r="Q75" s="54" t="str">
        <f>IF(ISBLANK(Tableau!$AC$75), "LIBRE", "OCCUPÉ")</f>
        <v>LIBRE</v>
      </c>
      <c r="R75" s="52" t="str">
        <f>IF(ISBLANK(Tableau!$AE$75), "LIBRE", "OCCUPÉ")</f>
        <v>LIBRE</v>
      </c>
      <c r="S75" s="52" t="str">
        <f>IF(ISBLANK(Tableau!$AG$75), "LIBRE", "OCCUPÉ")</f>
        <v>LIBRE</v>
      </c>
      <c r="T75" s="52" t="str">
        <f>IF(ISBLANK(Tableau!$AI$75), "LIBRE", "OCCUPÉ")</f>
        <v>LIBRE</v>
      </c>
      <c r="U75" s="54" t="str">
        <f>IF(ISBLANK(Tableau!$AK$75), "LIBRE", "OCCUPÉ")</f>
        <v>LIBRE</v>
      </c>
      <c r="V75" s="54" t="str">
        <f>IF(ISBLANK(Tableau!$AM$75), "LIBRE", "OCCUPÉ")</f>
        <v>LIBRE</v>
      </c>
      <c r="W75" s="54" t="str">
        <f>IF(ISBLANK(Tableau!$AO$75), "LIBRE", "OCCUPÉ")</f>
        <v>LIBRE</v>
      </c>
      <c r="X75" s="52" t="str">
        <f>IF(ISBLANK(Tableau!$AQ$75), "LIBRE", "OCCUPÉ")</f>
        <v>LIBRE</v>
      </c>
      <c r="Y75" s="54" t="str">
        <f>IF(ISBLANK(Tableau!$AS$75), "LIBRE", "OCCUPÉ")</f>
        <v>LIBRE</v>
      </c>
      <c r="Z75" s="52" t="str">
        <f>IF(ISBLANK(Tableau!$AU$75), "LIBRE", "OCCUPÉ")</f>
        <v>LIBRE</v>
      </c>
      <c r="AA75" s="52" t="str">
        <f>IF(ISBLANK(Tableau!$AW$75), "LIBRE", "OCCUPÉ")</f>
        <v>LIBRE</v>
      </c>
      <c r="AB75" s="76" t="str">
        <f>IF(ISBLANK(Tableau!$AY75), "LIBRE", "OCCUPÉ")</f>
        <v>LIBRE</v>
      </c>
      <c r="AC75" s="70" t="s">
        <v>17</v>
      </c>
    </row>
    <row r="76" ht="21.75" customHeight="1">
      <c r="A76" s="72">
        <f>Tableau!A76</f>
        <v>310</v>
      </c>
      <c r="B76" s="73" t="str">
        <f>VLOOKUP($A76,LocalisationRemorque,2,0)</f>
        <v>Ciney</v>
      </c>
      <c r="C76" s="74" t="str">
        <f>VLOOKUP($A76,LocalisationRemorque,3,0)</f>
        <v>Biron Bas</v>
      </c>
      <c r="D76" s="75" t="str">
        <f>CONCATENATE(VLOOKUP($A76,LocalisationRemorque,6,0)," ► ",VLOOKUP($A76,LocalisationRemorque,5,0))</f>
        <v>Ciney ► N4</v>
      </c>
      <c r="E76" s="54" t="str">
        <f>IF(ISBLANK(Tableau!$E$76), "LIBRE", "OCCUPÉ")</f>
        <v>LIBRE</v>
      </c>
      <c r="F76" s="52" t="str">
        <f>IF(ISBLANK(Tableau!$G$76), "LIBRE", "OCCUPÉ")</f>
        <v>LIBRE</v>
      </c>
      <c r="G76" s="54" t="str">
        <f>IF(ISBLANK(Tableau!$I$76), "LIBRE", "OCCUPÉ")</f>
        <v>LIBRE</v>
      </c>
      <c r="H76" s="54" t="str">
        <f>IF(ISBLANK(Tableau!$K$76), "LIBRE", "OCCUPÉ")</f>
        <v>LIBRE</v>
      </c>
      <c r="I76" s="54" t="str">
        <f>IF(ISBLANK(Tableau!$M$76), "LIBRE", "OCCUPÉ")</f>
        <v>LIBRE</v>
      </c>
      <c r="J76" s="54" t="str">
        <f>IF(ISBLANK(Tableau!$O$76), "LIBRE", "OCCUPÉ")</f>
        <v>LIBRE</v>
      </c>
      <c r="K76" s="54" t="str">
        <f>IF(ISBLANK(Tableau!$Q$76), "LIBRE", "OCCUPÉ")</f>
        <v>LIBRE</v>
      </c>
      <c r="L76" s="54" t="str">
        <f>IF(ISBLANK(Tableau!$S$76), "LIBRE", "OCCUPÉ")</f>
        <v>LIBRE</v>
      </c>
      <c r="M76" s="54" t="str">
        <f>IF(ISBLANK(Tableau!$U$76), "LIBRE", "OCCUPÉ")</f>
        <v>LIBRE</v>
      </c>
      <c r="N76" s="54" t="str">
        <f>IF(ISBLANK(Tableau!$W$76), "LIBRE", "OCCUPÉ")</f>
        <v>LIBRE</v>
      </c>
      <c r="O76" s="54" t="str">
        <f>IF(ISBLANK(Tableau!$Y$76), "LIBRE", "OCCUPÉ")</f>
        <v>LIBRE</v>
      </c>
      <c r="P76" s="54" t="str">
        <f>IF(ISBLANK(Tableau!$AA$76), "LIBRE", "OCCUPÉ")</f>
        <v>LIBRE</v>
      </c>
      <c r="Q76" s="52" t="str">
        <f>IF(ISBLANK(Tableau!$AC$76), "LIBRE", "OCCUPÉ")</f>
        <v>LIBRE</v>
      </c>
      <c r="R76" s="52" t="str">
        <f>IF(ISBLANK(Tableau!$AE$76), "LIBRE", "OCCUPÉ")</f>
        <v>LIBRE</v>
      </c>
      <c r="S76" s="52" t="str">
        <f>IF(ISBLANK(Tableau!$AG$76), "LIBRE", "OCCUPÉ")</f>
        <v>LIBRE</v>
      </c>
      <c r="T76" s="52" t="str">
        <f>IF(ISBLANK(Tableau!$AI$76), "LIBRE", "OCCUPÉ")</f>
        <v>LIBRE</v>
      </c>
      <c r="U76" s="54" t="str">
        <f>IF(ISBLANK(Tableau!$AK$76), "LIBRE", "OCCUPÉ")</f>
        <v>LIBRE</v>
      </c>
      <c r="V76" s="52" t="str">
        <f>IF(ISBLANK(Tableau!$AM$76), "LIBRE", "OCCUPÉ")</f>
        <v>OCCUPÉ</v>
      </c>
      <c r="W76" s="54" t="str">
        <f>IF(ISBLANK(Tableau!$AO$76), "LIBRE", "OCCUPÉ")</f>
        <v>LIBRE</v>
      </c>
      <c r="X76" s="54" t="str">
        <f>IF(ISBLANK(Tableau!$AQ$76), "LIBRE", "OCCUPÉ")</f>
        <v>LIBRE</v>
      </c>
      <c r="Y76" s="52" t="str">
        <f>IF(ISBLANK(Tableau!$AS$76), "LIBRE", "OCCUPÉ")</f>
        <v>LIBRE</v>
      </c>
      <c r="Z76" s="52" t="str">
        <f>IF(ISBLANK(Tableau!$AU$76), "LIBRE", "OCCUPÉ")</f>
        <v>LIBRE</v>
      </c>
      <c r="AA76" s="52" t="str">
        <f>IF(ISBLANK(Tableau!$AW$76), "LIBRE", "OCCUPÉ")</f>
        <v>LIBRE</v>
      </c>
      <c r="AB76" s="76" t="str">
        <f>IF(ISBLANK(Tableau!$AY76), "LIBRE", "OCCUPÉ")</f>
        <v>LIBRE</v>
      </c>
      <c r="AC76" s="77" t="s">
        <v>17</v>
      </c>
    </row>
    <row r="77" ht="21.75" customHeight="1">
      <c r="A77" s="40">
        <f>Tableau!A77</f>
        <v>311</v>
      </c>
      <c r="B77" s="46" t="str">
        <f>VLOOKUP($A77,LocalisationRemorque,2,0)</f>
        <v>Ciney</v>
      </c>
      <c r="C77" s="47" t="str">
        <f>VLOOKUP($A77,LocalisationRemorque,3,0)</f>
        <v>N4 Sanseau</v>
      </c>
      <c r="D77" s="49" t="str">
        <f>CONCATENATE(VLOOKUP($A77,LocalisationRemorque,6,0)," ► ",VLOOKUP($A77,LocalisationRemorque,5,0))</f>
        <v>Namur ► Marche-en-Famenne</v>
      </c>
      <c r="E77" s="54" t="str">
        <f>IF(ISBLANK(Tableau!$E$77), "LIBRE", "OCCUPÉ")</f>
        <v>LIBRE</v>
      </c>
      <c r="F77" s="54" t="str">
        <f>IF(ISBLANK(Tableau!$G$77), "LIBRE", "OCCUPÉ")</f>
        <v>LIBRE</v>
      </c>
      <c r="G77" s="54" t="str">
        <f>IF(ISBLANK(Tableau!$I$77), "LIBRE", "OCCUPÉ")</f>
        <v>LIBRE</v>
      </c>
      <c r="H77" s="54" t="str">
        <f>IF(ISBLANK(Tableau!$K$77), "LIBRE", "OCCUPÉ")</f>
        <v>LIBRE</v>
      </c>
      <c r="I77" s="52" t="str">
        <f>IF(ISBLANK(Tableau!$M$77), "LIBRE", "OCCUPÉ")</f>
        <v>LIBRE</v>
      </c>
      <c r="J77" s="54" t="str">
        <f>IF(ISBLANK(Tableau!$O$77), "LIBRE", "OCCUPÉ")</f>
        <v>LIBRE</v>
      </c>
      <c r="K77" s="54" t="str">
        <f>IF(ISBLANK(Tableau!$Q$77), "LIBRE", "OCCUPÉ")</f>
        <v>OCCUPÉ</v>
      </c>
      <c r="L77" s="54" t="str">
        <f>IF(ISBLANK(Tableau!$S$77), "LIBRE", "OCCUPÉ")</f>
        <v>LIBRE</v>
      </c>
      <c r="M77" s="54" t="str">
        <f>IF(ISBLANK(Tableau!$U$77), "LIBRE", "OCCUPÉ")</f>
        <v>LIBRE</v>
      </c>
      <c r="N77" s="54" t="str">
        <f>IF(ISBLANK(Tableau!$W$77), "LIBRE", "OCCUPÉ")</f>
        <v>LIBRE</v>
      </c>
      <c r="O77" s="54" t="str">
        <f>IF(ISBLANK(Tableau!$Y$77), "LIBRE", "OCCUPÉ")</f>
        <v>OCCUPÉ</v>
      </c>
      <c r="P77" s="52" t="str">
        <f>IF(ISBLANK(Tableau!$AA$77), "LIBRE", "OCCUPÉ")</f>
        <v>LIBRE</v>
      </c>
      <c r="Q77" s="54" t="str">
        <f>IF(ISBLANK(Tableau!$AC$77), "LIBRE", "OCCUPÉ")</f>
        <v>LIBRE</v>
      </c>
      <c r="R77" s="52" t="str">
        <f>IF(ISBLANK(Tableau!$AE$77), "LIBRE", "OCCUPÉ")</f>
        <v>LIBRE</v>
      </c>
      <c r="S77" s="52" t="str">
        <f>IF(ISBLANK(Tableau!$AG$77), "LIBRE", "OCCUPÉ")</f>
        <v>LIBRE</v>
      </c>
      <c r="T77" s="52" t="str">
        <f>IF(ISBLANK(Tableau!$AI$77), "LIBRE", "OCCUPÉ")</f>
        <v>LIBRE</v>
      </c>
      <c r="U77" s="52" t="str">
        <f>IF(ISBLANK(Tableau!$AK$77), "LIBRE", "OCCUPÉ")</f>
        <v>LIBRE</v>
      </c>
      <c r="V77" s="52" t="str">
        <f>IF(ISBLANK(Tableau!$AM$77), "LIBRE", "OCCUPÉ")</f>
        <v>LIBRE</v>
      </c>
      <c r="W77" s="52" t="str">
        <f>IF(ISBLANK(Tableau!$AO$77), "LIBRE", "OCCUPÉ")</f>
        <v>LIBRE</v>
      </c>
      <c r="X77" s="52" t="str">
        <f>IF(ISBLANK(Tableau!$AQ$77), "LIBRE", "OCCUPÉ")</f>
        <v>LIBRE</v>
      </c>
      <c r="Y77" s="52" t="str">
        <f>IF(ISBLANK(Tableau!$AS$77), "LIBRE", "OCCUPÉ")</f>
        <v>OCCUPÉ</v>
      </c>
      <c r="Z77" s="52" t="str">
        <f>IF(ISBLANK(Tableau!$AU$77), "LIBRE", "OCCUPÉ")</f>
        <v>LIBRE</v>
      </c>
      <c r="AA77" s="52" t="str">
        <f>IF(ISBLANK(Tableau!$AW$77), "LIBRE", "OCCUPÉ")</f>
        <v>LIBRE</v>
      </c>
      <c r="AB77" s="76" t="str">
        <f>IF(ISBLANK(Tableau!$AY77), "LIBRE", "OCCUPÉ")</f>
        <v>LIBRE</v>
      </c>
      <c r="AC77" s="70" t="s">
        <v>17</v>
      </c>
    </row>
    <row r="78" ht="21.75" customHeight="1">
      <c r="A78" s="72">
        <f>Tableau!A78</f>
        <v>312</v>
      </c>
      <c r="B78" s="73" t="str">
        <f>VLOOKUP($A78,LocalisationRemorque,2,0)</f>
        <v>Dinant</v>
      </c>
      <c r="C78" s="74" t="str">
        <f>VLOOKUP($A78,LocalisationRemorque,3,0)</f>
        <v>Sorinnes Achêne</v>
      </c>
      <c r="D78" s="75" t="str">
        <f>CONCATENATE(VLOOKUP($A78,LocalisationRemorque,6,0)," ► ",VLOOKUP($A78,LocalisationRemorque,5,0))</f>
        <v>Dinant ► Ciney</v>
      </c>
      <c r="E78" s="54" t="str">
        <f>IF(ISBLANK(Tableau!$E$78), "LIBRE", "OCCUPÉ")</f>
        <v>LIBRE</v>
      </c>
      <c r="F78" s="54" t="str">
        <f>IF(ISBLANK(Tableau!$G$78), "LIBRE", "OCCUPÉ")</f>
        <v>LIBRE</v>
      </c>
      <c r="G78" s="54" t="str">
        <f>IF(ISBLANK(Tableau!$I$78), "LIBRE", "OCCUPÉ")</f>
        <v>LIBRE</v>
      </c>
      <c r="H78" s="52" t="str">
        <f>IF(ISBLANK(Tableau!$K$78), "LIBRE", "OCCUPÉ")</f>
        <v>LIBRE</v>
      </c>
      <c r="I78" s="54" t="str">
        <f>IF(ISBLANK(Tableau!$M$78), "LIBRE", "OCCUPÉ")</f>
        <v>LIBRE</v>
      </c>
      <c r="J78" s="54" t="str">
        <f>IF(ISBLANK(Tableau!$M$78), "LIBRE", "OCCUPÉ")</f>
        <v>LIBRE</v>
      </c>
      <c r="K78" s="54" t="str">
        <f>IF(ISBLANK(Tableau!$Q$78), "LIBRE", "OCCUPÉ")</f>
        <v>LIBRE</v>
      </c>
      <c r="L78" s="54" t="str">
        <f>IF(ISBLANK(Tableau!$S$78), "LIBRE", "OCCUPÉ")</f>
        <v>LIBRE</v>
      </c>
      <c r="M78" s="54" t="str">
        <f>IF(ISBLANK(Tableau!$U$78), "LIBRE", "OCCUPÉ")</f>
        <v>LIBRE</v>
      </c>
      <c r="N78" s="54" t="str">
        <f>IF(ISBLANK(Tableau!$W$78), "LIBRE", "OCCUPÉ")</f>
        <v>LIBRE</v>
      </c>
      <c r="O78" s="54" t="str">
        <f>IF(ISBLANK(Tableau!$Y$78), "LIBRE", "OCCUPÉ")</f>
        <v>LIBRE</v>
      </c>
      <c r="P78" s="54" t="str">
        <f>IF(ISBLANK(Tableau!$AA$78), "LIBRE", "OCCUPÉ")</f>
        <v>LIBRE</v>
      </c>
      <c r="Q78" s="52" t="str">
        <f>IF(ISBLANK(Tableau!$AC$78), "LIBRE", "OCCUPÉ")</f>
        <v>LIBRE</v>
      </c>
      <c r="R78" s="52" t="str">
        <f>IF(ISBLANK(Tableau!$AE$78), "LIBRE", "OCCUPÉ")</f>
        <v>LIBRE</v>
      </c>
      <c r="S78" s="52" t="str">
        <f>IF(ISBLANK(Tableau!$AG$78), "LIBRE", "OCCUPÉ")</f>
        <v>LIBRE</v>
      </c>
      <c r="T78" s="52" t="str">
        <f>IF(ISBLANK(Tableau!$AI$78), "LIBRE", "OCCUPÉ")</f>
        <v>LIBRE</v>
      </c>
      <c r="U78" s="54" t="str">
        <f>IF(ISBLANK(Tableau!$AK$78), "LIBRE", "OCCUPÉ")</f>
        <v>LIBRE</v>
      </c>
      <c r="V78" s="52" t="str">
        <f>IF(ISBLANK(Tableau!$AM$78), "LIBRE", "OCCUPÉ")</f>
        <v>LIBRE</v>
      </c>
      <c r="W78" s="52" t="str">
        <f>IF(ISBLANK(Tableau!$AO$78), "LIBRE", "OCCUPÉ")</f>
        <v>LIBRE</v>
      </c>
      <c r="X78" s="52" t="str">
        <f>IF(ISBLANK(Tableau!$AQ$78), "LIBRE", "OCCUPÉ")</f>
        <v>LIBRE</v>
      </c>
      <c r="Y78" s="52" t="str">
        <f>IF(ISBLANK(Tableau!$AS$78), "LIBRE", "OCCUPÉ")</f>
        <v>LIBRE</v>
      </c>
      <c r="Z78" s="54" t="str">
        <f>IF(ISBLANK(Tableau!$AU$78), "LIBRE", "OCCUPÉ")</f>
        <v>LIBRE</v>
      </c>
      <c r="AA78" s="52" t="str">
        <f>IF(ISBLANK(Tableau!$AW$78), "LIBRE", "OCCUPÉ")</f>
        <v>LIBRE</v>
      </c>
      <c r="AB78" s="76" t="str">
        <f>IF(ISBLANK(Tableau!$AY78), "LIBRE", "OCCUPÉ")</f>
        <v>LIBRE</v>
      </c>
      <c r="AC78" s="77" t="s">
        <v>17</v>
      </c>
    </row>
    <row r="79" ht="21.75" customHeight="1">
      <c r="A79" s="40">
        <f>Tableau!A79</f>
        <v>313</v>
      </c>
      <c r="B79" s="46" t="str">
        <f>VLOOKUP($A79,LocalisationRemorque,2,0)</f>
        <v>Dinant</v>
      </c>
      <c r="C79" s="47" t="str">
        <f>VLOOKUP($A79,LocalisationRemorque,3,0)</f>
        <v>Sorinnes Hopital</v>
      </c>
      <c r="D79" s="49" t="str">
        <f>CONCATENATE(VLOOKUP($A79,LocalisationRemorque,6,0)," ► ",VLOOKUP($A79,LocalisationRemorque,5,0))</f>
        <v>Ciney ► Dinant</v>
      </c>
      <c r="E79" s="54" t="str">
        <f>IF(ISBLANK(Tableau!$E$79), "LIBRE", "OCCUPÉ")</f>
        <v>LIBRE</v>
      </c>
      <c r="F79" s="54" t="str">
        <f>IF(ISBLANK(Tableau!$G$79), "LIBRE", "OCCUPÉ")</f>
        <v>LIBRE</v>
      </c>
      <c r="G79" s="54" t="str">
        <f>IF(ISBLANK(Tableau!$I$79), "LIBRE", "OCCUPÉ")</f>
        <v>LIBRE</v>
      </c>
      <c r="H79" s="54" t="str">
        <f>IF(ISBLANK(Tableau!$K$79), "LIBRE", "OCCUPÉ")</f>
        <v>LIBRE</v>
      </c>
      <c r="I79" s="54" t="str">
        <f>IF(ISBLANK(Tableau!$M$77), "LIBRE", "OCCUPÉ")</f>
        <v>LIBRE</v>
      </c>
      <c r="J79" s="54" t="str">
        <f>IF(ISBLANK(Tableau!$O$79), "LIBRE", "OCCUPÉ")</f>
        <v>LIBRE</v>
      </c>
      <c r="K79" s="54" t="str">
        <f>IF(ISBLANK(Tableau!$Q$79), "LIBRE", "OCCUPÉ")</f>
        <v>LIBRE</v>
      </c>
      <c r="L79" s="54" t="str">
        <f>IF(ISBLANK(Tableau!$S$79), "LIBRE", "OCCUPÉ")</f>
        <v>LIBRE</v>
      </c>
      <c r="M79" s="54" t="str">
        <f>IF(ISBLANK(Tableau!$U$79), "LIBRE", "OCCUPÉ")</f>
        <v>LIBRE</v>
      </c>
      <c r="N79" s="54" t="str">
        <f>IF(ISBLANK(Tableau!$W$79), "LIBRE", "OCCUPÉ")</f>
        <v>LIBRE</v>
      </c>
      <c r="O79" s="54" t="str">
        <f>IF(ISBLANK(Tableau!$Y$79), "LIBRE", "OCCUPÉ")</f>
        <v>LIBRE</v>
      </c>
      <c r="P79" s="54" t="str">
        <f>IF(ISBLANK(Tableau!$AA$79), "LIBRE", "OCCUPÉ")</f>
        <v>LIBRE</v>
      </c>
      <c r="Q79" s="54" t="str">
        <f>IF(ISBLANK(Tableau!$AC$79), "LIBRE", "OCCUPÉ")</f>
        <v>LIBRE</v>
      </c>
      <c r="R79" s="52" t="str">
        <f>IF(ISBLANK(Tableau!$AE$79), "LIBRE", "OCCUPÉ")</f>
        <v>LIBRE</v>
      </c>
      <c r="S79" s="54" t="str">
        <f>IF(ISBLANK(Tableau!$AG$79), "LIBRE", "OCCUPÉ")</f>
        <v>LIBRE</v>
      </c>
      <c r="T79" s="52" t="str">
        <f>IF(ISBLANK(Tableau!$AI$79), "LIBRE", "OCCUPÉ")</f>
        <v>LIBRE</v>
      </c>
      <c r="U79" s="54" t="str">
        <f>IF(ISBLANK(Tableau!$AK$79), "LIBRE", "OCCUPÉ")</f>
        <v>LIBRE</v>
      </c>
      <c r="V79" s="52" t="str">
        <f>IF(ISBLANK(Tableau!$AM$79), "LIBRE", "OCCUPÉ")</f>
        <v>LIBRE</v>
      </c>
      <c r="W79" s="54" t="str">
        <f>IF(ISBLANK(Tableau!$AO$79), "LIBRE", "OCCUPÉ")</f>
        <v>LIBRE</v>
      </c>
      <c r="X79" s="54" t="str">
        <f>IF(ISBLANK(Tableau!$AQ$79), "LIBRE", "OCCUPÉ")</f>
        <v>LIBRE</v>
      </c>
      <c r="Y79" s="52" t="str">
        <f>IF(ISBLANK(Tableau!$AS$79), "LIBRE", "OCCUPÉ")</f>
        <v>LIBRE</v>
      </c>
      <c r="Z79" s="52" t="str">
        <f>IF(ISBLANK(Tableau!$AU$79), "LIBRE", "OCCUPÉ")</f>
        <v>LIBRE</v>
      </c>
      <c r="AA79" s="52" t="str">
        <f>IF(ISBLANK(Tableau!$AW$79), "LIBRE", "OCCUPÉ")</f>
        <v>LIBRE</v>
      </c>
      <c r="AB79" s="76" t="str">
        <f>IF(ISBLANK(Tableau!$AY79), "LIBRE", "OCCUPÉ")</f>
        <v>LIBRE</v>
      </c>
      <c r="AC79" s="70" t="s">
        <v>17</v>
      </c>
    </row>
    <row r="80" ht="21.75" customHeight="1">
      <c r="A80" s="72">
        <f>Tableau!A80</f>
        <v>314</v>
      </c>
      <c r="B80" s="73" t="str">
        <f>VLOOKUP($A80,LocalisationRemorque,2,0)</f>
        <v>Dinant</v>
      </c>
      <c r="C80" s="74" t="str">
        <f>VLOOKUP($A80,LocalisationRemorque,3,0)</f>
        <v>Sorinnes Hopital 2</v>
      </c>
      <c r="D80" s="75" t="str">
        <f>CONCATENATE(VLOOKUP($A80,LocalisationRemorque,6,0)," ► ",VLOOKUP($A80,LocalisationRemorque,5,0))</f>
        <v>Ciney ► Dinant</v>
      </c>
      <c r="E80" s="54" t="str">
        <f>IF(ISBLANK(Tableau!$E$80), "LIBRE", "OCCUPÉ")</f>
        <v>LIBRE</v>
      </c>
      <c r="F80" s="54" t="str">
        <f>IF(ISBLANK(Tableau!$G$80), "LIBRE", "OCCUPÉ")</f>
        <v>LIBRE</v>
      </c>
      <c r="G80" s="54" t="str">
        <f>IF(ISBLANK(Tableau!$I$80), "LIBRE", "OCCUPÉ")</f>
        <v>LIBRE</v>
      </c>
      <c r="H80" s="52" t="str">
        <f>IF(ISBLANK(Tableau!$K$80), "LIBRE", "OCCUPÉ")</f>
        <v>LIBRE</v>
      </c>
      <c r="I80" s="54" t="str">
        <f>IF(ISBLANK(Tableau!$M$80), "LIBRE", "OCCUPÉ")</f>
        <v>LIBRE</v>
      </c>
      <c r="J80" s="52" t="str">
        <f>IF(ISBLANK(Tableau!$O$80), "LIBRE", "OCCUPÉ")</f>
        <v>LIBRE</v>
      </c>
      <c r="K80" s="54" t="str">
        <f>IF(ISBLANK(Tableau!$Q$80), "LIBRE", "OCCUPÉ")</f>
        <v>LIBRE</v>
      </c>
      <c r="L80" s="52" t="str">
        <f>IF(ISBLANK(Tableau!$S$80), "LIBRE", "OCCUPÉ")</f>
        <v>LIBRE</v>
      </c>
      <c r="M80" s="54" t="str">
        <f>IF(ISBLANK(Tableau!$U$80), "LIBRE", "OCCUPÉ")</f>
        <v>LIBRE</v>
      </c>
      <c r="N80" s="52" t="str">
        <f>IF(ISBLANK(Tableau!$W$80), "LIBRE", "OCCUPÉ")</f>
        <v>LIBRE</v>
      </c>
      <c r="O80" s="54" t="str">
        <f>IF(ISBLANK(Tableau!$Y$80), "LIBRE", "OCCUPÉ")</f>
        <v>LIBRE</v>
      </c>
      <c r="P80" s="52" t="str">
        <f>IF(ISBLANK(Tableau!$AA$80), "LIBRE", "OCCUPÉ")</f>
        <v>LIBRE</v>
      </c>
      <c r="Q80" s="54" t="str">
        <f>IF(ISBLANK(Tableau!$AC$80), "LIBRE", "OCCUPÉ")</f>
        <v>LIBRE</v>
      </c>
      <c r="R80" s="52" t="str">
        <f>IF(ISBLANK(Tableau!$AE$80), "LIBRE", "OCCUPÉ")</f>
        <v>LIBRE</v>
      </c>
      <c r="S80" s="54" t="str">
        <f>IF(ISBLANK(Tableau!$AG$80), "LIBRE", "OCCUPÉ")</f>
        <v>LIBRE</v>
      </c>
      <c r="T80" s="52" t="str">
        <f>IF(ISBLANK(Tableau!$AI$80), "LIBRE", "OCCUPÉ")</f>
        <v>LIBRE</v>
      </c>
      <c r="U80" s="52" t="str">
        <f>IF(ISBLANK(Tableau!$AK$80), "LIBRE", "OCCUPÉ")</f>
        <v>LIBRE</v>
      </c>
      <c r="V80" s="52" t="str">
        <f>IF(ISBLANK(Tableau!$AM$80), "LIBRE", "OCCUPÉ")</f>
        <v>LIBRE</v>
      </c>
      <c r="W80" s="54" t="str">
        <f>IF(ISBLANK(Tableau!$AO$80), "LIBRE", "OCCUPÉ")</f>
        <v>LIBRE</v>
      </c>
      <c r="X80" s="52" t="str">
        <f>IF(ISBLANK(Tableau!$AQ$80), "LIBRE", "OCCUPÉ")</f>
        <v>LIBRE</v>
      </c>
      <c r="Y80" s="54" t="str">
        <f>IF(ISBLANK(Tableau!$AS$80), "LIBRE", "OCCUPÉ")</f>
        <v>LIBRE</v>
      </c>
      <c r="Z80" s="52" t="str">
        <f>IF(ISBLANK(Tableau!$AU$80), "LIBRE", "OCCUPÉ")</f>
        <v>LIBRE</v>
      </c>
      <c r="AA80" s="52" t="str">
        <f>IF(ISBLANK(Tableau!$AW$80), "LIBRE", "OCCUPÉ")</f>
        <v>LIBRE</v>
      </c>
      <c r="AB80" s="76" t="str">
        <f>IF(ISBLANK(Tableau!$AY80), "LIBRE", "OCCUPÉ")</f>
        <v>LIBRE</v>
      </c>
      <c r="AC80" s="77" t="s">
        <v>17</v>
      </c>
    </row>
    <row r="81" ht="21.75" customHeight="1">
      <c r="A81" s="40">
        <f>Tableau!A81</f>
        <v>315</v>
      </c>
      <c r="B81" s="46" t="str">
        <f>VLOOKUP($A81,LocalisationRemorque,2,0)</f>
        <v>Dinant</v>
      </c>
      <c r="C81" s="47" t="str">
        <f>VLOOKUP($A81,LocalisationRemorque,3,0)</f>
        <v>Anhée</v>
      </c>
      <c r="D81" s="49" t="str">
        <f>CONCATENATE(VLOOKUP($A81,LocalisationRemorque,6,0)," ► ",VLOOKUP($A81,LocalisationRemorque,5,0))</f>
        <v>Namur ► Dinant</v>
      </c>
      <c r="E81" s="52" t="str">
        <f>IF(ISBLANK(Tableau!$E$81), "LIBRE", "OCCUPÉ")</f>
        <v>LIBRE</v>
      </c>
      <c r="F81" s="54" t="str">
        <f>IF(ISBLANK(Tableau!$G$81), "LIBRE", "OCCUPÉ")</f>
        <v>LIBRE</v>
      </c>
      <c r="G81" s="52" t="str">
        <f>IF(ISBLANK(Tableau!$I$81), "LIBRE", "OCCUPÉ")</f>
        <v>LIBRE</v>
      </c>
      <c r="H81" s="52" t="str">
        <f>IF(ISBLANK(Tableau!$K$81), "LIBRE", "OCCUPÉ")</f>
        <v>LIBRE</v>
      </c>
      <c r="I81" s="54" t="str">
        <f>IF(ISBLANK(Tableau!$M$81), "LIBRE", "OCCUPÉ")</f>
        <v>LIBRE</v>
      </c>
      <c r="J81" s="54" t="str">
        <f>IF(ISBLANK(Tableau!$O$81), "LIBRE", "OCCUPÉ")</f>
        <v>LIBRE</v>
      </c>
      <c r="K81" s="54" t="str">
        <f>IF(ISBLANK(Tableau!$Q$81), "LIBRE", "OCCUPÉ")</f>
        <v>LIBRE</v>
      </c>
      <c r="L81" s="54" t="str">
        <f>IF(ISBLANK(Tableau!$S$81), "LIBRE", "OCCUPÉ")</f>
        <v>LIBRE</v>
      </c>
      <c r="M81" s="54" t="str">
        <f>IF(ISBLANK(Tableau!$U$105), "LIBRE", "OCCUPÉ")</f>
        <v>OCCUPÉ</v>
      </c>
      <c r="N81" s="54" t="str">
        <f>IF(ISBLANK(Tableau!$W$81), "LIBRE", "OCCUPÉ")</f>
        <v>LIBRE</v>
      </c>
      <c r="O81" s="54" t="str">
        <f>IF(ISBLANK(Tableau!$Y$81), "LIBRE", "OCCUPÉ")</f>
        <v>LIBRE</v>
      </c>
      <c r="P81" s="52" t="str">
        <f>IF(ISBLANK(Tableau!$AA$81), "LIBRE", "OCCUPÉ")</f>
        <v>LIBRE</v>
      </c>
      <c r="Q81" s="54" t="str">
        <f>IF(ISBLANK(Tableau!$AC$81), "LIBRE", "OCCUPÉ")</f>
        <v>LIBRE</v>
      </c>
      <c r="R81" s="52" t="str">
        <f>IF(ISBLANK(Tableau!$AE$81), "LIBRE", "OCCUPÉ")</f>
        <v>LIBRE</v>
      </c>
      <c r="S81" s="54" t="str">
        <f>IF(ISBLANK(Tableau!$AG$81), "LIBRE", "OCCUPÉ")</f>
        <v>LIBRE</v>
      </c>
      <c r="T81" s="52" t="str">
        <f>IF(ISBLANK(Tableau!$AI$81), "LIBRE", "OCCUPÉ")</f>
        <v>LIBRE</v>
      </c>
      <c r="U81" s="54" t="str">
        <f>IF(ISBLANK(Tableau!$AK$81), "LIBRE", "OCCUPÉ")</f>
        <v>LIBRE</v>
      </c>
      <c r="V81" s="52" t="str">
        <f>IF(ISBLANK(Tableau!$AM$81), "LIBRE", "OCCUPÉ")</f>
        <v>LIBRE</v>
      </c>
      <c r="W81" s="54" t="str">
        <f>IF(ISBLANK(Tableau!$AO$81), "LIBRE", "OCCUPÉ")</f>
        <v>LIBRE</v>
      </c>
      <c r="X81" s="52" t="str">
        <f>IF(ISBLANK(Tableau!$AQ$81), "LIBRE", "OCCUPÉ")</f>
        <v>LIBRE</v>
      </c>
      <c r="Y81" s="52" t="str">
        <f>IF(ISBLANK(Tableau!$AS$81), "LIBRE", "OCCUPÉ")</f>
        <v>LIBRE</v>
      </c>
      <c r="Z81" s="52" t="str">
        <f>IF(ISBLANK(Tableau!$AU$81), "LIBRE", "OCCUPÉ")</f>
        <v>LIBRE</v>
      </c>
      <c r="AA81" s="54" t="str">
        <f>IF(ISBLANK(Tableau!$AW$81), "LIBRE", "OCCUPÉ")</f>
        <v>LIBRE</v>
      </c>
      <c r="AB81" s="76" t="str">
        <f>IF(ISBLANK(Tableau!$AY81), "LIBRE", "OCCUPÉ")</f>
        <v>LIBRE</v>
      </c>
      <c r="AC81" s="70" t="s">
        <v>17</v>
      </c>
    </row>
    <row r="82" ht="21.75" customHeight="1">
      <c r="A82" s="72">
        <f>Tableau!A82</f>
        <v>316</v>
      </c>
      <c r="B82" s="73" t="str">
        <f>VLOOKUP($A82,LocalisationRemorque,2,0)</f>
        <v>Dinant</v>
      </c>
      <c r="C82" s="74" t="str">
        <f>VLOOKUP($A82,LocalisationRemorque,3,0)</f>
        <v>Falmignoul</v>
      </c>
      <c r="D82" s="75" t="str">
        <f>CONCATENATE(VLOOKUP($A82,LocalisationRemorque,6,0)," ► ",VLOOKUP($A82,LocalisationRemorque,5,0))</f>
        <v>Dinant ► Beauraing</v>
      </c>
      <c r="E82" s="52" t="str">
        <f>IF(ISBLANK(Tableau!$E$82), "LIBRE", "OCCUPÉ")</f>
        <v>LIBRE</v>
      </c>
      <c r="F82" s="52" t="str">
        <f>IF(ISBLANK(Tableau!$G$82), "LIBRE", "OCCUPÉ")</f>
        <v>LIBRE</v>
      </c>
      <c r="G82" s="54" t="str">
        <f>IF(ISBLANK(Tableau!$I$82), "LIBRE", "OCCUPÉ")</f>
        <v>LIBRE</v>
      </c>
      <c r="H82" s="54" t="str">
        <f>IF(ISBLANK(Tableau!$K$82), "LIBRE", "OCCUPÉ")</f>
        <v>LIBRE</v>
      </c>
      <c r="I82" s="52" t="str">
        <f>IF(ISBLANK(Tableau!$M$82), "LIBRE", "OCCUPÉ")</f>
        <v>LIBRE</v>
      </c>
      <c r="J82" s="54" t="str">
        <f>IF(ISBLANK(Tableau!$O$82), "LIBRE", "OCCUPÉ")</f>
        <v>LIBRE</v>
      </c>
      <c r="K82" s="54" t="str">
        <f>IF(ISBLANK(Tableau!$Q$82), "LIBRE", "OCCUPÉ")</f>
        <v>LIBRE</v>
      </c>
      <c r="L82" s="52" t="str">
        <f>IF(ISBLANK(Tableau!$S$82), "LIBRE", "OCCUPÉ")</f>
        <v>LIBRE</v>
      </c>
      <c r="M82" s="54" t="str">
        <f>IF(ISBLANK(Tableau!$U$82), "LIBRE", "OCCUPÉ")</f>
        <v>LIBRE</v>
      </c>
      <c r="N82" s="54" t="str">
        <f>IF(ISBLANK(Tableau!$W$82), "LIBRE", "OCCUPÉ")</f>
        <v>LIBRE</v>
      </c>
      <c r="O82" s="52" t="str">
        <f>IF(ISBLANK(Tableau!$Y$82), "LIBRE", "OCCUPÉ")</f>
        <v>LIBRE</v>
      </c>
      <c r="P82" s="52" t="str">
        <f>IF(ISBLANK(Tableau!$AA$82), "LIBRE", "OCCUPÉ")</f>
        <v>LIBRE</v>
      </c>
      <c r="Q82" s="52" t="str">
        <f>IF(ISBLANK(Tableau!$AC$82), "LIBRE", "OCCUPÉ")</f>
        <v>LIBRE</v>
      </c>
      <c r="R82" s="52" t="str">
        <f>IF(ISBLANK(Tableau!$AE$82), "LIBRE", "OCCUPÉ")</f>
        <v>LIBRE</v>
      </c>
      <c r="S82" s="52" t="str">
        <f>IF(ISBLANK(Tableau!$AG$82), "LIBRE", "OCCUPÉ")</f>
        <v>LIBRE</v>
      </c>
      <c r="T82" s="54" t="str">
        <f>IF(ISBLANK(Tableau!$AI$82), "LIBRE", "OCCUPÉ")</f>
        <v>LIBRE</v>
      </c>
      <c r="U82" s="52" t="str">
        <f>IF(ISBLANK(Tableau!$AK$82), "LIBRE", "OCCUPÉ")</f>
        <v>LIBRE</v>
      </c>
      <c r="V82" s="52" t="str">
        <f>IF(ISBLANK(Tableau!$AM$82), "LIBRE", "OCCUPÉ")</f>
        <v>LIBRE</v>
      </c>
      <c r="W82" s="52" t="str">
        <f>IF(ISBLANK(Tableau!$AO$82), "LIBRE", "OCCUPÉ")</f>
        <v>LIBRE</v>
      </c>
      <c r="X82" s="54" t="str">
        <f>IF(ISBLANK(Tableau!$AQ$82), "LIBRE", "OCCUPÉ")</f>
        <v>LIBRE</v>
      </c>
      <c r="Y82" s="54" t="str">
        <f>IF(ISBLANK(Tableau!$AS$82), "LIBRE", "OCCUPÉ")</f>
        <v>LIBRE</v>
      </c>
      <c r="Z82" s="52" t="str">
        <f>IF(ISBLANK(Tableau!$AU$82), "LIBRE", "OCCUPÉ")</f>
        <v>LIBRE</v>
      </c>
      <c r="AA82" s="52" t="str">
        <f>IF(ISBLANK(Tableau!$AW$82), "LIBRE", "OCCUPÉ")</f>
        <v>LIBRE</v>
      </c>
      <c r="AB82" s="76" t="str">
        <f>IF(ISBLANK(Tableau!$AY82), "LIBRE", "OCCUPÉ")</f>
        <v>LIBRE</v>
      </c>
      <c r="AC82" s="77" t="s">
        <v>17</v>
      </c>
    </row>
    <row r="83" ht="21.75" customHeight="1">
      <c r="A83" s="40">
        <f>Tableau!A83</f>
        <v>317</v>
      </c>
      <c r="B83" s="46" t="str">
        <f>VLOOKUP($A83,LocalisationRemorque,2,0)</f>
        <v>Dinant</v>
      </c>
      <c r="C83" s="47" t="str">
        <f>VLOOKUP($A83,LocalisationRemorque,3,0)</f>
        <v>Anthée</v>
      </c>
      <c r="D83" s="49" t="str">
        <f>CONCATENATE(VLOOKUP($A83,LocalisationRemorque,6,0)," ► ",VLOOKUP($A83,LocalisationRemorque,5,0))</f>
        <v>Dinant ► Philippeville</v>
      </c>
      <c r="E83" s="52" t="str">
        <f>IF(ISBLANK(Tableau!$E$83), "LIBRE", "OCCUPÉ")</f>
        <v>LIBRE</v>
      </c>
      <c r="F83" s="54" t="str">
        <f>IF(ISBLANK(Tableau!$G$83), "LIBRE", "OCCUPÉ")</f>
        <v>LIBRE</v>
      </c>
      <c r="G83" s="54" t="str">
        <f>IF(ISBLANK(Tableau!$I$83), "LIBRE", "OCCUPÉ")</f>
        <v>LIBRE</v>
      </c>
      <c r="H83" s="52" t="str">
        <f>IF(ISBLANK(Tableau!$K$83), "LIBRE", "OCCUPÉ")</f>
        <v>LIBRE</v>
      </c>
      <c r="I83" s="54" t="str">
        <f>IF(ISBLANK(Tableau!$M$83), "LIBRE", "OCCUPÉ")</f>
        <v>LIBRE</v>
      </c>
      <c r="J83" s="54" t="str">
        <f>IF(ISBLANK(Tableau!$O$83), "LIBRE", "OCCUPÉ")</f>
        <v>LIBRE</v>
      </c>
      <c r="K83" s="52" t="str">
        <f>IF(ISBLANK(Tableau!$Q$83), "LIBRE", "OCCUPÉ")</f>
        <v>LIBRE</v>
      </c>
      <c r="L83" s="54" t="str">
        <f>IF(ISBLANK(Tableau!$S$83), "LIBRE", "OCCUPÉ")</f>
        <v>LIBRE</v>
      </c>
      <c r="M83" s="54" t="str">
        <f>IF(ISBLANK(Tableau!$U$83), "LIBRE", "OCCUPÉ")</f>
        <v>LIBRE</v>
      </c>
      <c r="N83" s="54" t="str">
        <f>IF(ISBLANK(Tableau!$W$83), "LIBRE", "OCCUPÉ")</f>
        <v>LIBRE</v>
      </c>
      <c r="O83" s="54" t="str">
        <f>IF(ISBLANK(Tableau!$Y$83), "LIBRE", "OCCUPÉ")</f>
        <v>LIBRE</v>
      </c>
      <c r="P83" s="54" t="str">
        <f>IF(ISBLANK(Tableau!$AA$83), "LIBRE", "OCCUPÉ")</f>
        <v>LIBRE</v>
      </c>
      <c r="Q83" s="52" t="str">
        <f>IF(ISBLANK(Tableau!$AC$83), "LIBRE", "OCCUPÉ")</f>
        <v>LIBRE</v>
      </c>
      <c r="R83" s="54" t="str">
        <f>IF(ISBLANK(Tableau!$AE$83), "LIBRE", "OCCUPÉ")</f>
        <v>LIBRE</v>
      </c>
      <c r="S83" s="52" t="str">
        <f>IF(ISBLANK(Tableau!$AG$83), "LIBRE", "OCCUPÉ")</f>
        <v>LIBRE</v>
      </c>
      <c r="T83" s="52" t="str">
        <f>IF(ISBLANK(Tableau!$AI$83), "LIBRE", "OCCUPÉ")</f>
        <v>LIBRE</v>
      </c>
      <c r="U83" s="52" t="str">
        <f>IF(ISBLANK(Tableau!$AK$83), "LIBRE", "OCCUPÉ")</f>
        <v>LIBRE</v>
      </c>
      <c r="V83" s="52" t="str">
        <f>IF(ISBLANK(Tableau!$AM$83), "LIBRE", "OCCUPÉ")</f>
        <v>LIBRE</v>
      </c>
      <c r="W83" s="54" t="str">
        <f>IF(ISBLANK(Tableau!$AO$83), "LIBRE", "OCCUPÉ")</f>
        <v>LIBRE</v>
      </c>
      <c r="X83" s="52" t="str">
        <f>IF(ISBLANK(Tableau!$AQ$83), "LIBRE", "OCCUPÉ")</f>
        <v>LIBRE</v>
      </c>
      <c r="Y83" s="54" t="str">
        <f>IF(ISBLANK(Tableau!$AS$83), "LIBRE", "OCCUPÉ")</f>
        <v>LIBRE</v>
      </c>
      <c r="Z83" s="52" t="str">
        <f>IF(ISBLANK(Tableau!$AU$83), "LIBRE", "OCCUPÉ")</f>
        <v>LIBRE</v>
      </c>
      <c r="AA83" s="52" t="str">
        <f>IF(ISBLANK(Tableau!$AW$83), "LIBRE", "OCCUPÉ")</f>
        <v>LIBRE</v>
      </c>
      <c r="AB83" s="76" t="str">
        <f>IF(ISBLANK(Tableau!$AY83), "LIBRE", "OCCUPÉ")</f>
        <v>LIBRE</v>
      </c>
      <c r="AC83" s="70" t="s">
        <v>17</v>
      </c>
    </row>
    <row r="84" ht="21.75" hidden="1" customHeight="1">
      <c r="A84" s="72">
        <f>Tableau!A84</f>
        <v>318</v>
      </c>
      <c r="B84" s="73" t="str">
        <f>VLOOKUP($A84,LocalisationRemorque,2,0)</f>
        <v>Eghezée</v>
      </c>
      <c r="C84" s="74" t="str">
        <f>VLOOKUP($A84,LocalisationRemorque,3,0)</f>
        <v>Eghezée </v>
      </c>
      <c r="D84" s="75" t="str">
        <f>CONCATENATE(VLOOKUP($A84,LocalisationRemorque,6,0)," ► ",VLOOKUP($A84,LocalisationRemorque,5,0))</f>
        <v>Éghezée ► Andenne</v>
      </c>
      <c r="E84" s="52" t="str">
        <f>IF(ISBLANK(Tableau!$E$84), "LIBRE", "OCCUPÉ")</f>
        <v>LIBRE</v>
      </c>
      <c r="F84" s="52" t="str">
        <f>IF(ISBLANK(Tableau!$G$84), "LIBRE", "OCCUPÉ")</f>
        <v>LIBRE</v>
      </c>
      <c r="G84" s="52" t="str">
        <f>IF(ISBLANK(Tableau!$I$84), "LIBRE", "OCCUPÉ")</f>
        <v>LIBRE</v>
      </c>
      <c r="H84" s="52" t="str">
        <f>IF(ISBLANK(Tableau!$K$84), "LIBRE", "OCCUPÉ")</f>
        <v>LIBRE</v>
      </c>
      <c r="I84" s="52" t="str">
        <f>IF(ISBLANK(Tableau!$M$84), "LIBRE", "OCCUPÉ")</f>
        <v>LIBRE</v>
      </c>
      <c r="J84" s="54" t="str">
        <f>IF(ISBLANK(Tableau!$O$84), "LIBRE", "OCCUPÉ")</f>
        <v>LIBRE</v>
      </c>
      <c r="K84" s="54" t="str">
        <f>IF(ISBLANK(Tableau!$Q$84), "LIBRE", "OCCUPÉ")</f>
        <v>LIBRE</v>
      </c>
      <c r="L84" s="52" t="str">
        <f>IF(ISBLANK(Tableau!$S$84), "LIBRE", "OCCUPÉ")</f>
        <v>LIBRE</v>
      </c>
      <c r="M84" s="54" t="str">
        <f>IF(ISBLANK(Tableau!$U$84), "LIBRE", "OCCUPÉ")</f>
        <v>LIBRE</v>
      </c>
      <c r="N84" s="52" t="str">
        <f>IF(ISBLANK(Tableau!$W$84), "LIBRE", "OCCUPÉ")</f>
        <v>LIBRE</v>
      </c>
      <c r="O84" s="54" t="str">
        <f>IF(ISBLANK(Tableau!$Y$84), "LIBRE", "OCCUPÉ")</f>
        <v>LIBRE</v>
      </c>
      <c r="P84" s="52" t="str">
        <f>IF(ISBLANK(Tableau!$AA$84), "LIBRE", "OCCUPÉ")</f>
        <v>LIBRE</v>
      </c>
      <c r="Q84" s="54" t="str">
        <f>IF(ISBLANK(Tableau!$AC$84), "LIBRE", "OCCUPÉ")</f>
        <v>LIBRE</v>
      </c>
      <c r="R84" s="52" t="str">
        <f>IF(ISBLANK(Tableau!$AE$84), "LIBRE", "OCCUPÉ")</f>
        <v>LIBRE</v>
      </c>
      <c r="S84" s="52" t="str">
        <f>IF(ISBLANK(Tableau!$AG$84), "LIBRE", "OCCUPÉ")</f>
        <v>LIBRE</v>
      </c>
      <c r="T84" s="52" t="str">
        <f>IF(ISBLANK(Tableau!$AI$84), "LIBRE", "OCCUPÉ")</f>
        <v>LIBRE</v>
      </c>
      <c r="U84" s="54" t="str">
        <f>IF(ISBLANK(Tableau!$AK$84), "LIBRE", "OCCUPÉ")</f>
        <v>LIBRE</v>
      </c>
      <c r="V84" s="52" t="str">
        <f>IF(ISBLANK(Tableau!$AM$84), "LIBRE", "OCCUPÉ")</f>
        <v>LIBRE</v>
      </c>
      <c r="W84" s="52" t="str">
        <f>IF(ISBLANK(Tableau!$AO$84), "LIBRE", "OCCUPÉ")</f>
        <v>LIBRE</v>
      </c>
      <c r="X84" s="52" t="str">
        <f>IF(ISBLANK(Tableau!$AQ$84), "LIBRE", "OCCUPÉ")</f>
        <v>LIBRE</v>
      </c>
      <c r="Y84" s="52" t="str">
        <f>IF(ISBLANK(Tableau!$AS$84), "LIBRE", "OCCUPÉ")</f>
        <v>LIBRE</v>
      </c>
      <c r="Z84" s="52" t="str">
        <f>IF(ISBLANK(Tableau!$AU$84), "LIBRE", "OCCUPÉ")</f>
        <v>LIBRE</v>
      </c>
      <c r="AA84" s="52" t="str">
        <f>IF(ISBLANK(Tableau!$AW$84), "LIBRE", "OCCUPÉ")</f>
        <v>LIBRE</v>
      </c>
      <c r="AB84" s="76" t="str">
        <f>IF(ISBLANK(Tableau!$AY84), "LIBRE", "OCCUPÉ")</f>
        <v>LIBRE</v>
      </c>
      <c r="AC84" s="77"/>
    </row>
    <row r="85" ht="21.75" hidden="1" customHeight="1">
      <c r="A85" s="40">
        <f>Tableau!A85</f>
        <v>320</v>
      </c>
      <c r="B85" s="46" t="str">
        <f>VLOOKUP($A85,LocalisationRemorque,2,0)</f>
        <v>Eghezée</v>
      </c>
      <c r="C85" s="47" t="str">
        <f>VLOOKUP($A85,LocalisationRemorque,3,0)</f>
        <v>Eghezée</v>
      </c>
      <c r="D85" s="49" t="str">
        <f>CONCATENATE(VLOOKUP($A85,LocalisationRemorque,6,0)," ► ",VLOOKUP($A85,LocalisationRemorque,5,0))</f>
        <v>Namur ► Eghezee</v>
      </c>
      <c r="E85" s="54" t="str">
        <f>IF(ISBLANK(Tableau!$E$85), "LIBRE", "OCCUPÉ")</f>
        <v>LIBRE</v>
      </c>
      <c r="F85" s="52" t="str">
        <f>IF(ISBLANK(Tableau!$G$85), "LIBRE", "OCCUPÉ")</f>
        <v>LIBRE</v>
      </c>
      <c r="G85" s="52" t="str">
        <f>IF(ISBLANK(Tableau!$I$85), "LIBRE", "OCCUPÉ")</f>
        <v>LIBRE</v>
      </c>
      <c r="H85" s="52" t="str">
        <f>IF(ISBLANK(Tableau!$K$85), "LIBRE", "OCCUPÉ")</f>
        <v>LIBRE</v>
      </c>
      <c r="I85" s="54" t="str">
        <f>IF(ISBLANK(Tableau!$M$85), "LIBRE", "OCCUPÉ")</f>
        <v>LIBRE</v>
      </c>
      <c r="J85" s="54" t="str">
        <f>IF(ISBLANK(Tableau!$O$85), "LIBRE", "OCCUPÉ")</f>
        <v>LIBRE</v>
      </c>
      <c r="K85" s="54" t="str">
        <f>IF(ISBLANK(Tableau!$Q$85), "LIBRE", "OCCUPÉ")</f>
        <v>LIBRE</v>
      </c>
      <c r="L85" s="54" t="str">
        <f>IF(ISBLANK(Tableau!$S$85), "LIBRE", "OCCUPÉ")</f>
        <v>LIBRE</v>
      </c>
      <c r="M85" s="54" t="str">
        <f>IF(ISBLANK(Tableau!$U$85), "LIBRE", "OCCUPÉ")</f>
        <v>LIBRE</v>
      </c>
      <c r="N85" s="54" t="str">
        <f>IF(ISBLANK(Tableau!$W$85), "LIBRE", "OCCUPÉ")</f>
        <v>LIBRE</v>
      </c>
      <c r="O85" s="54" t="str">
        <f>IF(ISBLANK(Tableau!$Y$85), "LIBRE", "OCCUPÉ")</f>
        <v>LIBRE</v>
      </c>
      <c r="P85" s="54" t="str">
        <f>IF(ISBLANK(Tableau!$AA$85), "LIBRE", "OCCUPÉ")</f>
        <v>LIBRE</v>
      </c>
      <c r="Q85" s="52" t="str">
        <f>IF(ISBLANK(Tableau!$AC$85), "LIBRE", "OCCUPÉ")</f>
        <v>LIBRE</v>
      </c>
      <c r="R85" s="52" t="str">
        <f>IF(ISBLANK(Tableau!$AE$85), "LIBRE", "OCCUPÉ")</f>
        <v>LIBRE</v>
      </c>
      <c r="S85" s="54" t="str">
        <f>IF(ISBLANK(Tableau!$AG$85), "LIBRE", "OCCUPÉ")</f>
        <v>LIBRE</v>
      </c>
      <c r="T85" s="52" t="str">
        <f>IF(ISBLANK(Tableau!$AI$85), "LIBRE", "OCCUPÉ")</f>
        <v>LIBRE</v>
      </c>
      <c r="U85" s="54" t="str">
        <f>IF(ISBLANK(Tableau!$AK$85), "LIBRE", "OCCUPÉ")</f>
        <v>LIBRE</v>
      </c>
      <c r="V85" s="54" t="str">
        <f>IF(ISBLANK(Tableau!$AM$85), "LIBRE", "OCCUPÉ")</f>
        <v>LIBRE</v>
      </c>
      <c r="W85" s="54" t="str">
        <f>IF(ISBLANK(Tableau!$AO$85), "LIBRE", "OCCUPÉ")</f>
        <v>LIBRE</v>
      </c>
      <c r="X85" s="54" t="str">
        <f>IF(ISBLANK(Tableau!$AQ$85), "LIBRE", "OCCUPÉ")</f>
        <v>LIBRE</v>
      </c>
      <c r="Y85" s="52" t="str">
        <f>IF(ISBLANK(Tableau!$AS$85), "LIBRE", "OCCUPÉ")</f>
        <v>LIBRE</v>
      </c>
      <c r="Z85" s="52" t="str">
        <f>IF(ISBLANK(Tableau!$AU$85), "LIBRE", "OCCUPÉ")</f>
        <v>LIBRE</v>
      </c>
      <c r="AA85" s="52" t="str">
        <f>IF(ISBLANK(Tableau!$AW$85), "LIBRE", "OCCUPÉ")</f>
        <v>LIBRE</v>
      </c>
      <c r="AB85" s="76" t="str">
        <f>IF(ISBLANK(Tableau!$AY85), "LIBRE", "OCCUPÉ")</f>
        <v>LIBRE</v>
      </c>
      <c r="AC85" s="70"/>
    </row>
    <row r="86" ht="21.75" hidden="1" customHeight="1">
      <c r="A86" s="72">
        <f>Tableau!A86</f>
        <v>321</v>
      </c>
      <c r="B86" s="73" t="str">
        <f>VLOOKUP($A86,LocalisationRemorque,2,0)</f>
        <v>Eghezée</v>
      </c>
      <c r="C86" s="74" t="str">
        <f>VLOOKUP($A86,LocalisationRemorque,3,0)</f>
        <v>Longchamps N912</v>
      </c>
      <c r="D86" s="75" t="str">
        <f>CONCATENATE(VLOOKUP($A86,LocalisationRemorque,6,0)," ► ",VLOOKUP($A86,LocalisationRemorque,5,0))</f>
        <v>Éghezée ► E411</v>
      </c>
      <c r="E86" s="52" t="str">
        <f>IF(ISBLANK(Tableau!$E$86), "LIBRE", "OCCUPÉ")</f>
        <v>LIBRE</v>
      </c>
      <c r="F86" s="52" t="str">
        <f>IF(ISBLANK(Tableau!$G$86), "LIBRE", "OCCUPÉ")</f>
        <v>LIBRE</v>
      </c>
      <c r="G86" s="54" t="str">
        <f>IF(ISBLANK(Tableau!$I$86), "LIBRE", "OCCUPÉ")</f>
        <v>LIBRE</v>
      </c>
      <c r="H86" s="52" t="str">
        <f>IF(ISBLANK(Tableau!$K$86), "LIBRE", "OCCUPÉ")</f>
        <v>LIBRE</v>
      </c>
      <c r="I86" s="54" t="str">
        <f>IF(ISBLANK(Tableau!$M$86), "LIBRE", "OCCUPÉ")</f>
        <v>LIBRE</v>
      </c>
      <c r="J86" s="54" t="str">
        <f>IF(ISBLANK(Tableau!$O$86), "LIBRE", "OCCUPÉ")</f>
        <v>LIBRE</v>
      </c>
      <c r="K86" s="54" t="str">
        <f>IF(ISBLANK(Tableau!$Q$86), "LIBRE", "OCCUPÉ")</f>
        <v>LIBRE</v>
      </c>
      <c r="L86" s="54" t="str">
        <f>IF(ISBLANK(Tableau!$S$86), "LIBRE", "OCCUPÉ")</f>
        <v>LIBRE</v>
      </c>
      <c r="M86" s="54" t="str">
        <f>IF(ISBLANK(Tableau!$U$86), "LIBRE", "OCCUPÉ")</f>
        <v>LIBRE</v>
      </c>
      <c r="N86" s="54" t="str">
        <f>IF(ISBLANK(Tableau!$W$86), "LIBRE", "OCCUPÉ")</f>
        <v>LIBRE</v>
      </c>
      <c r="O86" s="54" t="str">
        <f>IF(ISBLANK(Tableau!$Y$86), "LIBRE", "OCCUPÉ")</f>
        <v>LIBRE</v>
      </c>
      <c r="P86" s="52" t="str">
        <f>IF(ISBLANK(Tableau!$AA$86), "LIBRE", "OCCUPÉ")</f>
        <v>LIBRE</v>
      </c>
      <c r="Q86" s="54" t="str">
        <f>IF(ISBLANK(Tableau!$AC$86), "LIBRE", "OCCUPÉ")</f>
        <v>LIBRE</v>
      </c>
      <c r="R86" s="52" t="str">
        <f>IF(ISBLANK(Tableau!$AE$86), "LIBRE", "OCCUPÉ")</f>
        <v>LIBRE</v>
      </c>
      <c r="S86" s="54" t="str">
        <f>IF(ISBLANK(Tableau!$AG$86), "LIBRE", "OCCUPÉ")</f>
        <v>LIBRE</v>
      </c>
      <c r="T86" s="52" t="str">
        <f>IF(ISBLANK(Tableau!$AI$86), "LIBRE", "OCCUPÉ")</f>
        <v>LIBRE</v>
      </c>
      <c r="U86" s="54" t="str">
        <f>IF(ISBLANK(Tableau!$AK$86), "LIBRE", "OCCUPÉ")</f>
        <v>LIBRE</v>
      </c>
      <c r="V86" s="52" t="str">
        <f>IF(ISBLANK(Tableau!$AM$86), "LIBRE", "OCCUPÉ")</f>
        <v>LIBRE</v>
      </c>
      <c r="W86" s="52" t="str">
        <f>IF(ISBLANK(Tableau!$AO$86), "LIBRE", "OCCUPÉ")</f>
        <v>LIBRE</v>
      </c>
      <c r="X86" s="52" t="str">
        <f>IF(ISBLANK(Tableau!$AQ$86), "LIBRE", "OCCUPÉ")</f>
        <v>LIBRE</v>
      </c>
      <c r="Y86" s="52" t="str">
        <f>IF(ISBLANK(Tableau!$AS$86), "LIBRE", "OCCUPÉ")</f>
        <v>LIBRE</v>
      </c>
      <c r="Z86" s="52" t="str">
        <f>IF(ISBLANK(Tableau!$AU$86), "LIBRE", "OCCUPÉ")</f>
        <v>LIBRE</v>
      </c>
      <c r="AA86" s="52" t="str">
        <f>IF(ISBLANK(Tableau!$AW$86), "LIBRE", "OCCUPÉ")</f>
        <v>LIBRE</v>
      </c>
      <c r="AB86" s="76" t="str">
        <f>IF(ISBLANK(Tableau!$AY86), "LIBRE", "OCCUPÉ")</f>
        <v>LIBRE</v>
      </c>
      <c r="AC86" s="77"/>
    </row>
    <row r="87" ht="21.75" hidden="1" customHeight="1">
      <c r="A87" s="40" t="str">
        <f>Tableau!A87</f>
        <v/>
      </c>
      <c r="B87" s="46" t="str">
        <f>VLOOKUP($A87,LocalisationRemorque,2,0)</f>
        <v> Remorque non listée</v>
      </c>
      <c r="C87" s="47" t="str">
        <f>VLOOKUP($A87,LocalisationRemorque,3,0)</f>
        <v/>
      </c>
      <c r="D87" s="49" t="str">
        <f>CONCATENATE(VLOOKUP($A87,LocalisationRemorque,6,0)," ► ",VLOOKUP($A87,LocalisationRemorque,5,0))</f>
        <v> ► </v>
      </c>
      <c r="E87" s="54" t="str">
        <f>IF(ISBLANK(Tableau!$E$87), "LIBRE", "OCCUPÉ")</f>
        <v>LIBRE</v>
      </c>
      <c r="F87" s="54" t="str">
        <f>IF(ISBLANK(Tableau!$G$87), "LIBRE", "OCCUPÉ")</f>
        <v>LIBRE</v>
      </c>
      <c r="G87" s="54" t="str">
        <f>IF(ISBLANK(Tableau!$I$87), "LIBRE", "OCCUPÉ")</f>
        <v>LIBRE</v>
      </c>
      <c r="H87" s="54" t="str">
        <f>IF(ISBLANK(Tableau!$K$87), "LIBRE", "OCCUPÉ")</f>
        <v>LIBRE</v>
      </c>
      <c r="I87" s="54" t="str">
        <f>IF(ISBLANK(Tableau!$M$87), "LIBRE", "OCCUPÉ")</f>
        <v>LIBRE</v>
      </c>
      <c r="J87" s="54" t="str">
        <f>IF(ISBLANK(Tableau!$O$87), "LIBRE", "OCCUPÉ")</f>
        <v>LIBRE</v>
      </c>
      <c r="K87" s="54" t="str">
        <f>IF(ISBLANK(Tableau!$Q$87), "LIBRE", "OCCUPÉ")</f>
        <v>LIBRE</v>
      </c>
      <c r="L87" s="54" t="str">
        <f>IF(ISBLANK(Tableau!$S$87), "LIBRE", "OCCUPÉ")</f>
        <v>LIBRE</v>
      </c>
      <c r="M87" s="54" t="str">
        <f>IF(ISBLANK(Tableau!$U$87), "LIBRE", "OCCUPÉ")</f>
        <v>LIBRE</v>
      </c>
      <c r="N87" s="54" t="str">
        <f>IF(ISBLANK(Tableau!$W$87), "LIBRE", "OCCUPÉ")</f>
        <v>LIBRE</v>
      </c>
      <c r="O87" s="54" t="str">
        <f>IF(ISBLANK(Tableau!$Y$87), "LIBRE", "OCCUPÉ")</f>
        <v>LIBRE</v>
      </c>
      <c r="P87" s="54" t="str">
        <f>IF(ISBLANK(Tableau!$AA$87), "LIBRE", "OCCUPÉ")</f>
        <v>LIBRE</v>
      </c>
      <c r="Q87" s="54" t="str">
        <f>IF(ISBLANK(Tableau!$AC$87), "LIBRE", "OCCUPÉ")</f>
        <v>LIBRE</v>
      </c>
      <c r="R87" s="54" t="str">
        <f>IF(ISBLANK(Tableau!$AE$87), "LIBRE", "OCCUPÉ")</f>
        <v>LIBRE</v>
      </c>
      <c r="S87" s="54" t="str">
        <f>IF(ISBLANK(Tableau!$AG$87), "LIBRE", "OCCUPÉ")</f>
        <v>LIBRE</v>
      </c>
      <c r="T87" s="54" t="str">
        <f>IF(ISBLANK(Tableau!$AI$87), "LIBRE", "OCCUPÉ")</f>
        <v>LIBRE</v>
      </c>
      <c r="U87" s="54" t="str">
        <f>IF(ISBLANK(Tableau!$AK$87), "LIBRE", "OCCUPÉ")</f>
        <v>LIBRE</v>
      </c>
      <c r="V87" s="54" t="str">
        <f>IF(ISBLANK(Tableau!$AM$87), "LIBRE", "OCCUPÉ")</f>
        <v>LIBRE</v>
      </c>
      <c r="W87" s="54" t="str">
        <f>IF(ISBLANK(Tableau!$AO$87), "LIBRE", "OCCUPÉ")</f>
        <v>LIBRE</v>
      </c>
      <c r="X87" s="54" t="str">
        <f>IF(ISBLANK(Tableau!$AQ$87), "LIBRE", "OCCUPÉ")</f>
        <v>LIBRE</v>
      </c>
      <c r="Y87" s="54" t="str">
        <f>IF(ISBLANK(Tableau!$AS$87), "LIBRE", "OCCUPÉ")</f>
        <v>LIBRE</v>
      </c>
      <c r="Z87" s="54" t="str">
        <f>IF(ISBLANK(Tableau!$AU$87), "LIBRE", "OCCUPÉ")</f>
        <v>LIBRE</v>
      </c>
      <c r="AA87" s="54" t="str">
        <f>IF(ISBLANK(Tableau!$AW$87), "LIBRE", "OCCUPÉ")</f>
        <v>LIBRE</v>
      </c>
      <c r="AB87" s="69" t="str">
        <f>IF(ISBLANK(Tableau!$AY87), "LIBRE", "OCCUPÉ")</f>
        <v>LIBRE</v>
      </c>
      <c r="AC87" s="335"/>
    </row>
    <row r="88" ht="21.75" customHeight="1">
      <c r="A88" s="72">
        <f>Tableau!A88</f>
        <v>323</v>
      </c>
      <c r="B88" s="73" t="str">
        <f>VLOOKUP($A88,LocalisationRemorque,2,0)</f>
        <v>Gembloux</v>
      </c>
      <c r="C88" s="74" t="str">
        <f>VLOOKUP($A88,LocalisationRemorque,3,0)</f>
        <v>Sauvenière 2</v>
      </c>
      <c r="D88" s="75" t="str">
        <f>CONCATENATE(VLOOKUP($A88,LocalisationRemorque,6,0)," ► ",VLOOKUP($A88,LocalisationRemorque,5,0))</f>
        <v>E411 ► Gembloux</v>
      </c>
      <c r="E88" s="54" t="str">
        <f>IF(ISBLANK(Tableau!$E$88), "LIBRE", "OCCUPÉ")</f>
        <v>LIBRE</v>
      </c>
      <c r="F88" s="54" t="str">
        <f>IF(ISBLANK(Tableau!$G$88), "LIBRE", "OCCUPÉ")</f>
        <v>LIBRE</v>
      </c>
      <c r="G88" s="54" t="str">
        <f>IF(ISBLANK(Tableau!$I$88), "LIBRE", "OCCUPÉ")</f>
        <v>LIBRE</v>
      </c>
      <c r="H88" s="54" t="str">
        <f>IF(ISBLANK(Tableau!$K$88), "LIBRE", "OCCUPÉ")</f>
        <v>LIBRE</v>
      </c>
      <c r="I88" s="54" t="str">
        <f>IF(ISBLANK(Tableau!$M$88), "LIBRE", "OCCUPÉ")</f>
        <v>LIBRE</v>
      </c>
      <c r="J88" s="54" t="str">
        <f>IF(ISBLANK(Tableau!$O$88), "LIBRE", "OCCUPÉ")</f>
        <v>LIBRE</v>
      </c>
      <c r="K88" s="54" t="str">
        <f>IF(ISBLANK(Tableau!$Q$88), "LIBRE", "OCCUPÉ")</f>
        <v>LIBRE</v>
      </c>
      <c r="L88" s="54" t="str">
        <f>IF(ISBLANK(Tableau!$S$88), "LIBRE", "OCCUPÉ")</f>
        <v>LIBRE</v>
      </c>
      <c r="M88" s="54" t="str">
        <f>IF(ISBLANK(Tableau!$U$88), "LIBRE", "OCCUPÉ")</f>
        <v>LIBRE</v>
      </c>
      <c r="N88" s="54" t="str">
        <f>IF(ISBLANK(Tableau!$W$88), "LIBRE", "OCCUPÉ")</f>
        <v>LIBRE</v>
      </c>
      <c r="O88" s="54" t="str">
        <f>IF(ISBLANK(Tableau!$Y$88), "LIBRE", "OCCUPÉ")</f>
        <v>LIBRE</v>
      </c>
      <c r="P88" s="54" t="str">
        <f>IF(ISBLANK(Tableau!$AA$88), "LIBRE", "OCCUPÉ")</f>
        <v>LIBRE</v>
      </c>
      <c r="Q88" s="54" t="str">
        <f>IF(ISBLANK(Tableau!$AC$88), "LIBRE", "OCCUPÉ")</f>
        <v>LIBRE</v>
      </c>
      <c r="R88" s="54" t="str">
        <f>IF(ISBLANK(Tableau!$AE$88), "LIBRE", "OCCUPÉ")</f>
        <v>LIBRE</v>
      </c>
      <c r="S88" s="54" t="str">
        <f>IF(ISBLANK(Tableau!$AG$88), "LIBRE", "OCCUPÉ")</f>
        <v>LIBRE</v>
      </c>
      <c r="T88" s="54" t="str">
        <f>IF(ISBLANK(Tableau!$AI$88), "LIBRE", "OCCUPÉ")</f>
        <v>LIBRE</v>
      </c>
      <c r="U88" s="54" t="str">
        <f>IF(ISBLANK(Tableau!$AK$88), "LIBRE", "OCCUPÉ")</f>
        <v>LIBRE</v>
      </c>
      <c r="V88" s="54" t="str">
        <f>IF(ISBLANK(Tableau!$AM$88), "LIBRE", "OCCUPÉ")</f>
        <v>LIBRE</v>
      </c>
      <c r="W88" s="54" t="str">
        <f>IF(ISBLANK(Tableau!$AO$88), "LIBRE", "OCCUPÉ")</f>
        <v>LIBRE</v>
      </c>
      <c r="X88" s="54" t="str">
        <f>IF(ISBLANK(Tableau!$AQ$88), "LIBRE", "OCCUPÉ")</f>
        <v>LIBRE</v>
      </c>
      <c r="Y88" s="54" t="str">
        <f>IF(ISBLANK(Tableau!$AS$88), "LIBRE", "OCCUPÉ")</f>
        <v>LIBRE</v>
      </c>
      <c r="Z88" s="54" t="str">
        <f>IF(ISBLANK(Tableau!$AU$88), "LIBRE", "OCCUPÉ")</f>
        <v>LIBRE</v>
      </c>
      <c r="AA88" s="54" t="str">
        <f>IF(ISBLANK(Tableau!$AW$88), "LIBRE", "OCCUPÉ")</f>
        <v>LIBRE</v>
      </c>
      <c r="AB88" s="69" t="str">
        <f>IF(ISBLANK(Tableau!$AY88), "LIBRE", "OCCUPÉ")</f>
        <v>LIBRE</v>
      </c>
      <c r="AC88" s="77" t="s">
        <v>17</v>
      </c>
    </row>
    <row r="89" ht="21.75" customHeight="1">
      <c r="A89" s="40">
        <f>Tableau!A89</f>
        <v>324</v>
      </c>
      <c r="B89" s="46" t="str">
        <f>VLOOKUP($A89,LocalisationRemorque,2,0)</f>
        <v>Gembloux</v>
      </c>
      <c r="C89" s="47" t="str">
        <f>VLOOKUP($A89,LocalisationRemorque,3,0)</f>
        <v>Meux</v>
      </c>
      <c r="D89" s="49" t="str">
        <f>CONCATENATE(VLOOKUP($A89,LocalisationRemorque,6,0)," ► ",VLOOKUP($A89,LocalisationRemorque,5,0))</f>
        <v>Gembloux ► E411</v>
      </c>
      <c r="E89" s="52" t="str">
        <f>IF(ISBLANK(Tableau!$E$89), "LIBRE", "OCCUPÉ")</f>
        <v>LIBRE</v>
      </c>
      <c r="F89" s="52" t="str">
        <f>IF(ISBLANK(Tableau!$G$89), "LIBRE", "OCCUPÉ")</f>
        <v>LIBRE</v>
      </c>
      <c r="G89" s="52" t="str">
        <f>IF(ISBLANK(Tableau!$I$89), "LIBRE", "OCCUPÉ")</f>
        <v>LIBRE</v>
      </c>
      <c r="H89" s="52" t="str">
        <f>IF(ISBLANK(Tableau!$K$89), "LIBRE", "OCCUPÉ")</f>
        <v>LIBRE</v>
      </c>
      <c r="I89" s="54" t="str">
        <f>IF(ISBLANK(Tableau!$M$89), "LIBRE", "OCCUPÉ")</f>
        <v>LIBRE</v>
      </c>
      <c r="J89" s="54" t="str">
        <f>IF(ISBLANK(Tableau!$O$89), "LIBRE", "OCCUPÉ")</f>
        <v>LIBRE</v>
      </c>
      <c r="K89" s="54" t="str">
        <f>IF(ISBLANK(Tableau!$Q$89), "LIBRE", "OCCUPÉ")</f>
        <v>LIBRE</v>
      </c>
      <c r="L89" s="54" t="str">
        <f>IF(ISBLANK(Tableau!$S$89), "LIBRE", "OCCUPÉ")</f>
        <v>LIBRE</v>
      </c>
      <c r="M89" s="54" t="str">
        <f>IF(ISBLANK(Tableau!$U$89), "LIBRE", "OCCUPÉ")</f>
        <v>LIBRE</v>
      </c>
      <c r="N89" s="54" t="str">
        <f>IF(ISBLANK(Tableau!$W$89), "LIBRE", "OCCUPÉ")</f>
        <v>LIBRE</v>
      </c>
      <c r="O89" s="54" t="str">
        <f>IF(ISBLANK(Tableau!$Y$89), "LIBRE", "OCCUPÉ")</f>
        <v>LIBRE</v>
      </c>
      <c r="P89" s="52" t="str">
        <f>IF(ISBLANK(Tableau!$AA$89), "LIBRE", "OCCUPÉ")</f>
        <v>LIBRE</v>
      </c>
      <c r="Q89" s="52" t="str">
        <f>IF(ISBLANK(Tableau!$AC$89), "LIBRE", "OCCUPÉ")</f>
        <v>LIBRE</v>
      </c>
      <c r="R89" s="52" t="str">
        <f>IF(ISBLANK(Tableau!$AE$89), "LIBRE", "OCCUPÉ")</f>
        <v>LIBRE</v>
      </c>
      <c r="S89" s="54" t="str">
        <f>IF(ISBLANK(Tableau!$AG$89), "LIBRE", "OCCUPÉ")</f>
        <v>LIBRE</v>
      </c>
      <c r="T89" s="52" t="str">
        <f>IF(ISBLANK(Tableau!$AI$89), "LIBRE", "OCCUPÉ")</f>
        <v>LIBRE</v>
      </c>
      <c r="U89" s="54" t="str">
        <f>IF(ISBLANK(Tableau!$AK$89), "LIBRE", "OCCUPÉ")</f>
        <v>LIBRE</v>
      </c>
      <c r="V89" s="52" t="str">
        <f>IF(ISBLANK(Tableau!$AM$89), "LIBRE", "OCCUPÉ")</f>
        <v>LIBRE</v>
      </c>
      <c r="W89" s="54" t="str">
        <f>IF(ISBLANK(Tableau!$AO$89), "LIBRE", "OCCUPÉ")</f>
        <v>LIBRE</v>
      </c>
      <c r="X89" s="52" t="str">
        <f>IF(ISBLANK(Tableau!$AQ$89), "LIBRE", "OCCUPÉ")</f>
        <v>LIBRE</v>
      </c>
      <c r="Y89" s="54" t="str">
        <f>IF(ISBLANK(Tableau!$AS$89), "LIBRE", "OCCUPÉ")</f>
        <v>LIBRE</v>
      </c>
      <c r="Z89" s="52" t="str">
        <f>IF(ISBLANK(Tableau!$AU$89), "LIBRE", "OCCUPÉ")</f>
        <v>LIBRE</v>
      </c>
      <c r="AA89" s="52" t="str">
        <f>IF(ISBLANK(Tableau!$AW$89), "LIBRE", "OCCUPÉ")</f>
        <v>LIBRE</v>
      </c>
      <c r="AB89" s="76" t="str">
        <f>IF(ISBLANK(Tableau!$AY89), "LIBRE", "OCCUPÉ")</f>
        <v>LIBRE</v>
      </c>
      <c r="AC89" s="70" t="s">
        <v>17</v>
      </c>
    </row>
    <row r="90" ht="21.75" customHeight="1">
      <c r="A90" s="72">
        <f>Tableau!A90</f>
        <v>325</v>
      </c>
      <c r="B90" s="73" t="str">
        <f>VLOOKUP($A90,LocalisationRemorque,2,0)</f>
        <v>Gembloux</v>
      </c>
      <c r="C90" s="74" t="str">
        <f>VLOOKUP($A90,LocalisationRemorque,3,0)</f>
        <v>Corroy-le-Château</v>
      </c>
      <c r="D90" s="75" t="str">
        <f>CONCATENATE(VLOOKUP($A90,LocalisationRemorque,6,0)," ► ",VLOOKUP($A90,LocalisationRemorque,5,0))</f>
        <v>Charleroi ► Gembloux</v>
      </c>
      <c r="E90" s="54" t="str">
        <f>IF(ISBLANK(Tableau!$E$90), "LIBRE", "OCCUPÉ")</f>
        <v>OCCUPÉ</v>
      </c>
      <c r="F90" s="52" t="str">
        <f>IF(ISBLANK(Tableau!$G$90), "LIBRE", "OCCUPÉ")</f>
        <v>OCCUPÉ</v>
      </c>
      <c r="G90" s="54" t="str">
        <f>IF(ISBLANK(Tableau!$I$90), "LIBRE", "OCCUPÉ")</f>
        <v>LIBRE</v>
      </c>
      <c r="H90" s="52" t="str">
        <f>IF(ISBLANK(Tableau!$K$90), "LIBRE", "OCCUPÉ")</f>
        <v>LIBRE</v>
      </c>
      <c r="I90" s="54" t="str">
        <f>IF(ISBLANK(Tableau!$M$90), "LIBRE", "OCCUPÉ")</f>
        <v>LIBRE</v>
      </c>
      <c r="J90" s="54" t="str">
        <f>IF(ISBLANK(Tableau!$O$90), "LIBRE", "OCCUPÉ")</f>
        <v>LIBRE</v>
      </c>
      <c r="K90" s="54" t="str">
        <f>IF(ISBLANK(Tableau!$Q$90), "LIBRE", "OCCUPÉ")</f>
        <v>LIBRE</v>
      </c>
      <c r="L90" s="54" t="str">
        <f>IF(ISBLANK(Tableau!$S$90), "LIBRE", "OCCUPÉ")</f>
        <v>LIBRE</v>
      </c>
      <c r="M90" s="54" t="str">
        <f>IF(ISBLANK(Tableau!$U$90), "LIBRE", "OCCUPÉ")</f>
        <v>LIBRE</v>
      </c>
      <c r="N90" s="54" t="str">
        <f>IF(ISBLANK(Tableau!$W$90), "LIBRE", "OCCUPÉ")</f>
        <v>OCCUPÉ</v>
      </c>
      <c r="O90" s="54" t="str">
        <f>IF(ISBLANK(Tableau!$Y$90), "LIBRE", "OCCUPÉ")</f>
        <v>LIBRE</v>
      </c>
      <c r="P90" s="54" t="str">
        <f>IF(ISBLANK(Tableau!$AA$90), "LIBRE", "OCCUPÉ")</f>
        <v>LIBRE</v>
      </c>
      <c r="Q90" s="54" t="str">
        <f>IF(ISBLANK(Tableau!$AC$90), "LIBRE", "OCCUPÉ")</f>
        <v>LIBRE</v>
      </c>
      <c r="R90" s="54" t="str">
        <f>IF(ISBLANK(Tableau!$AE$90), "LIBRE", "OCCUPÉ")</f>
        <v>OCCUPÉ</v>
      </c>
      <c r="S90" s="54" t="str">
        <f>IF(ISBLANK(Tableau!$AG$90), "LIBRE", "OCCUPÉ")</f>
        <v>LIBRE</v>
      </c>
      <c r="T90" s="52" t="str">
        <f>IF(ISBLANK(Tableau!$AI$90), "LIBRE", "OCCUPÉ")</f>
        <v>LIBRE</v>
      </c>
      <c r="U90" s="54" t="str">
        <f>IF(ISBLANK(Tableau!$AK$90), "LIBRE", "OCCUPÉ")</f>
        <v>LIBRE</v>
      </c>
      <c r="V90" s="54" t="str">
        <f>IF(ISBLANK(Tableau!$AM$90), "LIBRE", "OCCUPÉ")</f>
        <v>OCCUPÉ</v>
      </c>
      <c r="W90" s="54" t="str">
        <f>IF(ISBLANK(Tableau!$AO$90), "LIBRE", "OCCUPÉ")</f>
        <v>LIBRE</v>
      </c>
      <c r="X90" s="52" t="str">
        <f>IF(ISBLANK(Tableau!$AQ$90), "LIBRE", "OCCUPÉ")</f>
        <v>OCCUPÉ</v>
      </c>
      <c r="Y90" s="54" t="str">
        <f>IF(ISBLANK(Tableau!$AS$90), "LIBRE", "OCCUPÉ")</f>
        <v>LIBRE</v>
      </c>
      <c r="Z90" s="52" t="str">
        <f>IF(ISBLANK(Tableau!$AU$90), "LIBRE", "OCCUPÉ")</f>
        <v>LIBRE</v>
      </c>
      <c r="AA90" s="54" t="str">
        <f>IF(ISBLANK(Tableau!$AW$90), "LIBRE", "OCCUPÉ")</f>
        <v>LIBRE</v>
      </c>
      <c r="AB90" s="76" t="str">
        <f>IF(ISBLANK(Tableau!$AY90), "LIBRE", "OCCUPÉ")</f>
        <v>OCCUPÉ</v>
      </c>
      <c r="AC90" s="77" t="s">
        <v>17</v>
      </c>
    </row>
    <row r="91" ht="21.75" customHeight="1">
      <c r="A91" s="40">
        <f>Tableau!A91</f>
        <v>326</v>
      </c>
      <c r="B91" s="46" t="str">
        <f>VLOOKUP($A91,LocalisationRemorque,2,0)</f>
        <v>Gembloux</v>
      </c>
      <c r="C91" s="47" t="str">
        <f>VLOOKUP($A91,LocalisationRemorque,3,0)</f>
        <v>Carrefour Didi - Les Isnes</v>
      </c>
      <c r="D91" s="49" t="str">
        <f>CONCATENATE(VLOOKUP($A91,LocalisationRemorque,6,0)," ► ",VLOOKUP($A91,LocalisationRemorque,5,0))</f>
        <v>E42 ► Eghezée</v>
      </c>
      <c r="E91" s="52" t="str">
        <f>IF(ISBLANK(Tableau!$E$91), "LIBRE", "OCCUPÉ")</f>
        <v>LIBRE</v>
      </c>
      <c r="F91" s="52" t="str">
        <f>IF(ISBLANK(Tableau!$G$91), "LIBRE", "OCCUPÉ")</f>
        <v>LIBRE</v>
      </c>
      <c r="G91" s="54" t="str">
        <f>IF(ISBLANK(Tableau!$I$91), "LIBRE", "OCCUPÉ")</f>
        <v>LIBRE</v>
      </c>
      <c r="H91" s="52" t="str">
        <f>IF(ISBLANK(Tableau!$K$91), "LIBRE", "OCCUPÉ")</f>
        <v>LIBRE</v>
      </c>
      <c r="I91" s="54" t="str">
        <f>IF(ISBLANK(Tableau!$M$91), "LIBRE", "OCCUPÉ")</f>
        <v>LIBRE</v>
      </c>
      <c r="J91" s="52" t="str">
        <f>IF(ISBLANK(Tableau!$O$91), "LIBRE", "OCCUPÉ")</f>
        <v>LIBRE</v>
      </c>
      <c r="K91" s="52" t="str">
        <f>IF(ISBLANK(Tableau!$Q$91), "LIBRE", "OCCUPÉ")</f>
        <v>LIBRE</v>
      </c>
      <c r="L91" s="52" t="str">
        <f>IF(ISBLANK(Tableau!$S$91), "LIBRE", "OCCUPÉ")</f>
        <v>LIBRE</v>
      </c>
      <c r="M91" s="52" t="str">
        <f>IF(ISBLANK(Tableau!$U$91), "LIBRE", "OCCUPÉ")</f>
        <v>LIBRE</v>
      </c>
      <c r="N91" s="52" t="str">
        <f>IF(ISBLANK(Tableau!$W$91), "LIBRE", "OCCUPÉ")</f>
        <v>LIBRE</v>
      </c>
      <c r="O91" s="52" t="str">
        <f>IF(ISBLANK(Tableau!$Y$91), "LIBRE", "OCCUPÉ")</f>
        <v>LIBRE</v>
      </c>
      <c r="P91" s="52" t="str">
        <f>IF(ISBLANK(Tableau!$AA$91), "LIBRE", "OCCUPÉ")</f>
        <v>LIBRE</v>
      </c>
      <c r="Q91" s="54" t="str">
        <f>IF(ISBLANK(Tableau!$AC$91), "LIBRE", "OCCUPÉ")</f>
        <v>LIBRE</v>
      </c>
      <c r="R91" s="52" t="str">
        <f>IF(ISBLANK(Tableau!$AE$91), "LIBRE", "OCCUPÉ")</f>
        <v>LIBRE</v>
      </c>
      <c r="S91" s="52" t="str">
        <f>IF(ISBLANK(Tableau!$AG$91), "LIBRE", "OCCUPÉ")</f>
        <v>LIBRE</v>
      </c>
      <c r="T91" s="52" t="str">
        <f>IF(ISBLANK(Tableau!$AI$91), "LIBRE", "OCCUPÉ")</f>
        <v>LIBRE</v>
      </c>
      <c r="U91" s="52" t="str">
        <f>IF(ISBLANK(Tableau!$AK$91), "LIBRE", "OCCUPÉ")</f>
        <v>LIBRE</v>
      </c>
      <c r="V91" s="52" t="str">
        <f>IF(ISBLANK(Tableau!$AM$91), "LIBRE", "OCCUPÉ")</f>
        <v>LIBRE</v>
      </c>
      <c r="W91" s="52" t="str">
        <f>IF(ISBLANK(Tableau!$AO$91), "LIBRE", "OCCUPÉ")</f>
        <v>LIBRE</v>
      </c>
      <c r="X91" s="52" t="str">
        <f>IF(ISBLANK(Tableau!$AQ$91), "LIBRE", "OCCUPÉ")</f>
        <v>LIBRE</v>
      </c>
      <c r="Y91" s="52" t="str">
        <f>IF(ISBLANK(Tableau!$AS$91), "LIBRE", "OCCUPÉ")</f>
        <v>LIBRE</v>
      </c>
      <c r="Z91" s="52" t="str">
        <f>IF(ISBLANK(Tableau!$AU$91), "LIBRE", "OCCUPÉ")</f>
        <v>LIBRE</v>
      </c>
      <c r="AA91" s="52" t="str">
        <f>IF(ISBLANK(Tableau!$AW$91), "LIBRE", "OCCUPÉ")</f>
        <v>LIBRE</v>
      </c>
      <c r="AB91" s="76" t="str">
        <f>IF(ISBLANK(Tableau!$AY91), "LIBRE", "OCCUPÉ")</f>
        <v>LIBRE</v>
      </c>
      <c r="AC91" s="70" t="s">
        <v>17</v>
      </c>
    </row>
    <row r="92" ht="21.75" customHeight="1">
      <c r="A92" s="72">
        <f>Tableau!A92</f>
        <v>327</v>
      </c>
      <c r="B92" s="73" t="str">
        <f>VLOOKUP($A92,LocalisationRemorque,2,0)</f>
        <v>Gembloux</v>
      </c>
      <c r="C92" s="74" t="str">
        <f>VLOOKUP($A92,LocalisationRemorque,3,0)</f>
        <v>Carrefour Didi - Gembloux</v>
      </c>
      <c r="D92" s="75" t="str">
        <f>CONCATENATE(VLOOKUP($A92,LocalisationRemorque,6,0)," ► ",VLOOKUP($A92,LocalisationRemorque,5,0))</f>
        <v>Gembloux ► Namur</v>
      </c>
      <c r="E92" s="54" t="str">
        <f>IF(ISBLANK(Tableau!$E$92), "LIBRE", "OCCUPÉ")</f>
        <v>LIBRE</v>
      </c>
      <c r="F92" s="52" t="str">
        <f>IF(ISBLANK(Tableau!$G$92), "LIBRE", "OCCUPÉ")</f>
        <v>LIBRE</v>
      </c>
      <c r="G92" s="54" t="str">
        <f>IF(ISBLANK(Tableau!$I$92), "LIBRE", "OCCUPÉ")</f>
        <v>LIBRE</v>
      </c>
      <c r="H92" s="52" t="str">
        <f>IF(ISBLANK(Tableau!$K$92), "LIBRE", "OCCUPÉ")</f>
        <v>LIBRE</v>
      </c>
      <c r="I92" s="54" t="str">
        <f>IF(ISBLANK(Tableau!$M$92), "LIBRE", "OCCUPÉ")</f>
        <v>LIBRE</v>
      </c>
      <c r="J92" s="54" t="str">
        <f>IF(ISBLANK(Tableau!$O$92), "LIBRE", "OCCUPÉ")</f>
        <v>LIBRE</v>
      </c>
      <c r="K92" s="54" t="str">
        <f>IF(ISBLANK(Tableau!$Q$92), "LIBRE", "OCCUPÉ")</f>
        <v>LIBRE</v>
      </c>
      <c r="L92" s="54" t="str">
        <f>IF(ISBLANK(Tableau!$S$92), "LIBRE", "OCCUPÉ")</f>
        <v>LIBRE</v>
      </c>
      <c r="M92" s="54" t="str">
        <f>IF(ISBLANK(Tableau!$U$92), "LIBRE", "OCCUPÉ")</f>
        <v>LIBRE</v>
      </c>
      <c r="N92" s="54" t="str">
        <f>IF(ISBLANK(Tableau!$W$92), "LIBRE", "OCCUPÉ")</f>
        <v>LIBRE</v>
      </c>
      <c r="O92" s="52" t="str">
        <f>IF(ISBLANK(Tableau!$Y$92), "LIBRE", "OCCUPÉ")</f>
        <v>LIBRE</v>
      </c>
      <c r="P92" s="54" t="str">
        <f>IF(ISBLANK(Tableau!$AA$92), "LIBRE", "OCCUPÉ")</f>
        <v>LIBRE</v>
      </c>
      <c r="Q92" s="54" t="str">
        <f>IF(ISBLANK(Tableau!$AC$92), "LIBRE", "OCCUPÉ")</f>
        <v>OCCUPÉ</v>
      </c>
      <c r="R92" s="52" t="str">
        <f>IF(ISBLANK(Tableau!$AE$92), "LIBRE", "OCCUPÉ")</f>
        <v>LIBRE</v>
      </c>
      <c r="S92" s="54" t="str">
        <f>IF(ISBLANK(Tableau!$AG$92), "LIBRE", "OCCUPÉ")</f>
        <v>OCCUPÉ</v>
      </c>
      <c r="T92" s="52" t="str">
        <f>IF(ISBLANK(Tableau!$AI$92), "LIBRE", "OCCUPÉ")</f>
        <v>LIBRE</v>
      </c>
      <c r="U92" s="54" t="str">
        <f>IF(ISBLANK(Tableau!$AK$92), "LIBRE", "OCCUPÉ")</f>
        <v>LIBRE</v>
      </c>
      <c r="V92" s="52" t="str">
        <f>IF(ISBLANK(Tableau!$AM$92), "LIBRE", "OCCUPÉ")</f>
        <v>LIBRE</v>
      </c>
      <c r="W92" s="52" t="str">
        <f>IF(ISBLANK(Tableau!$AO$92), "LIBRE", "OCCUPÉ")</f>
        <v>OCCUPÉ</v>
      </c>
      <c r="X92" s="52" t="str">
        <f>IF(ISBLANK(Tableau!$AQ$92), "LIBRE", "OCCUPÉ")</f>
        <v>LIBRE</v>
      </c>
      <c r="Y92" s="52" t="str">
        <f>IF(ISBLANK(Tableau!$AS$92), "LIBRE", "OCCUPÉ")</f>
        <v>LIBRE</v>
      </c>
      <c r="Z92" s="52" t="str">
        <f>IF(ISBLANK(Tableau!$AU$92), "LIBRE", "OCCUPÉ")</f>
        <v>LIBRE</v>
      </c>
      <c r="AA92" s="52" t="str">
        <f>IF(ISBLANK(Tableau!$AW$92), "LIBRE", "OCCUPÉ")</f>
        <v>LIBRE</v>
      </c>
      <c r="AB92" s="76" t="str">
        <f>IF(ISBLANK(Tableau!$AY92), "LIBRE", "OCCUPÉ")</f>
        <v>LIBRE</v>
      </c>
      <c r="AC92" s="77" t="s">
        <v>17</v>
      </c>
    </row>
    <row r="93" ht="21.75" customHeight="1">
      <c r="A93" s="40">
        <f>Tableau!A93</f>
        <v>328</v>
      </c>
      <c r="B93" s="46" t="str">
        <f>VLOOKUP($A93,LocalisationRemorque,2,0)</f>
        <v>Gembloux</v>
      </c>
      <c r="C93" s="47" t="str">
        <f>VLOOKUP($A93,LocalisationRemorque,3,0)</f>
        <v>Sauvenière</v>
      </c>
      <c r="D93" s="49" t="str">
        <f>CONCATENATE(VLOOKUP($A93,LocalisationRemorque,6,0)," ► ",VLOOKUP($A93,LocalisationRemorque,5,0))</f>
        <v>Gembloux ► E411</v>
      </c>
      <c r="E93" s="54" t="str">
        <f>IF(ISBLANK(Tableau!$E$93), "LIBRE", "OCCUPÉ")</f>
        <v>OCCUPÉ</v>
      </c>
      <c r="F93" s="54" t="str">
        <f>IF(ISBLANK(Tableau!$G$93), "LIBRE", "OCCUPÉ")</f>
        <v>LIBRE</v>
      </c>
      <c r="G93" s="52" t="str">
        <f>IF(ISBLANK(Tableau!$I$93), "LIBRE", "OCCUPÉ")</f>
        <v>LIBRE</v>
      </c>
      <c r="H93" s="54" t="str">
        <f>IF(ISBLANK(Tableau!$K$93), "LIBRE", "OCCUPÉ")</f>
        <v>LIBRE</v>
      </c>
      <c r="I93" s="54" t="str">
        <f>IF(ISBLANK(Tableau!$M$93), "LIBRE", "OCCUPÉ")</f>
        <v>LIBRE</v>
      </c>
      <c r="J93" s="54" t="str">
        <f>IF(ISBLANK(Tableau!$O$93), "LIBRE", "OCCUPÉ")</f>
        <v>LIBRE</v>
      </c>
      <c r="K93" s="54" t="str">
        <f>IF(ISBLANK(Tableau!$Q$93), "LIBRE", "OCCUPÉ")</f>
        <v>LIBRE</v>
      </c>
      <c r="L93" s="54" t="str">
        <f>IF(ISBLANK(Tableau!$S$93), "LIBRE", "OCCUPÉ")</f>
        <v>LIBRE</v>
      </c>
      <c r="M93" s="54" t="str">
        <f>IF(ISBLANK(Tableau!$U$93), "LIBRE", "OCCUPÉ")</f>
        <v>LIBRE</v>
      </c>
      <c r="N93" s="54" t="str">
        <f>IF(ISBLANK(Tableau!$W$93), "LIBRE", "OCCUPÉ")</f>
        <v>LIBRE</v>
      </c>
      <c r="O93" s="54" t="str">
        <f>IF(ISBLANK(Tableau!$Y$93), "LIBRE", "OCCUPÉ")</f>
        <v>LIBRE</v>
      </c>
      <c r="P93" s="54" t="str">
        <f>IF(ISBLANK(Tableau!$AA$93), "LIBRE", "OCCUPÉ")</f>
        <v>LIBRE</v>
      </c>
      <c r="Q93" s="54" t="str">
        <f>IF(ISBLANK(Tableau!$AC$93), "LIBRE", "OCCUPÉ")</f>
        <v>LIBRE</v>
      </c>
      <c r="R93" s="54" t="str">
        <f>IF(ISBLANK(Tableau!$AE$93), "LIBRE", "OCCUPÉ")</f>
        <v>LIBRE</v>
      </c>
      <c r="S93" s="52" t="str">
        <f>IF(ISBLANK(Tableau!$AG$93), "LIBRE", "OCCUPÉ")</f>
        <v>LIBRE</v>
      </c>
      <c r="T93" s="54" t="str">
        <f>IF(ISBLANK(Tableau!$AI$93), "LIBRE", "OCCUPÉ")</f>
        <v>LIBRE</v>
      </c>
      <c r="U93" s="52" t="str">
        <f>IF(ISBLANK(Tableau!$AK$93), "LIBRE", "OCCUPÉ")</f>
        <v>LIBRE</v>
      </c>
      <c r="V93" s="54" t="str">
        <f>IF(ISBLANK(Tableau!$AM$93), "LIBRE", "OCCUPÉ")</f>
        <v>LIBRE</v>
      </c>
      <c r="W93" s="52" t="str">
        <f>IF(ISBLANK(Tableau!$AO$93), "LIBRE", "OCCUPÉ")</f>
        <v>OCCUPÉ</v>
      </c>
      <c r="X93" s="54" t="str">
        <f>IF(ISBLANK(Tableau!$AQ$93), "LIBRE", "OCCUPÉ")</f>
        <v>LIBRE</v>
      </c>
      <c r="Y93" s="52" t="str">
        <f>IF(ISBLANK(Tableau!$AS$93), "LIBRE", "OCCUPÉ")</f>
        <v>LIBRE</v>
      </c>
      <c r="Z93" s="54" t="str">
        <f>IF(ISBLANK(Tableau!$AU$93), "LIBRE", "OCCUPÉ")</f>
        <v>LIBRE</v>
      </c>
      <c r="AA93" s="52" t="str">
        <f>IF(ISBLANK(Tableau!$AW$93), "LIBRE", "OCCUPÉ")</f>
        <v>LIBRE</v>
      </c>
      <c r="AB93" s="69" t="str">
        <f>IF(ISBLANK(Tableau!$AY93), "LIBRE", "OCCUPÉ")</f>
        <v>LIBRE</v>
      </c>
      <c r="AC93" s="70" t="s">
        <v>17</v>
      </c>
    </row>
    <row r="94" ht="21.75" hidden="1" customHeight="1">
      <c r="A94" s="72">
        <f>Tableau!A94</f>
        <v>329</v>
      </c>
      <c r="B94" s="73" t="str">
        <f>VLOOKUP($A94,LocalisationRemorque,2,0)</f>
        <v>Gembloux</v>
      </c>
      <c r="C94" s="74" t="str">
        <f>VLOOKUP($A94,LocalisationRemorque,3,0)</f>
        <v>Ernage/Walhain</v>
      </c>
      <c r="D94" s="75" t="str">
        <f>CONCATENATE(VLOOKUP($A94,LocalisationRemorque,6,0)," ► ",VLOOKUP($A94,LocalisationRemorque,5,0))</f>
        <v>Gembloux ► LLN</v>
      </c>
      <c r="E94" s="54" t="str">
        <f>IF(ISBLANK(Tableau!$E$94), "LIBRE", "OCCUPÉ")</f>
        <v>OCCUPÉ</v>
      </c>
      <c r="F94" s="52" t="str">
        <f>IF(ISBLANK(Tableau!$G$94), "LIBRE", "OCCUPÉ")</f>
        <v>LIBRE</v>
      </c>
      <c r="G94" s="54" t="str">
        <f>IF(ISBLANK(Tableau!$I$94), "LIBRE", "OCCUPÉ")</f>
        <v>LIBRE</v>
      </c>
      <c r="H94" s="52" t="str">
        <f>IF(ISBLANK(Tableau!$K$94), "LIBRE", "OCCUPÉ")</f>
        <v>LIBRE</v>
      </c>
      <c r="I94" s="54" t="str">
        <f>IF(ISBLANK(Tableau!$M$94), "LIBRE", "OCCUPÉ")</f>
        <v>LIBRE</v>
      </c>
      <c r="J94" s="54" t="str">
        <f>IF(ISBLANK(Tableau!$O$94), "LIBRE", "OCCUPÉ")</f>
        <v>LIBRE</v>
      </c>
      <c r="K94" s="54" t="str">
        <f>IF(ISBLANK(Tableau!$Q$94), "LIBRE", "OCCUPÉ")</f>
        <v>OCCUPÉ</v>
      </c>
      <c r="L94" s="54" t="str">
        <f>IF(ISBLANK(Tableau!$S$94), "LIBRE", "OCCUPÉ")</f>
        <v>LIBRE</v>
      </c>
      <c r="M94" s="54" t="str">
        <f>IF(ISBLANK(Tableau!$U$94), "LIBRE", "OCCUPÉ")</f>
        <v>LIBRE</v>
      </c>
      <c r="N94" s="54" t="str">
        <f>IF(ISBLANK(Tableau!$W$94), "LIBRE", "OCCUPÉ")</f>
        <v>LIBRE</v>
      </c>
      <c r="O94" s="54" t="str">
        <f>IF(ISBLANK(Tableau!$Y$94), "LIBRE", "OCCUPÉ")</f>
        <v>LIBRE</v>
      </c>
      <c r="P94" s="54" t="str">
        <f>IF(ISBLANK(Tableau!$AA$94), "LIBRE", "OCCUPÉ")</f>
        <v>LIBRE</v>
      </c>
      <c r="Q94" s="54" t="str">
        <f>IF(ISBLANK(Tableau!$AC$94), "LIBRE", "OCCUPÉ")</f>
        <v>LIBRE</v>
      </c>
      <c r="R94" s="54" t="str">
        <f>IF(ISBLANK(Tableau!$AE$94), "LIBRE", "OCCUPÉ")</f>
        <v>OCCUPÉ</v>
      </c>
      <c r="S94" s="54" t="str">
        <f>IF(ISBLANK(Tableau!$AG$94), "LIBRE", "OCCUPÉ")</f>
        <v>LIBRE</v>
      </c>
      <c r="T94" s="52" t="str">
        <f>IF(ISBLANK(Tableau!$AI$94), "LIBRE", "OCCUPÉ")</f>
        <v>LIBRE</v>
      </c>
      <c r="U94" s="54" t="str">
        <f>IF(ISBLANK(Tableau!$AK$94), "LIBRE", "OCCUPÉ")</f>
        <v>LIBRE</v>
      </c>
      <c r="V94" s="54" t="str">
        <f>IF(ISBLANK(Tableau!$AM$94), "LIBRE", "OCCUPÉ")</f>
        <v>LIBRE</v>
      </c>
      <c r="W94" s="54" t="str">
        <f>IF(ISBLANK(Tableau!$AO$94), "LIBRE", "OCCUPÉ")</f>
        <v>LIBRE</v>
      </c>
      <c r="X94" s="52" t="str">
        <f>IF(ISBLANK(Tableau!$AQ$94), "LIBRE", "OCCUPÉ")</f>
        <v>LIBRE</v>
      </c>
      <c r="Y94" s="54" t="str">
        <f>IF(ISBLANK(Tableau!$AS$94), "LIBRE", "OCCUPÉ")</f>
        <v>OCCUPÉ</v>
      </c>
      <c r="Z94" s="52" t="str">
        <f>IF(ISBLANK(Tableau!$AU$94), "LIBRE", "OCCUPÉ")</f>
        <v>LIBRE</v>
      </c>
      <c r="AA94" s="52" t="str">
        <f>IF(ISBLANK(Tableau!$AW$94), "LIBRE", "OCCUPÉ")</f>
        <v>OCCUPÉ</v>
      </c>
      <c r="AB94" s="76" t="str">
        <f>IF(ISBLANK(Tableau!$AY94), "LIBRE", "OCCUPÉ")</f>
        <v>LIBRE</v>
      </c>
      <c r="AC94" s="77"/>
    </row>
    <row r="95" ht="21.75" hidden="1" customHeight="1">
      <c r="A95" s="40">
        <f>Tableau!A95</f>
        <v>330</v>
      </c>
      <c r="B95" s="46" t="str">
        <f>VLOOKUP($A95,LocalisationRemorque,2,0)</f>
        <v>Namur</v>
      </c>
      <c r="C95" s="47" t="str">
        <f>VLOOKUP($A95,LocalisationRemorque,3,0)</f>
        <v>Waret-La-Chée - Leuze</v>
      </c>
      <c r="D95" s="49" t="str">
        <f>CONCATENATE(VLOOKUP($A95,LocalisationRemorque,6,0)," ► ",VLOOKUP($A95,LocalisationRemorque,5,0))</f>
        <v>E411 (Champion) ► Eghezee</v>
      </c>
      <c r="E95" s="52" t="str">
        <f>IF(ISBLANK(Tableau!$E$95), "LIBRE", "OCCUPÉ")</f>
        <v>LIBRE</v>
      </c>
      <c r="F95" s="52" t="str">
        <f>IF(ISBLANK(Tableau!$G$95), "LIBRE", "OCCUPÉ")</f>
        <v>OCCUPÉ</v>
      </c>
      <c r="G95" s="54" t="str">
        <f>IF(ISBLANK(Tableau!$I$95), "LIBRE", "OCCUPÉ")</f>
        <v>LIBRE</v>
      </c>
      <c r="H95" s="52" t="str">
        <f>IF(ISBLANK(Tableau!$K$95), "LIBRE", "OCCUPÉ")</f>
        <v>LIBRE</v>
      </c>
      <c r="I95" s="54" t="str">
        <f>IF(ISBLANK(Tableau!$M$95), "LIBRE", "OCCUPÉ")</f>
        <v>LIBRE</v>
      </c>
      <c r="J95" s="54" t="str">
        <f>IF(ISBLANK(Tableau!$O$95), "LIBRE", "OCCUPÉ")</f>
        <v>LIBRE</v>
      </c>
      <c r="K95" s="54" t="str">
        <f>IF(ISBLANK(Tableau!$Q$95), "LIBRE", "OCCUPÉ")</f>
        <v>LIBRE</v>
      </c>
      <c r="L95" s="54" t="str">
        <f>IF(ISBLANK(Tableau!$S$95), "LIBRE", "OCCUPÉ")</f>
        <v>LIBRE</v>
      </c>
      <c r="M95" s="54" t="str">
        <f>IF(ISBLANK(Tableau!$U$95), "LIBRE", "OCCUPÉ")</f>
        <v>LIBRE</v>
      </c>
      <c r="N95" s="54" t="str">
        <f>IF(ISBLANK(Tableau!$W$95), "LIBRE", "OCCUPÉ")</f>
        <v>OCCUPÉ</v>
      </c>
      <c r="O95" s="54" t="str">
        <f>IF(ISBLANK(Tableau!$Y$95), "LIBRE", "OCCUPÉ")</f>
        <v>LIBRE</v>
      </c>
      <c r="P95" s="52" t="str">
        <f>IF(ISBLANK(Tableau!$AA$95), "LIBRE", "OCCUPÉ")</f>
        <v>OCCUPÉ</v>
      </c>
      <c r="Q95" s="52" t="str">
        <f>IF(ISBLANK(Tableau!$AC$95), "LIBRE", "OCCUPÉ")</f>
        <v>LIBRE</v>
      </c>
      <c r="R95" s="54" t="str">
        <f>IF(ISBLANK(Tableau!$AE$95), "LIBRE", "OCCUPÉ")</f>
        <v>OCCUPÉ</v>
      </c>
      <c r="S95" s="52" t="str">
        <f>IF(ISBLANK(Tableau!$AG$95), "LIBRE", "OCCUPÉ")</f>
        <v>LIBRE</v>
      </c>
      <c r="T95" s="52" t="str">
        <f>IF(ISBLANK(Tableau!$AI$95), "LIBRE", "OCCUPÉ")</f>
        <v>LIBRE</v>
      </c>
      <c r="U95" s="54" t="str">
        <f>IF(ISBLANK(Tableau!$AK$95), "LIBRE", "OCCUPÉ")</f>
        <v>LIBRE</v>
      </c>
      <c r="V95" s="52" t="str">
        <f>IF(ISBLANK(Tableau!$AM$95), "LIBRE", "OCCUPÉ")</f>
        <v>OCCUPÉ</v>
      </c>
      <c r="W95" s="52" t="str">
        <f>IF(ISBLANK(Tableau!$AO$95), "LIBRE", "OCCUPÉ")</f>
        <v>LIBRE</v>
      </c>
      <c r="X95" s="52" t="str">
        <f>IF(ISBLANK(Tableau!$AQ$95), "LIBRE", "OCCUPÉ")</f>
        <v>LIBRE</v>
      </c>
      <c r="Y95" s="52" t="str">
        <f>IF(ISBLANK(Tableau!$AS$95), "LIBRE", "OCCUPÉ")</f>
        <v>LIBRE</v>
      </c>
      <c r="Z95" s="52" t="str">
        <f>IF(ISBLANK(Tableau!$AU$95), "LIBRE", "OCCUPÉ")</f>
        <v>LIBRE</v>
      </c>
      <c r="AA95" s="52" t="str">
        <f>IF(ISBLANK(Tableau!$AW$95), "LIBRE", "OCCUPÉ")</f>
        <v>LIBRE</v>
      </c>
      <c r="AB95" s="69" t="str">
        <f>IF(ISBLANK(Tableau!$AY95), "LIBRE", "OCCUPÉ")</f>
        <v>LIBRE</v>
      </c>
      <c r="AC95" s="70"/>
    </row>
    <row r="96" ht="21.75" hidden="1" customHeight="1">
      <c r="A96" s="72">
        <f>Tableau!A96</f>
        <v>331</v>
      </c>
      <c r="B96" s="73" t="str">
        <f>VLOOKUP($A96,LocalisationRemorque,2,0)</f>
        <v>Namur</v>
      </c>
      <c r="C96" s="74" t="str">
        <f>VLOOKUP($A96,LocalisationRemorque,3,0)</f>
        <v>Bouge</v>
      </c>
      <c r="D96" s="75" t="str">
        <f>CONCATENATE(VLOOKUP($A96,LocalisationRemorque,6,0)," ► ",VLOOKUP($A96,LocalisationRemorque,5,0))</f>
        <v>Namur ► Hannut</v>
      </c>
      <c r="E96" s="54" t="str">
        <f>IF(ISBLANK(Tableau!$E$96), "LIBRE", "OCCUPÉ")</f>
        <v>OCCUPÉ</v>
      </c>
      <c r="F96" s="54" t="str">
        <f>IF(ISBLANK(Tableau!$G$96), "LIBRE", "OCCUPÉ")</f>
        <v>OCCUPÉ</v>
      </c>
      <c r="G96" s="54" t="str">
        <f>IF(ISBLANK(Tableau!$I$96), "LIBRE", "OCCUPÉ")</f>
        <v>OCCUPÉ</v>
      </c>
      <c r="H96" s="52" t="str">
        <f>IF(ISBLANK(Tableau!$K$96), "LIBRE", "OCCUPÉ")</f>
        <v>LIBRE</v>
      </c>
      <c r="I96" s="54" t="str">
        <f>IF(ISBLANK(Tableau!$M$96), "LIBRE", "OCCUPÉ")</f>
        <v>OCCUPÉ</v>
      </c>
      <c r="J96" s="54" t="str">
        <f>IF(ISBLANK(Tableau!$O$96), "LIBRE", "OCCUPÉ")</f>
        <v>LIBRE</v>
      </c>
      <c r="K96" s="54" t="str">
        <f>IF(ISBLANK(Tableau!$Q$96), "LIBRE", "OCCUPÉ")</f>
        <v>OCCUPÉ</v>
      </c>
      <c r="L96" s="54" t="str">
        <f>IF(ISBLANK(Tableau!$S$96), "LIBRE", "OCCUPÉ")</f>
        <v>LIBRE</v>
      </c>
      <c r="M96" s="54" t="str">
        <f>IF(ISBLANK(Tableau!$U$96), "LIBRE", "OCCUPÉ")</f>
        <v>OCCUPÉ</v>
      </c>
      <c r="N96" s="54" t="str">
        <f>IF(ISBLANK(Tableau!$W$96), "LIBRE", "OCCUPÉ")</f>
        <v>OCCUPÉ</v>
      </c>
      <c r="O96" s="54" t="str">
        <f>IF(ISBLANK(Tableau!$Y$96), "LIBRE", "OCCUPÉ")</f>
        <v>LIBRE</v>
      </c>
      <c r="P96" s="54" t="str">
        <f>IF(ISBLANK(Tableau!$AA$96), "LIBRE", "OCCUPÉ")</f>
        <v>LIBRE</v>
      </c>
      <c r="Q96" s="52" t="str">
        <f>IF(ISBLANK(Tableau!$AC$96), "LIBRE", "OCCUPÉ")</f>
        <v>OCCUPÉ</v>
      </c>
      <c r="R96" s="54" t="str">
        <f>IF(ISBLANK(Tableau!$AE$96), "LIBRE", "OCCUPÉ")</f>
        <v>LIBRE</v>
      </c>
      <c r="S96" s="54" t="str">
        <f>IF(ISBLANK(Tableau!$AG$96), "LIBRE", "OCCUPÉ")</f>
        <v>LIBRE</v>
      </c>
      <c r="T96" s="52" t="str">
        <f>IF(ISBLANK(Tableau!$AI$96), "LIBRE", "OCCUPÉ")</f>
        <v>LIBRE</v>
      </c>
      <c r="U96" s="54" t="str">
        <f>IF(ISBLANK(Tableau!$AK$96), "LIBRE", "OCCUPÉ")</f>
        <v>LIBRE</v>
      </c>
      <c r="V96" s="54" t="str">
        <f>IF(ISBLANK(Tableau!$AM$96), "LIBRE", "OCCUPÉ")</f>
        <v>OCCUPÉ</v>
      </c>
      <c r="W96" s="52" t="str">
        <f>IF(ISBLANK(Tableau!$AO$96), "LIBRE", "OCCUPÉ")</f>
        <v>LIBRE</v>
      </c>
      <c r="X96" s="54" t="str">
        <f>IF(ISBLANK(Tableau!$AQ$96), "LIBRE", "OCCUPÉ")</f>
        <v>LIBRE</v>
      </c>
      <c r="Y96" s="54" t="str">
        <f>IF(ISBLANK(Tableau!$AS$96), "LIBRE", "OCCUPÉ")</f>
        <v>LIBRE</v>
      </c>
      <c r="Z96" s="54" t="str">
        <f>IF(ISBLANK(Tableau!$AU$96), "LIBRE", "OCCUPÉ")</f>
        <v>LIBRE</v>
      </c>
      <c r="AA96" s="52" t="str">
        <f>IF(ISBLANK(Tableau!$AW$96), "LIBRE", "OCCUPÉ")</f>
        <v>LIBRE</v>
      </c>
      <c r="AB96" s="76" t="str">
        <f>IF(ISBLANK(Tableau!$AY96), "LIBRE", "OCCUPÉ")</f>
        <v>LIBRE</v>
      </c>
      <c r="AC96" s="155"/>
    </row>
    <row r="97" ht="21.75" hidden="1" customHeight="1">
      <c r="A97" s="40">
        <f>Tableau!A97</f>
        <v>332</v>
      </c>
      <c r="B97" s="46" t="str">
        <f>VLOOKUP($A97,LocalisationRemorque,2,0)</f>
        <v>Namur</v>
      </c>
      <c r="C97" s="47" t="str">
        <f>VLOOKUP($A97,LocalisationRemorque,3,0)</f>
        <v>Flawinne</v>
      </c>
      <c r="D97" s="49" t="str">
        <f>CONCATENATE(VLOOKUP($A97,LocalisationRemorque,6,0)," ► ",VLOOKUP($A97,LocalisationRemorque,5,0))</f>
        <v>Floreffe ► Namur</v>
      </c>
      <c r="E97" s="54" t="str">
        <f>IF(ISBLANK(Tableau!$E$97), "LIBRE", "OCCUPÉ")</f>
        <v>OCCUPÉ</v>
      </c>
      <c r="F97" s="54" t="str">
        <f>IF(ISBLANK(Tableau!$G$97), "LIBRE", "OCCUPÉ")</f>
        <v>LIBRE</v>
      </c>
      <c r="G97" s="54" t="str">
        <f>IF(ISBLANK(Tableau!$I$97), "LIBRE", "OCCUPÉ")</f>
        <v>OCCUPÉ</v>
      </c>
      <c r="H97" s="52" t="str">
        <f>IF(ISBLANK(Tableau!$K$97), "LIBRE", "OCCUPÉ")</f>
        <v>LIBRE</v>
      </c>
      <c r="I97" s="54" t="str">
        <f>IF(ISBLANK(Tableau!$M$97), "LIBRE", "OCCUPÉ")</f>
        <v>OCCUPÉ</v>
      </c>
      <c r="J97" s="52" t="str">
        <f>IF(ISBLANK(Tableau!$O$97), "LIBRE", "OCCUPÉ")</f>
        <v>LIBRE</v>
      </c>
      <c r="K97" s="54" t="str">
        <f>IF(ISBLANK(Tableau!$Q$97), "LIBRE", "OCCUPÉ")</f>
        <v>OCCUPÉ</v>
      </c>
      <c r="L97" s="54" t="str">
        <f>IF(ISBLANK(Tableau!$S$97), "LIBRE", "OCCUPÉ")</f>
        <v>LIBRE</v>
      </c>
      <c r="M97" s="54" t="str">
        <f>IF(ISBLANK(Tableau!$U$97), "LIBRE", "OCCUPÉ")</f>
        <v>OCCUPÉ</v>
      </c>
      <c r="N97" s="52" t="str">
        <f>IF(ISBLANK(Tableau!$W$97), "LIBRE", "OCCUPÉ")</f>
        <v>LIBRE</v>
      </c>
      <c r="O97" s="54" t="str">
        <f>IF(ISBLANK(Tableau!$Y$97), "LIBRE", "OCCUPÉ")</f>
        <v>LIBRE</v>
      </c>
      <c r="P97" s="54" t="str">
        <f>IF(ISBLANK(Tableau!$AA$97), "LIBRE", "OCCUPÉ")</f>
        <v>LIBRE</v>
      </c>
      <c r="Q97" s="52" t="str">
        <f>IF(ISBLANK(Tableau!$AC$97), "LIBRE", "OCCUPÉ")</f>
        <v>LIBRE</v>
      </c>
      <c r="R97" s="52" t="str">
        <f>IF(ISBLANK(Tableau!$AE$97), "LIBRE", "OCCUPÉ")</f>
        <v>LIBRE</v>
      </c>
      <c r="S97" s="52" t="str">
        <f>IF(ISBLANK(Tableau!$AG$97), "LIBRE", "OCCUPÉ")</f>
        <v>OCCUPÉ</v>
      </c>
      <c r="T97" s="52" t="str">
        <f>IF(ISBLANK(Tableau!$AI$97), "LIBRE", "OCCUPÉ")</f>
        <v>LIBRE</v>
      </c>
      <c r="U97" s="52" t="str">
        <f>IF(ISBLANK(Tableau!$AK$97), "LIBRE", "OCCUPÉ")</f>
        <v>LIBRE</v>
      </c>
      <c r="V97" s="52" t="str">
        <f>IF(ISBLANK(Tableau!$AM$97), "LIBRE", "OCCUPÉ")</f>
        <v>LIBRE</v>
      </c>
      <c r="W97" s="52" t="str">
        <f>IF(ISBLANK(Tableau!$AO$97), "LIBRE", "OCCUPÉ")</f>
        <v>LIBRE</v>
      </c>
      <c r="X97" s="52" t="str">
        <f>IF(ISBLANK(Tableau!$AQ$97), "LIBRE", "OCCUPÉ")</f>
        <v>LIBRE</v>
      </c>
      <c r="Y97" s="54" t="str">
        <f>IF(ISBLANK(Tableau!$AS$97), "LIBRE", "OCCUPÉ")</f>
        <v>LIBRE</v>
      </c>
      <c r="Z97" s="52" t="str">
        <f>IF(ISBLANK(Tableau!$AU$97), "LIBRE", "OCCUPÉ")</f>
        <v>LIBRE</v>
      </c>
      <c r="AA97" s="52" t="str">
        <f>IF(ISBLANK(Tableau!$AW$97), "LIBRE", "OCCUPÉ")</f>
        <v>LIBRE</v>
      </c>
      <c r="AB97" s="76" t="str">
        <f>IF(ISBLANK(Tableau!$AY97), "LIBRE", "OCCUPÉ")</f>
        <v>LIBRE</v>
      </c>
      <c r="AC97" s="88"/>
    </row>
    <row r="98" ht="21.75" hidden="1" customHeight="1">
      <c r="A98" s="72">
        <f>Tableau!A98</f>
        <v>333</v>
      </c>
      <c r="B98" s="73" t="str">
        <f>VLOOKUP($A98,LocalisationRemorque,2,0)</f>
        <v>Namur</v>
      </c>
      <c r="C98" s="74" t="str">
        <f>VLOOKUP($A98,LocalisationRemorque,3,0)</f>
        <v>Malonne - Tonton Tapis</v>
      </c>
      <c r="D98" s="75" t="str">
        <f>CONCATENATE(VLOOKUP($A98,LocalisationRemorque,6,0)," ► ",VLOOKUP($A98,LocalisationRemorque,5,0))</f>
        <v>Namur ► Floreffe</v>
      </c>
      <c r="E98" s="54" t="str">
        <f>IF(ISBLANK(Tableau!$E$98), "LIBRE", "OCCUPÉ")</f>
        <v>LIBRE</v>
      </c>
      <c r="F98" s="52" t="str">
        <f>IF(ISBLANK(Tableau!$G$98), "LIBRE", "OCCUPÉ")</f>
        <v>OCCUPÉ</v>
      </c>
      <c r="G98" s="54" t="str">
        <f>IF(ISBLANK(Tableau!$I$98), "LIBRE", "OCCUPÉ")</f>
        <v>LIBRE</v>
      </c>
      <c r="H98" s="52" t="str">
        <f>IF(ISBLANK(Tableau!$K$98), "LIBRE", "OCCUPÉ")</f>
        <v>LIBRE</v>
      </c>
      <c r="I98" s="54" t="str">
        <f>IF(ISBLANK(Tableau!$M$98), "LIBRE", "OCCUPÉ")</f>
        <v>LIBRE</v>
      </c>
      <c r="J98" s="54" t="str">
        <f>IF(ISBLANK(Tableau!$O$98), "LIBRE", "OCCUPÉ")</f>
        <v>LIBRE</v>
      </c>
      <c r="K98" s="54" t="str">
        <f>IF(ISBLANK(Tableau!$Q$98), "LIBRE", "OCCUPÉ")</f>
        <v>OCCUPÉ</v>
      </c>
      <c r="L98" s="54" t="str">
        <f>IF(ISBLANK(Tableau!$S$98), "LIBRE", "OCCUPÉ")</f>
        <v>OCCUPÉ</v>
      </c>
      <c r="M98" s="54" t="str">
        <f>IF(ISBLANK(Tableau!$U$98), "LIBRE", "OCCUPÉ")</f>
        <v>LIBRE</v>
      </c>
      <c r="N98" s="54" t="str">
        <f>IF(ISBLANK(Tableau!$W$98), "LIBRE", "OCCUPÉ")</f>
        <v>LIBRE</v>
      </c>
      <c r="O98" s="54" t="str">
        <f>IF(ISBLANK(Tableau!$Y$98), "LIBRE", "OCCUPÉ")</f>
        <v>LIBRE</v>
      </c>
      <c r="P98" s="54" t="str">
        <f>IF(ISBLANK(Tableau!$AA$98), "LIBRE", "OCCUPÉ")</f>
        <v>OCCUPÉ</v>
      </c>
      <c r="Q98" s="52" t="str">
        <f>IF(ISBLANK(Tableau!$AC$98), "LIBRE", "OCCUPÉ")</f>
        <v>LIBRE</v>
      </c>
      <c r="R98" s="52" t="str">
        <f>IF(ISBLANK(Tableau!$AE$98), "LIBRE", "OCCUPÉ")</f>
        <v>OCCUPÉ</v>
      </c>
      <c r="S98" s="54" t="str">
        <f>IF(ISBLANK(Tableau!$AG$98), "LIBRE", "OCCUPÉ")</f>
        <v>LIBRE</v>
      </c>
      <c r="T98" s="52" t="str">
        <f>IF(ISBLANK(Tableau!$AI$98), "LIBRE", "OCCUPÉ")</f>
        <v>LIBRE</v>
      </c>
      <c r="U98" s="52" t="str">
        <f>IF(ISBLANK(Tableau!$AK$98), "LIBRE", "OCCUPÉ")</f>
        <v>OCCUPÉ</v>
      </c>
      <c r="V98" s="52" t="str">
        <f>IF(ISBLANK(Tableau!$AM$98), "LIBRE", "OCCUPÉ")</f>
        <v>LIBRE</v>
      </c>
      <c r="W98" s="54" t="str">
        <f>IF(ISBLANK(Tableau!$AO$98), "LIBRE", "OCCUPÉ")</f>
        <v>LIBRE</v>
      </c>
      <c r="X98" s="52" t="str">
        <f>IF(ISBLANK(Tableau!$AQ$98), "LIBRE", "OCCUPÉ")</f>
        <v>LIBRE</v>
      </c>
      <c r="Y98" s="52" t="str">
        <f>IF(ISBLANK(Tableau!$AS$98), "LIBRE", "OCCUPÉ")</f>
        <v>LIBRE</v>
      </c>
      <c r="Z98" s="52" t="str">
        <f>IF(ISBLANK(Tableau!$AU$98), "LIBRE", "OCCUPÉ")</f>
        <v>LIBRE</v>
      </c>
      <c r="AA98" s="52" t="str">
        <f>IF(ISBLANK(Tableau!$AW$98), "LIBRE", "OCCUPÉ")</f>
        <v>LIBRE</v>
      </c>
      <c r="AB98" s="69" t="str">
        <f>IF(ISBLANK(Tableau!$AY98), "LIBRE", "OCCUPÉ")</f>
        <v>LIBRE</v>
      </c>
      <c r="AC98" s="155"/>
    </row>
    <row r="99" ht="21.75" hidden="1" customHeight="1">
      <c r="A99" s="40">
        <f>Tableau!A99</f>
        <v>334</v>
      </c>
      <c r="B99" s="46" t="str">
        <f>VLOOKUP($A99,LocalisationRemorque,2,0)</f>
        <v>Namur</v>
      </c>
      <c r="C99" s="47" t="str">
        <f>VLOOKUP($A99,LocalisationRemorque,3,0)</f>
        <v>Rhisnes</v>
      </c>
      <c r="D99" s="49" t="str">
        <f>CONCATENATE(VLOOKUP($A99,LocalisationRemorque,6,0)," ► ",VLOOKUP($A99,LocalisationRemorque,5,0))</f>
        <v>Gembloux ► Namur</v>
      </c>
      <c r="E99" s="54" t="str">
        <f>IF(ISBLANK(Tableau!$E$99), "LIBRE", "OCCUPÉ")</f>
        <v>LIBRE</v>
      </c>
      <c r="F99" s="54" t="str">
        <f>IF(ISBLANK(Tableau!$G$99), "LIBRE", "OCCUPÉ")</f>
        <v>OCCUPÉ</v>
      </c>
      <c r="G99" s="54" t="str">
        <f>IF(ISBLANK(Tableau!$I$99), "LIBRE", "OCCUPÉ")</f>
        <v>LIBRE</v>
      </c>
      <c r="H99" s="54" t="str">
        <f>IF(ISBLANK(Tableau!$K$99), "LIBRE", "OCCUPÉ")</f>
        <v>OCCUPÉ</v>
      </c>
      <c r="I99" s="54" t="str">
        <f>IF(ISBLANK(Tableau!$M$99), "LIBRE", "OCCUPÉ")</f>
        <v>LIBRE</v>
      </c>
      <c r="J99" s="54" t="str">
        <f>IF(ISBLANK(Tableau!$O$99), "LIBRE", "OCCUPÉ")</f>
        <v>OCCUPÉ</v>
      </c>
      <c r="K99" s="54" t="str">
        <f>IF(ISBLANK(Tableau!$Q$99), "LIBRE", "OCCUPÉ")</f>
        <v>LIBRE</v>
      </c>
      <c r="L99" s="54" t="str">
        <f>IF(ISBLANK(Tableau!$S$99), "LIBRE", "OCCUPÉ")</f>
        <v>OCCUPÉ</v>
      </c>
      <c r="M99" s="54" t="str">
        <f>IF(ISBLANK(Tableau!$U$99), "LIBRE", "OCCUPÉ")</f>
        <v>LIBRE</v>
      </c>
      <c r="N99" s="54" t="str">
        <f>IF(ISBLANK(Tableau!$W$99), "LIBRE", "OCCUPÉ")</f>
        <v>OCCUPÉ</v>
      </c>
      <c r="O99" s="54" t="str">
        <f>IF(ISBLANK(Tableau!$Y$99), "LIBRE", "OCCUPÉ")</f>
        <v>OCCUPÉ</v>
      </c>
      <c r="P99" s="54" t="str">
        <f>IF(ISBLANK(Tableau!$AA$99), "LIBRE", "OCCUPÉ")</f>
        <v>OCCUPÉ</v>
      </c>
      <c r="Q99" s="54" t="str">
        <f>IF(ISBLANK(Tableau!$AC$99), "LIBRE", "OCCUPÉ")</f>
        <v>LIBRE</v>
      </c>
      <c r="R99" s="54" t="str">
        <f>IF(ISBLANK(Tableau!$AE$99), "LIBRE", "OCCUPÉ")</f>
        <v>OCCUPÉ</v>
      </c>
      <c r="S99" s="54" t="str">
        <f>IF(ISBLANK(Tableau!$AG$99), "LIBRE", "OCCUPÉ")</f>
        <v>LIBRE</v>
      </c>
      <c r="T99" s="54" t="str">
        <f>IF(ISBLANK(Tableau!$AI$99), "LIBRE", "OCCUPÉ")</f>
        <v>OCCUPÉ</v>
      </c>
      <c r="U99" s="54" t="str">
        <f>IF(ISBLANK(Tableau!$AK$99), "LIBRE", "OCCUPÉ")</f>
        <v>LIBRE</v>
      </c>
      <c r="V99" s="54" t="str">
        <f>IF(ISBLANK(Tableau!$AM$99), "LIBRE", "OCCUPÉ")</f>
        <v>OCCUPÉ</v>
      </c>
      <c r="W99" s="54" t="str">
        <f>IF(ISBLANK(Tableau!$AO$99), "LIBRE", "OCCUPÉ")</f>
        <v>LIBRE</v>
      </c>
      <c r="X99" s="54" t="str">
        <f>IF(ISBLANK(Tableau!$AQ$99), "LIBRE", "OCCUPÉ")</f>
        <v>OCCUPÉ</v>
      </c>
      <c r="Y99" s="54" t="str">
        <f>IF(ISBLANK(Tableau!$AS$99), "LIBRE", "OCCUPÉ")</f>
        <v>LIBRE</v>
      </c>
      <c r="Z99" s="54" t="str">
        <f>IF(ISBLANK(Tableau!$AU$99), "LIBRE", "OCCUPÉ")</f>
        <v>OCCUPÉ</v>
      </c>
      <c r="AA99" s="54" t="str">
        <f>IF(ISBLANK(Tableau!$AW$99), "LIBRE", "OCCUPÉ")</f>
        <v>LIBRE</v>
      </c>
      <c r="AB99" s="69" t="str">
        <f>IF(ISBLANK(Tableau!$AY99), "LIBRE", "OCCUPÉ")</f>
        <v>OCCUPÉ</v>
      </c>
      <c r="AC99" s="335"/>
    </row>
    <row r="100" ht="21.75" hidden="1" customHeight="1">
      <c r="A100" s="72">
        <f>Tableau!A100</f>
        <v>335</v>
      </c>
      <c r="B100" s="73" t="str">
        <f>VLOOKUP($A100,LocalisationRemorque,2,0)</f>
        <v>Namur</v>
      </c>
      <c r="C100" s="74" t="str">
        <f>VLOOKUP($A100,LocalisationRemorque,3,0)</f>
        <v>Temploux</v>
      </c>
      <c r="D100" s="75" t="str">
        <f>CONCATENATE(VLOOKUP($A100,LocalisationRemorque,6,0)," ► ",VLOOKUP($A100,LocalisationRemorque,5,0))</f>
        <v>Nivelles ► Namur</v>
      </c>
      <c r="E100" s="54" t="str">
        <f>IF(ISBLANK(Tableau!$E$100), "LIBRE", "OCCUPÉ")</f>
        <v>OCCUPÉ</v>
      </c>
      <c r="F100" s="54" t="str">
        <f>IF(ISBLANK(Tableau!$G$100), "LIBRE", "OCCUPÉ")</f>
        <v>OCCUPÉ</v>
      </c>
      <c r="G100" s="54" t="str">
        <f>IF(ISBLANK(Tableau!$I$100), "LIBRE", "OCCUPÉ")</f>
        <v>OCCUPÉ</v>
      </c>
      <c r="H100" s="52" t="str">
        <f>IF(ISBLANK(Tableau!$K$100), "LIBRE", "OCCUPÉ")</f>
        <v>LIBRE</v>
      </c>
      <c r="I100" s="54" t="str">
        <f>IF(ISBLANK(Tableau!$M$100), "LIBRE", "OCCUPÉ")</f>
        <v>OCCUPÉ</v>
      </c>
      <c r="J100" s="52" t="str">
        <f>IF(ISBLANK(Tableau!$O$100), "LIBRE", "OCCUPÉ")</f>
        <v>LIBRE</v>
      </c>
      <c r="K100" s="54" t="str">
        <f>IF(ISBLANK(Tableau!$Q$100), "LIBRE", "OCCUPÉ")</f>
        <v>OCCUPÉ</v>
      </c>
      <c r="L100" s="52" t="str">
        <f>IF(ISBLANK(Tableau!$S$100), "LIBRE", "OCCUPÉ")</f>
        <v>LIBRE</v>
      </c>
      <c r="M100" s="54" t="str">
        <f>IF(ISBLANK(Tableau!$U$100), "LIBRE", "OCCUPÉ")</f>
        <v>OCCUPÉ</v>
      </c>
      <c r="N100" s="54" t="str">
        <f>IF(ISBLANK(Tableau!$W$100), "LIBRE", "OCCUPÉ")</f>
        <v>LIBRE</v>
      </c>
      <c r="O100" s="54" t="str">
        <f>IF(ISBLANK(Tableau!$Y$100), "LIBRE", "OCCUPÉ")</f>
        <v>LIBRE</v>
      </c>
      <c r="P100" s="54" t="str">
        <f>IF(ISBLANK(Tableau!$AA$100), "LIBRE", "OCCUPÉ")</f>
        <v>LIBRE</v>
      </c>
      <c r="Q100" s="54" t="str">
        <f>IF(ISBLANK(Tableau!$AC$100), "LIBRE", "OCCUPÉ")</f>
        <v>OCCUPÉ</v>
      </c>
      <c r="R100" s="54" t="str">
        <f>IF(ISBLANK(Tableau!$AE$100), "LIBRE", "OCCUPÉ")</f>
        <v>LIBRE</v>
      </c>
      <c r="S100" s="52" t="str">
        <f>IF(ISBLANK(Tableau!$AG$100), "LIBRE", "OCCUPÉ")</f>
        <v>LIBRE</v>
      </c>
      <c r="T100" s="52" t="str">
        <f>IF(ISBLANK(Tableau!$AI$100), "LIBRE", "OCCUPÉ")</f>
        <v>LIBRE</v>
      </c>
      <c r="U100" s="54" t="str">
        <f>IF(ISBLANK(Tableau!$AK$100), "LIBRE", "OCCUPÉ")</f>
        <v>LIBRE</v>
      </c>
      <c r="V100" s="52" t="str">
        <f>IF(ISBLANK(Tableau!$AM$100), "LIBRE", "OCCUPÉ")</f>
        <v>LIBRE</v>
      </c>
      <c r="W100" s="54" t="str">
        <f>IF(ISBLANK(Tableau!$AO$100), "LIBRE", "OCCUPÉ")</f>
        <v>LIBRE</v>
      </c>
      <c r="X100" s="54" t="str">
        <f>IF(ISBLANK(Tableau!$AQ$100), "LIBRE", "OCCUPÉ")</f>
        <v>LIBRE</v>
      </c>
      <c r="Y100" s="52" t="str">
        <f>IF(ISBLANK(Tableau!$AS$100), "LIBRE", "OCCUPÉ")</f>
        <v>LIBRE</v>
      </c>
      <c r="Z100" s="52" t="str">
        <f>IF(ISBLANK(Tableau!$AU$100), "LIBRE", "OCCUPÉ")</f>
        <v>LIBRE</v>
      </c>
      <c r="AA100" s="54" t="str">
        <f>IF(ISBLANK(Tableau!$AW$100), "LIBRE", "OCCUPÉ")</f>
        <v>LIBRE</v>
      </c>
      <c r="AB100" s="76" t="str">
        <f>IF(ISBLANK(Tableau!$AY100), "LIBRE", "OCCUPÉ")</f>
        <v>LIBRE</v>
      </c>
      <c r="AC100" s="155"/>
    </row>
    <row r="101" ht="21.75" hidden="1" customHeight="1">
      <c r="A101" s="40">
        <f>Tableau!A101</f>
        <v>336</v>
      </c>
      <c r="B101" s="46" t="str">
        <f>VLOOKUP($A101,LocalisationRemorque,2,0)</f>
        <v>Namur</v>
      </c>
      <c r="C101" s="47" t="str">
        <f>VLOOKUP($A101,LocalisationRemorque,3,0)</f>
        <v>Bois de villers</v>
      </c>
      <c r="D101" s="49" t="str">
        <f>CONCATENATE(VLOOKUP($A101,LocalisationRemorque,6,0)," ► ",VLOOKUP($A101,LocalisationRemorque,5,0))</f>
        <v>Floreffe ► Bois de Villers</v>
      </c>
      <c r="E101" s="52" t="str">
        <f>IF(ISBLANK(Tableau!$E$101), "LIBRE", "OCCUPÉ")</f>
        <v>LIBRE</v>
      </c>
      <c r="F101" s="52" t="str">
        <f>IF(ISBLANK(Tableau!$G$101), "LIBRE", "OCCUPÉ")</f>
        <v>LIBRE</v>
      </c>
      <c r="G101" s="52" t="str">
        <f>IF(ISBLANK(Tableau!$I$101), "LIBRE", "OCCUPÉ")</f>
        <v>LIBRE</v>
      </c>
      <c r="H101" s="52" t="str">
        <f>IF(ISBLANK(Tableau!$K$101), "LIBRE", "OCCUPÉ")</f>
        <v>LIBRE</v>
      </c>
      <c r="I101" s="54" t="str">
        <f>IF(ISBLANK(Tableau!$M$101), "LIBRE", "OCCUPÉ")</f>
        <v>OCCUPÉ</v>
      </c>
      <c r="J101" s="54" t="str">
        <f>IF(ISBLANK(Tableau!$O$101), "LIBRE", "OCCUPÉ")</f>
        <v>LIBRE</v>
      </c>
      <c r="K101" s="54" t="str">
        <f>IF(ISBLANK(Tableau!$Q$101), "LIBRE", "OCCUPÉ")</f>
        <v>LIBRE</v>
      </c>
      <c r="L101" s="54" t="str">
        <f>IF(ISBLANK(Tableau!$S$101), "LIBRE", "OCCUPÉ")</f>
        <v>LIBRE</v>
      </c>
      <c r="M101" s="54" t="str">
        <f>IF(ISBLANK(Tableau!$U$101), "LIBRE", "OCCUPÉ")</f>
        <v>OCCUPÉ</v>
      </c>
      <c r="N101" s="52" t="str">
        <f>IF(ISBLANK(Tableau!$W$101), "LIBRE", "OCCUPÉ")</f>
        <v>LIBRE</v>
      </c>
      <c r="O101" s="54" t="str">
        <f>IF(ISBLANK(Tableau!$Y$101), "LIBRE", "OCCUPÉ")</f>
        <v>LIBRE</v>
      </c>
      <c r="P101" s="54" t="str">
        <f>IF(ISBLANK(Tableau!$AA$101), "LIBRE", "OCCUPÉ")</f>
        <v>LIBRE</v>
      </c>
      <c r="Q101" s="52" t="str">
        <f>IF(ISBLANK(Tableau!$AC$101), "LIBRE", "OCCUPÉ")</f>
        <v>LIBRE</v>
      </c>
      <c r="R101" s="52" t="str">
        <f>IF(ISBLANK(Tableau!$AE$101), "LIBRE", "OCCUPÉ")</f>
        <v>LIBRE</v>
      </c>
      <c r="S101" s="52" t="str">
        <f>IF(ISBLANK(Tableau!$AG$101), "LIBRE", "OCCUPÉ")</f>
        <v>LIBRE</v>
      </c>
      <c r="T101" s="52" t="str">
        <f>IF(ISBLANK(Tableau!$AI$101), "LIBRE", "OCCUPÉ")</f>
        <v>LIBRE</v>
      </c>
      <c r="U101" s="52" t="str">
        <f>IF(ISBLANK(Tableau!$AK$101), "LIBRE", "OCCUPÉ")</f>
        <v>LIBRE</v>
      </c>
      <c r="V101" s="52" t="str">
        <f>IF(ISBLANK(Tableau!$AM$101), "LIBRE", "OCCUPÉ")</f>
        <v>LIBRE</v>
      </c>
      <c r="W101" s="54" t="str">
        <f>IF(ISBLANK(Tableau!$AO$101), "LIBRE", "OCCUPÉ")</f>
        <v>LIBRE</v>
      </c>
      <c r="X101" s="52" t="str">
        <f>IF(ISBLANK(Tableau!$AQ$101), "LIBRE", "OCCUPÉ")</f>
        <v>LIBRE</v>
      </c>
      <c r="Y101" s="52" t="str">
        <f>IF(ISBLANK(Tableau!$AS$101), "LIBRE", "OCCUPÉ")</f>
        <v>LIBRE</v>
      </c>
      <c r="Z101" s="52" t="str">
        <f>IF(ISBLANK(Tableau!$AU$101), "LIBRE", "OCCUPÉ")</f>
        <v>LIBRE</v>
      </c>
      <c r="AA101" s="52" t="str">
        <f>IF(ISBLANK(Tableau!$AW$101), "LIBRE", "OCCUPÉ")</f>
        <v>LIBRE</v>
      </c>
      <c r="AB101" s="76" t="str">
        <f>IF(ISBLANK(Tableau!$AY101), "LIBRE", "OCCUPÉ")</f>
        <v>LIBRE</v>
      </c>
      <c r="AC101" s="88"/>
    </row>
    <row r="102" ht="21.75" hidden="1" customHeight="1">
      <c r="A102" s="72">
        <f>Tableau!A102</f>
        <v>337</v>
      </c>
      <c r="B102" s="73" t="str">
        <f>VLOOKUP($A102,LocalisationRemorque,2,0)</f>
        <v>Namur</v>
      </c>
      <c r="C102" s="74" t="str">
        <f>VLOOKUP($A102,LocalisationRemorque,3,0)</f>
        <v>Wépion Criée</v>
      </c>
      <c r="D102" s="75" t="str">
        <f>CONCATENATE(VLOOKUP($A102,LocalisationRemorque,6,0)," ► ",VLOOKUP($A102,LocalisationRemorque,5,0))</f>
        <v>Bois de Villers ► Wépion</v>
      </c>
      <c r="E102" s="52" t="str">
        <f>IF(ISBLANK(Tableau!$E$102), "LIBRE", "OCCUPÉ")</f>
        <v>OCCUPÉ</v>
      </c>
      <c r="F102" s="52" t="str">
        <f>IF(ISBLANK(Tableau!$G$102), "LIBRE", "OCCUPÉ")</f>
        <v>OCCUPÉ</v>
      </c>
      <c r="G102" s="52" t="str">
        <f>IF(ISBLANK(Tableau!$I$102), "LIBRE", "OCCUPÉ")</f>
        <v>LIBRE</v>
      </c>
      <c r="H102" s="54" t="str">
        <f>IF(ISBLANK(Tableau!$K$102), "LIBRE", "OCCUPÉ")</f>
        <v>OCCUPÉ</v>
      </c>
      <c r="I102" s="54" t="str">
        <f>IF(ISBLANK(Tableau!$M$102), "LIBRE", "OCCUPÉ")</f>
        <v>OCCUPÉ</v>
      </c>
      <c r="J102" s="54" t="str">
        <f>IF(ISBLANK(Tableau!$O$102), "LIBRE", "OCCUPÉ")</f>
        <v>LIBRE</v>
      </c>
      <c r="K102" s="54" t="str">
        <f>IF(ISBLANK(Tableau!$Q$102), "LIBRE", "OCCUPÉ")</f>
        <v>OCCUPÉ</v>
      </c>
      <c r="L102" s="52" t="str">
        <f>IF(ISBLANK(Tableau!$S$102), "LIBRE", "OCCUPÉ")</f>
        <v>LIBRE</v>
      </c>
      <c r="M102" s="54" t="str">
        <f>IF(ISBLANK(Tableau!$U$102), "LIBRE", "OCCUPÉ")</f>
        <v>OCCUPÉ</v>
      </c>
      <c r="N102" s="52" t="str">
        <f>IF(ISBLANK(Tableau!$W$102), "LIBRE", "OCCUPÉ")</f>
        <v>LIBRE</v>
      </c>
      <c r="O102" s="54" t="str">
        <f>IF(ISBLANK(Tableau!$Y$102), "LIBRE", "OCCUPÉ")</f>
        <v>LIBRE</v>
      </c>
      <c r="P102" s="52" t="str">
        <f>IF(ISBLANK(Tableau!$AA$102), "LIBRE", "OCCUPÉ")</f>
        <v>LIBRE</v>
      </c>
      <c r="Q102" s="54" t="str">
        <f>IF(ISBLANK(Tableau!$AC$102), "LIBRE", "OCCUPÉ")</f>
        <v>OCCUPÉ</v>
      </c>
      <c r="R102" s="52" t="str">
        <f>IF(ISBLANK(Tableau!$AE$102), "LIBRE", "OCCUPÉ")</f>
        <v>LIBRE</v>
      </c>
      <c r="S102" s="54" t="str">
        <f>IF(ISBLANK(Tableau!$AG$102), "LIBRE", "OCCUPÉ")</f>
        <v>LIBRE</v>
      </c>
      <c r="T102" s="52" t="str">
        <f>IF(ISBLANK(Tableau!$AI$102), "LIBRE", "OCCUPÉ")</f>
        <v>LIBRE</v>
      </c>
      <c r="U102" s="52" t="str">
        <f>IF(ISBLANK(Tableau!$AK$102), "LIBRE", "OCCUPÉ")</f>
        <v>LIBRE</v>
      </c>
      <c r="V102" s="54" t="str">
        <f>IF(ISBLANK(Tableau!$AM$102), "LIBRE", "OCCUPÉ")</f>
        <v>LIBRE</v>
      </c>
      <c r="W102" s="54" t="str">
        <f>IF(ISBLANK(Tableau!$AO$102), "LIBRE", "OCCUPÉ")</f>
        <v>LIBRE</v>
      </c>
      <c r="X102" s="52" t="str">
        <f>IF(ISBLANK(Tableau!$AQ$102), "LIBRE", "OCCUPÉ")</f>
        <v>LIBRE</v>
      </c>
      <c r="Y102" s="52" t="str">
        <f>IF(ISBLANK(Tableau!$AS$102), "LIBRE", "OCCUPÉ")</f>
        <v>LIBRE</v>
      </c>
      <c r="Z102" s="54" t="str">
        <f>IF(ISBLANK(Tableau!$AU$102), "LIBRE", "OCCUPÉ")</f>
        <v>LIBRE</v>
      </c>
      <c r="AA102" s="52" t="str">
        <f>IF(ISBLANK(Tableau!$AW$102), "LIBRE", "OCCUPÉ")</f>
        <v>LIBRE</v>
      </c>
      <c r="AB102" s="76" t="str">
        <f>IF(ISBLANK(Tableau!$AY102), "LIBRE", "OCCUPÉ")</f>
        <v>LIBRE</v>
      </c>
      <c r="AC102" s="155"/>
    </row>
    <row r="103" ht="21.75" hidden="1" customHeight="1">
      <c r="A103" s="40">
        <f>Tableau!A103</f>
        <v>338</v>
      </c>
      <c r="B103" s="46" t="str">
        <f>VLOOKUP($A103,LocalisationRemorque,2,0)</f>
        <v>Namur</v>
      </c>
      <c r="C103" s="47" t="str">
        <f>VLOOKUP($A103,LocalisationRemorque,3,0)</f>
        <v>Floriffoux</v>
      </c>
      <c r="D103" s="49" t="str">
        <f>CONCATENATE(VLOOKUP($A103,LocalisationRemorque,6,0)," ► ",VLOOKUP($A103,LocalisationRemorque,5,0))</f>
        <v>Suarlée ► Floreffe</v>
      </c>
      <c r="E103" s="54" t="str">
        <f>IF(ISBLANK(Tableau!$E$103), "LIBRE", "OCCUPÉ")</f>
        <v>LIBRE</v>
      </c>
      <c r="F103" s="52" t="str">
        <f>IF(ISBLANK(Tableau!$G$103), "LIBRE", "OCCUPÉ")</f>
        <v>LIBRE</v>
      </c>
      <c r="G103" s="52" t="str">
        <f>IF(ISBLANK(Tableau!$I$103), "LIBRE", "OCCUPÉ")</f>
        <v>OCCUPÉ</v>
      </c>
      <c r="H103" s="52" t="str">
        <f>IF(ISBLANK(Tableau!$K$103), "LIBRE", "OCCUPÉ")</f>
        <v>LIBRE</v>
      </c>
      <c r="I103" s="54" t="str">
        <f>IF(ISBLANK(Tableau!$M$103), "LIBRE", "OCCUPÉ")</f>
        <v>LIBRE</v>
      </c>
      <c r="J103" s="54" t="str">
        <f>IF(ISBLANK(Tableau!$O$103), "LIBRE", "OCCUPÉ")</f>
        <v>LIBRE</v>
      </c>
      <c r="K103" s="54" t="str">
        <f>IF(ISBLANK(Tableau!$Q$103), "LIBRE", "OCCUPÉ")</f>
        <v>LIBRE</v>
      </c>
      <c r="L103" s="52" t="str">
        <f>IF(ISBLANK(Tableau!$S$103), "LIBRE", "OCCUPÉ")</f>
        <v>LIBRE</v>
      </c>
      <c r="M103" s="54" t="str">
        <f>IF(ISBLANK(Tableau!$U$103), "LIBRE", "OCCUPÉ")</f>
        <v>LIBRE</v>
      </c>
      <c r="N103" s="54" t="str">
        <f>IF(ISBLANK(Tableau!$W$103), "LIBRE", "OCCUPÉ")</f>
        <v>LIBRE</v>
      </c>
      <c r="O103" s="54" t="str">
        <f>IF(ISBLANK(Tableau!$Y$103), "LIBRE", "OCCUPÉ")</f>
        <v>OCCUPÉ</v>
      </c>
      <c r="P103" s="54" t="str">
        <f>IF(ISBLANK(Tableau!$AA$103), "LIBRE", "OCCUPÉ")</f>
        <v>LIBRE</v>
      </c>
      <c r="Q103" s="52" t="str">
        <f>IF(ISBLANK(Tableau!$AC$103), "LIBRE", "OCCUPÉ")</f>
        <v>LIBRE</v>
      </c>
      <c r="R103" s="52" t="str">
        <f>IF(ISBLANK(Tableau!$AE$103), "LIBRE", "OCCUPÉ")</f>
        <v>LIBRE</v>
      </c>
      <c r="S103" s="52" t="str">
        <f>IF(ISBLANK(Tableau!$AG$103), "LIBRE", "OCCUPÉ")</f>
        <v>LIBRE</v>
      </c>
      <c r="T103" s="52" t="str">
        <f>IF(ISBLANK(Tableau!$AI$103), "LIBRE", "OCCUPÉ")</f>
        <v>LIBRE</v>
      </c>
      <c r="U103" s="54" t="str">
        <f>IF(ISBLANK(Tableau!$AK$103), "LIBRE", "OCCUPÉ")</f>
        <v>OCCUPÉ</v>
      </c>
      <c r="V103" s="52" t="str">
        <f>IF(ISBLANK(Tableau!$AM$103), "LIBRE", "OCCUPÉ")</f>
        <v>LIBRE</v>
      </c>
      <c r="W103" s="54" t="str">
        <f>IF(ISBLANK(Tableau!$AO$103), "LIBRE", "OCCUPÉ")</f>
        <v>LIBRE</v>
      </c>
      <c r="X103" s="52" t="str">
        <f>IF(ISBLANK(Tableau!$AQ$103), "LIBRE", "OCCUPÉ")</f>
        <v>LIBRE</v>
      </c>
      <c r="Y103" s="52" t="str">
        <f>IF(ISBLANK(Tableau!$AS$103), "LIBRE", "OCCUPÉ")</f>
        <v>LIBRE</v>
      </c>
      <c r="Z103" s="52" t="str">
        <f>IF(ISBLANK(Tableau!$AU$103), "LIBRE", "OCCUPÉ")</f>
        <v>LIBRE</v>
      </c>
      <c r="AA103" s="54" t="str">
        <f>IF(ISBLANK(Tableau!$AW$103), "LIBRE", "OCCUPÉ")</f>
        <v>LIBRE</v>
      </c>
      <c r="AB103" s="76" t="str">
        <f>IF(ISBLANK(Tableau!$AY103), "LIBRE", "OCCUPÉ")</f>
        <v>LIBRE</v>
      </c>
      <c r="AC103" s="88"/>
    </row>
    <row r="104" ht="21.75" hidden="1" customHeight="1">
      <c r="A104" s="72">
        <f>Tableau!A104</f>
        <v>339</v>
      </c>
      <c r="B104" s="73" t="str">
        <f>VLOOKUP($A104,LocalisationRemorque,2,0)</f>
        <v>Namur</v>
      </c>
      <c r="C104" s="74" t="str">
        <f>VLOOKUP($A104,LocalisationRemorque,3,0)</f>
        <v>Fosses la Ville</v>
      </c>
      <c r="D104" s="75" t="str">
        <f>CONCATENATE(VLOOKUP($A104,LocalisationRemorque,6,0)," ► ",VLOOKUP($A104,LocalisationRemorque,5,0))</f>
        <v>Floreffe ► Fosses</v>
      </c>
      <c r="E104" s="54" t="str">
        <f>IF(ISBLANK(Tableau!$E$104), "LIBRE", "OCCUPÉ")</f>
        <v>LIBRE</v>
      </c>
      <c r="F104" s="52" t="str">
        <f>IF(ISBLANK(Tableau!$G$104), "LIBRE", "OCCUPÉ")</f>
        <v>LIBRE</v>
      </c>
      <c r="G104" s="54" t="str">
        <f>IF(ISBLANK(Tableau!$I$104), "LIBRE", "OCCUPÉ")</f>
        <v>LIBRE</v>
      </c>
      <c r="H104" s="52" t="str">
        <f>IF(ISBLANK(Tableau!$K$104), "LIBRE", "OCCUPÉ")</f>
        <v>LIBRE</v>
      </c>
      <c r="I104" s="54" t="str">
        <f>IF(ISBLANK(Tableau!$M$104), "LIBRE", "OCCUPÉ")</f>
        <v>OCCUPÉ</v>
      </c>
      <c r="J104" s="54" t="str">
        <f>IF(ISBLANK(Tableau!$O$104), "LIBRE", "OCCUPÉ")</f>
        <v>LIBRE</v>
      </c>
      <c r="K104" s="54" t="str">
        <f>IF(ISBLANK(Tableau!$Q$104), "LIBRE", "OCCUPÉ")</f>
        <v>LIBRE</v>
      </c>
      <c r="L104" s="54" t="str">
        <f>IF(ISBLANK(Tableau!$S$104), "LIBRE", "OCCUPÉ")</f>
        <v>LIBRE</v>
      </c>
      <c r="M104" s="54" t="str">
        <f>IF(ISBLANK(Tableau!$U$104), "LIBRE", "OCCUPÉ")</f>
        <v>LIBRE</v>
      </c>
      <c r="N104" s="52" t="str">
        <f>IF(ISBLANK(Tableau!$W$104), "LIBRE", "OCCUPÉ")</f>
        <v>LIBRE</v>
      </c>
      <c r="O104" s="52" t="str">
        <f>IF(ISBLANK(Tableau!$Y$104), "LIBRE", "OCCUPÉ")</f>
        <v>LIBRE</v>
      </c>
      <c r="P104" s="52" t="str">
        <f>IF(ISBLANK(Tableau!$AA$104), "LIBRE", "OCCUPÉ")</f>
        <v>LIBRE</v>
      </c>
      <c r="Q104" s="52" t="str">
        <f>IF(ISBLANK(Tableau!$AC$104), "LIBRE", "OCCUPÉ")</f>
        <v>OCCUPÉ</v>
      </c>
      <c r="R104" s="52" t="str">
        <f>IF(ISBLANK(Tableau!$AE$104), "LIBRE", "OCCUPÉ")</f>
        <v>LIBRE</v>
      </c>
      <c r="S104" s="54" t="str">
        <f>IF(ISBLANK(Tableau!$AG$104), "LIBRE", "OCCUPÉ")</f>
        <v>LIBRE</v>
      </c>
      <c r="T104" s="52" t="str">
        <f>IF(ISBLANK(Tableau!$AI$104), "LIBRE", "OCCUPÉ")</f>
        <v>LIBRE</v>
      </c>
      <c r="U104" s="52" t="str">
        <f>IF(ISBLANK(Tableau!$AK$104), "LIBRE", "OCCUPÉ")</f>
        <v>OCCUPÉ</v>
      </c>
      <c r="V104" s="52" t="str">
        <f>IF(ISBLANK(Tableau!$AM$104), "LIBRE", "OCCUPÉ")</f>
        <v>LIBRE</v>
      </c>
      <c r="W104" s="54" t="str">
        <f>IF(ISBLANK(Tableau!$AO$104), "LIBRE", "OCCUPÉ")</f>
        <v>LIBRE</v>
      </c>
      <c r="X104" s="52" t="str">
        <f>IF(ISBLANK(Tableau!$AQ$104), "LIBRE", "OCCUPÉ")</f>
        <v>LIBRE</v>
      </c>
      <c r="Y104" s="52" t="str">
        <f>IF(ISBLANK(Tableau!$AS$104), "LIBRE", "OCCUPÉ")</f>
        <v>LIBRE</v>
      </c>
      <c r="Z104" s="52" t="str">
        <f>IF(ISBLANK(Tableau!$AU$104), "LIBRE", "OCCUPÉ")</f>
        <v>LIBRE</v>
      </c>
      <c r="AA104" s="52" t="str">
        <f>IF(ISBLANK(Tableau!$AW$104), "LIBRE", "OCCUPÉ")</f>
        <v>LIBRE</v>
      </c>
      <c r="AB104" s="76" t="str">
        <f>IF(ISBLANK(Tableau!$AY104), "LIBRE", "OCCUPÉ")</f>
        <v>LIBRE</v>
      </c>
      <c r="AC104" s="77"/>
    </row>
    <row r="105" ht="21.75" hidden="1" customHeight="1">
      <c r="A105" s="40">
        <f>Tableau!A105</f>
        <v>340</v>
      </c>
      <c r="B105" s="46" t="str">
        <f>VLOOKUP($A105,LocalisationRemorque,2,0)</f>
        <v>Namur</v>
      </c>
      <c r="C105" s="47" t="str">
        <f>VLOOKUP($A105,LocalisationRemorque,3,0)</f>
        <v>Naninne</v>
      </c>
      <c r="D105" s="49" t="str">
        <f>CONCATENATE(VLOOKUP($A105,LocalisationRemorque,6,0)," ► ",VLOOKUP($A105,LocalisationRemorque,5,0))</f>
        <v>Namur ► Ciney</v>
      </c>
      <c r="E105" s="54" t="str">
        <f>IF(ISBLANK(Tableau!$E$105), "LIBRE", "OCCUPÉ")</f>
        <v>OCCUPÉ</v>
      </c>
      <c r="F105" s="52" t="str">
        <f>IF(ISBLANK(Tableau!$G$105), "LIBRE", "OCCUPÉ")</f>
        <v>LIBRE</v>
      </c>
      <c r="G105" s="54" t="str">
        <f>IF(ISBLANK(Tableau!$I$105), "LIBRE", "OCCUPÉ")</f>
        <v>OCCUPÉ</v>
      </c>
      <c r="H105" s="54" t="str">
        <f>IF(ISBLANK(Tableau!$K$105), "LIBRE", "OCCUPÉ")</f>
        <v>LIBRE</v>
      </c>
      <c r="I105" s="54" t="str">
        <f>IF(ISBLANK(Tableau!$M$105), "LIBRE", "OCCUPÉ")</f>
        <v>OCCUPÉ</v>
      </c>
      <c r="J105" s="54" t="str">
        <f>IF(ISBLANK(Tableau!$O$105), "LIBRE", "OCCUPÉ")</f>
        <v>LIBRE</v>
      </c>
      <c r="K105" s="54" t="str">
        <f>IF(ISBLANK(Tableau!$Q$105), "LIBRE", "OCCUPÉ")</f>
        <v>OCCUPÉ</v>
      </c>
      <c r="L105" s="54" t="str">
        <f>IF(ISBLANK(Tableau!$S$105), "LIBRE", "OCCUPÉ")</f>
        <v>LIBRE</v>
      </c>
      <c r="M105" s="54" t="str">
        <f>IF(ISBLANK(Tableau!$U$105), "LIBRE", "OCCUPÉ")</f>
        <v>OCCUPÉ</v>
      </c>
      <c r="N105" s="54" t="str">
        <f>IF(ISBLANK(Tableau!$W$105), "LIBRE", "OCCUPÉ")</f>
        <v>LIBRE</v>
      </c>
      <c r="O105" s="54" t="str">
        <f>IF(ISBLANK(Tableau!$Y$105), "LIBRE", "OCCUPÉ")</f>
        <v>LIBRE</v>
      </c>
      <c r="P105" s="54" t="str">
        <f>IF(ISBLANK(Tableau!$AA$105), "LIBRE", "OCCUPÉ")</f>
        <v>LIBRE</v>
      </c>
      <c r="Q105" s="54" t="str">
        <f>IF(ISBLANK(Tableau!$AC$105), "LIBRE", "OCCUPÉ")</f>
        <v>LIBRE</v>
      </c>
      <c r="R105" s="52" t="str">
        <f>IF(ISBLANK(Tableau!$AE$105), "LIBRE", "OCCUPÉ")</f>
        <v>LIBRE</v>
      </c>
      <c r="S105" s="54" t="str">
        <f>IF(ISBLANK(Tableau!$AG$105), "LIBRE", "OCCUPÉ")</f>
        <v>LIBRE</v>
      </c>
      <c r="T105" s="52" t="str">
        <f>IF(ISBLANK(Tableau!$AI$105), "LIBRE", "OCCUPÉ")</f>
        <v>LIBRE</v>
      </c>
      <c r="U105" s="54" t="str">
        <f>IF(ISBLANK(Tableau!$AK$105), "LIBRE", "OCCUPÉ")</f>
        <v>LIBRE</v>
      </c>
      <c r="V105" s="54" t="str">
        <f>IF(ISBLANK(Tableau!$AM$105), "LIBRE", "OCCUPÉ")</f>
        <v>LIBRE</v>
      </c>
      <c r="W105" s="54" t="str">
        <f>IF(ISBLANK(Tableau!$AO$105), "LIBRE", "OCCUPÉ")</f>
        <v>OCCUPÉ</v>
      </c>
      <c r="X105" s="52" t="str">
        <f>IF(ISBLANK(Tableau!$AQ$105), "LIBRE", "OCCUPÉ")</f>
        <v>LIBRE</v>
      </c>
      <c r="Y105" s="54" t="str">
        <f>IF(ISBLANK(Tableau!$AS$105), "LIBRE", "OCCUPÉ")</f>
        <v>LIBRE</v>
      </c>
      <c r="Z105" s="54" t="str">
        <f>IF(ISBLANK(Tableau!$AU$105), "LIBRE", "OCCUPÉ")</f>
        <v>LIBRE</v>
      </c>
      <c r="AA105" s="54" t="str">
        <f>IF(ISBLANK(Tableau!$AW$105), "LIBRE", "OCCUPÉ")</f>
        <v>LIBRE</v>
      </c>
      <c r="AB105" s="76" t="str">
        <f>IF(ISBLANK(Tableau!$AY105), "LIBRE", "OCCUPÉ")</f>
        <v>LIBRE</v>
      </c>
      <c r="AC105" s="88"/>
    </row>
    <row r="106" ht="21.75" hidden="1" customHeight="1">
      <c r="A106" s="72">
        <f>Tableau!A106</f>
        <v>341</v>
      </c>
      <c r="B106" s="73" t="str">
        <f>VLOOKUP($A106,LocalisationRemorque,2,0)</f>
        <v>Namur</v>
      </c>
      <c r="C106" s="74" t="str">
        <f>VLOOKUP($A106,LocalisationRemorque,3,0)</f>
        <v>Courrière</v>
      </c>
      <c r="D106" s="75" t="str">
        <f>CONCATENATE(VLOOKUP($A106,LocalisationRemorque,6,0)," ► ",VLOOKUP($A106,LocalisationRemorque,5,0))</f>
        <v>Namur ► Ciney</v>
      </c>
      <c r="E106" s="54" t="str">
        <f>IF(ISBLANK(Tableau!$E$106), "LIBRE", "OCCUPÉ")</f>
        <v>LIBRE</v>
      </c>
      <c r="F106" s="52" t="str">
        <f>IF(ISBLANK(Tableau!$G$106), "LIBRE", "OCCUPÉ")</f>
        <v>LIBRE</v>
      </c>
      <c r="G106" s="54" t="str">
        <f>IF(ISBLANK(Tableau!$I$106), "LIBRE", "OCCUPÉ")</f>
        <v>OCCUPÉ</v>
      </c>
      <c r="H106" s="52" t="str">
        <f>IF(ISBLANK(Tableau!$K$106), "LIBRE", "OCCUPÉ")</f>
        <v>LIBRE</v>
      </c>
      <c r="I106" s="54" t="str">
        <f>IF(ISBLANK(Tableau!$M$106), "LIBRE", "OCCUPÉ")</f>
        <v>OCCUPÉ</v>
      </c>
      <c r="J106" s="54" t="str">
        <f>IF(ISBLANK(Tableau!$O$106), "LIBRE", "OCCUPÉ")</f>
        <v>LIBRE</v>
      </c>
      <c r="K106" s="54" t="str">
        <f>IF(ISBLANK(Tableau!$Q$106), "LIBRE", "OCCUPÉ")</f>
        <v>OCCUPÉ</v>
      </c>
      <c r="L106" s="54" t="str">
        <f>IF(ISBLANK(Tableau!$S$106), "LIBRE", "OCCUPÉ")</f>
        <v>LIBRE</v>
      </c>
      <c r="M106" s="54" t="str">
        <f>IF(ISBLANK(Tableau!$U$106), "LIBRE", "OCCUPÉ")</f>
        <v>OCCUPÉ</v>
      </c>
      <c r="N106" s="52" t="str">
        <f>IF(ISBLANK(Tableau!$W$106), "LIBRE", "OCCUPÉ")</f>
        <v>LIBRE</v>
      </c>
      <c r="O106" s="54" t="str">
        <f>IF(ISBLANK(Tableau!$Y$106), "LIBRE", "OCCUPÉ")</f>
        <v>LIBRE</v>
      </c>
      <c r="P106" s="54" t="str">
        <f>IF(ISBLANK(Tableau!$AA$106), "LIBRE", "OCCUPÉ")</f>
        <v>LIBRE</v>
      </c>
      <c r="Q106" s="54" t="str">
        <f>IF(ISBLANK(Tableau!$AC$106), "LIBRE", "OCCUPÉ")</f>
        <v>OCCUPÉ</v>
      </c>
      <c r="R106" s="52" t="str">
        <f>IF(ISBLANK(Tableau!$AE$106), "LIBRE", "OCCUPÉ")</f>
        <v>LIBRE</v>
      </c>
      <c r="S106" s="54" t="str">
        <f>IF(ISBLANK(Tableau!$AG$106), "LIBRE", "OCCUPÉ")</f>
        <v>LIBRE</v>
      </c>
      <c r="T106" s="54" t="str">
        <f>IF(ISBLANK(Tableau!$AI$106), "LIBRE", "OCCUPÉ")</f>
        <v>LIBRE</v>
      </c>
      <c r="U106" s="54" t="str">
        <f>IF(ISBLANK(Tableau!$AK$106), "LIBRE", "OCCUPÉ")</f>
        <v>LIBRE</v>
      </c>
      <c r="V106" s="52" t="str">
        <f>IF(ISBLANK(Tableau!$AM$106), "LIBRE", "OCCUPÉ")</f>
        <v>LIBRE</v>
      </c>
      <c r="W106" s="54" t="str">
        <f>IF(ISBLANK(Tableau!$AO$106), "LIBRE", "OCCUPÉ")</f>
        <v>OCCUPÉ</v>
      </c>
      <c r="X106" s="52" t="str">
        <f>IF(ISBLANK(Tableau!$AQ$106), "LIBRE", "OCCUPÉ")</f>
        <v>LIBRE</v>
      </c>
      <c r="Y106" s="54" t="str">
        <f>IF(ISBLANK(Tableau!$AS$106), "LIBRE", "OCCUPÉ")</f>
        <v>LIBRE</v>
      </c>
      <c r="Z106" s="52" t="str">
        <f>IF(ISBLANK(Tableau!$AU$106), "LIBRE", "OCCUPÉ")</f>
        <v>LIBRE</v>
      </c>
      <c r="AA106" s="54" t="str">
        <f>IF(ISBLANK(Tableau!$AW$106), "LIBRE", "OCCUPÉ")</f>
        <v>OCCUPÉ</v>
      </c>
      <c r="AB106" s="76" t="str">
        <f>IF(ISBLANK(Tableau!$AY106), "LIBRE", "OCCUPÉ")</f>
        <v>LIBRE</v>
      </c>
      <c r="AC106" s="77"/>
    </row>
    <row r="107" ht="21.75" hidden="1" customHeight="1">
      <c r="A107" s="40">
        <f>Tableau!A107</f>
        <v>365</v>
      </c>
      <c r="B107" s="56" t="str">
        <f>VLOOKUP($A107,LocalisationRemorque,2,0)</f>
        <v>Namur</v>
      </c>
      <c r="C107" s="57" t="str">
        <f>VLOOKUP($A107,LocalisationRemorque,3,0)</f>
        <v>Courrière 2</v>
      </c>
      <c r="D107" s="57" t="str">
        <f>CONCATENATE(VLOOKUP($A107,LocalisationRemorque,6,0)," ► ",VLOOKUP($A107,LocalisationRemorque,5,0))</f>
        <v>Namur ► Ciney</v>
      </c>
      <c r="E107" s="54" t="str">
        <f>IF(ISBLANK(Tableau!$E$107), "LIBRE", "OCCUPÉ")</f>
        <v>LIBRE</v>
      </c>
      <c r="F107" s="54" t="str">
        <f>IF(ISBLANK(Tableau!$G$107), "LIBRE", "OCCUPÉ")</f>
        <v>OCCUPÉ</v>
      </c>
      <c r="G107" s="54" t="str">
        <f>IF(ISBLANK(Tableau!$I$107), "LIBRE", "OCCUPÉ")</f>
        <v>LIBRE</v>
      </c>
      <c r="H107" s="52" t="str">
        <f>IF(ISBLANK(Tableau!$K$107), "LIBRE", "OCCUPÉ")</f>
        <v>LIBRE</v>
      </c>
      <c r="I107" s="54" t="str">
        <f>IF(ISBLANK(Tableau!$M$107), "LIBRE", "OCCUPÉ")</f>
        <v>LIBRE</v>
      </c>
      <c r="J107" s="54" t="str">
        <f>IF(ISBLANK(Tableau!$O$107), "LIBRE", "OCCUPÉ")</f>
        <v>LIBRE</v>
      </c>
      <c r="K107" s="54" t="str">
        <f>IF(ISBLANK(Tableau!$Q$107), "LIBRE", "OCCUPÉ")</f>
        <v>LIBRE</v>
      </c>
      <c r="L107" s="54" t="str">
        <f>IF(ISBLANK(Tableau!$S$107), "LIBRE", "OCCUPÉ")</f>
        <v>LIBRE</v>
      </c>
      <c r="M107" s="54" t="str">
        <f>IF(ISBLANK(Tableau!$U$107), "LIBRE", "OCCUPÉ")</f>
        <v>LIBRE</v>
      </c>
      <c r="N107" s="54" t="str">
        <f>IF(ISBLANK(Tableau!$W$107), "LIBRE", "OCCUPÉ")</f>
        <v>LIBRE</v>
      </c>
      <c r="O107" s="54" t="str">
        <f>IF(ISBLANK(Tableau!$Y$107), "LIBRE", "OCCUPÉ")</f>
        <v>LIBRE</v>
      </c>
      <c r="P107" s="54" t="str">
        <f>IF(ISBLANK(Tableau!$AA$107), "LIBRE", "OCCUPÉ")</f>
        <v>LIBRE</v>
      </c>
      <c r="Q107" s="54" t="str">
        <f>IF(ISBLANK(Tableau!$AC$107), "LIBRE", "OCCUPÉ")</f>
        <v>LIBRE</v>
      </c>
      <c r="R107" s="54" t="str">
        <f>IF(ISBLANK(Tableau!$AE$107), "LIBRE", "OCCUPÉ")</f>
        <v>LIBRE</v>
      </c>
      <c r="S107" s="54" t="str">
        <f>IF(ISBLANK(Tableau!$AG$107), "LIBRE", "OCCUPÉ")</f>
        <v>OCCUPÉ</v>
      </c>
      <c r="T107" s="54" t="str">
        <f>IF(ISBLANK(Tableau!$AI$107), "LIBRE", "OCCUPÉ")</f>
        <v>LIBRE</v>
      </c>
      <c r="U107" s="54" t="str">
        <f>IF(ISBLANK(Tableau!$AK$107), "LIBRE", "OCCUPÉ")</f>
        <v>LIBRE</v>
      </c>
      <c r="V107" s="52" t="str">
        <f>IF(ISBLANK(Tableau!$AM$107), "LIBRE", "OCCUPÉ")</f>
        <v>LIBRE</v>
      </c>
      <c r="W107" s="52" t="str">
        <f>IF(ISBLANK(Tableau!$AO$107), "LIBRE", "OCCUPÉ")</f>
        <v>LIBRE</v>
      </c>
      <c r="X107" s="52" t="str">
        <f>IF(ISBLANK(Tableau!$AQ$107), "LIBRE", "OCCUPÉ")</f>
        <v>LIBRE</v>
      </c>
      <c r="Y107" s="54" t="str">
        <f>IF(ISBLANK(Tableau!$AS$107), "LIBRE", "OCCUPÉ")</f>
        <v>LIBRE</v>
      </c>
      <c r="Z107" s="52" t="str">
        <f>IF(ISBLANK(Tableau!$AU$107), "LIBRE", "OCCUPÉ")</f>
        <v>LIBRE</v>
      </c>
      <c r="AA107" s="52" t="str">
        <f>IF(ISBLANK(Tableau!$AW$107), "LIBRE", "OCCUPÉ")</f>
        <v>LIBRE</v>
      </c>
      <c r="AB107" s="76" t="str">
        <f>IF(ISBLANK(Tableau!$AY107), "LIBRE", "OCCUPÉ")</f>
        <v>LIBRE</v>
      </c>
      <c r="AC107" s="70"/>
    </row>
    <row r="108" ht="21.75" hidden="1" customHeight="1">
      <c r="A108" s="72">
        <f>Tableau!A108</f>
        <v>342</v>
      </c>
      <c r="B108" s="73" t="str">
        <f>VLOOKUP($A108,LocalisationRemorque,2,0)</f>
        <v>Namur</v>
      </c>
      <c r="C108" s="74" t="str">
        <f>VLOOKUP($A108,LocalisationRemorque,3,0)</f>
        <v>Arville/Sart Bernard</v>
      </c>
      <c r="D108" s="75" t="str">
        <f>CONCATENATE(VLOOKUP($A108,LocalisationRemorque,6,0)," ► ",VLOOKUP($A108,LocalisationRemorque,5,0))</f>
        <v>Ciney ► Namur</v>
      </c>
      <c r="E108" s="54" t="str">
        <f>IF(ISBLANK(Tableau!$E$108), "LIBRE", "OCCUPÉ")</f>
        <v>OCCUPÉ</v>
      </c>
      <c r="F108" s="54" t="str">
        <f>IF(ISBLANK(Tableau!$G$108), "LIBRE", "OCCUPÉ")</f>
        <v>LIBRE</v>
      </c>
      <c r="G108" s="54" t="str">
        <f>IF(ISBLANK(Tableau!$I$108), "LIBRE", "OCCUPÉ")</f>
        <v>OCCUPÉ</v>
      </c>
      <c r="H108" s="52" t="str">
        <f>IF(ISBLANK(Tableau!$K$108), "LIBRE", "OCCUPÉ")</f>
        <v>LIBRE</v>
      </c>
      <c r="I108" s="54" t="str">
        <f>IF(ISBLANK(Tableau!$M$108), "LIBRE", "OCCUPÉ")</f>
        <v>OCCUPÉ</v>
      </c>
      <c r="J108" s="54" t="str">
        <f>IF(ISBLANK(Tableau!$O$108), "LIBRE", "OCCUPÉ")</f>
        <v>OCCUPÉ</v>
      </c>
      <c r="K108" s="54" t="str">
        <f>IF(ISBLANK(Tableau!$Q$108), "LIBRE", "OCCUPÉ")</f>
        <v>OCCUPÉ</v>
      </c>
      <c r="L108" s="54" t="str">
        <f>IF(ISBLANK(Tableau!$S$108), "LIBRE", "OCCUPÉ")</f>
        <v>LIBRE</v>
      </c>
      <c r="M108" s="54" t="str">
        <f>IF(ISBLANK(Tableau!$U$108), "LIBRE", "OCCUPÉ")</f>
        <v>OCCUPÉ</v>
      </c>
      <c r="N108" s="54" t="str">
        <f>IF(ISBLANK(Tableau!$W$108), "LIBRE", "OCCUPÉ")</f>
        <v>LIBRE</v>
      </c>
      <c r="O108" s="54" t="str">
        <f>IF(ISBLANK(Tableau!$Y$108), "LIBRE", "OCCUPÉ")</f>
        <v>OCCUPÉ</v>
      </c>
      <c r="P108" s="54" t="str">
        <f>IF(ISBLANK(Tableau!$AA$108), "LIBRE", "OCCUPÉ")</f>
        <v>LIBRE</v>
      </c>
      <c r="Q108" s="54" t="str">
        <f>IF(ISBLANK(Tableau!$AC$108), "LIBRE", "OCCUPÉ")</f>
        <v>OCCUPÉ</v>
      </c>
      <c r="R108" s="54" t="str">
        <f>IF(ISBLANK(Tableau!$AE$108), "LIBRE", "OCCUPÉ")</f>
        <v>LIBRE</v>
      </c>
      <c r="S108" s="54" t="str">
        <f>IF(ISBLANK(Tableau!$AG$108), "LIBRE", "OCCUPÉ")</f>
        <v>LIBRE</v>
      </c>
      <c r="T108" s="54" t="str">
        <f>IF(ISBLANK(Tableau!$AI$108), "LIBRE", "OCCUPÉ")</f>
        <v>OCCUPÉ</v>
      </c>
      <c r="U108" s="54" t="str">
        <f>IF(ISBLANK(Tableau!$AK$108), "LIBRE", "OCCUPÉ")</f>
        <v>LIBRE</v>
      </c>
      <c r="V108" s="52" t="str">
        <f>IF(ISBLANK(Tableau!$AM$108), "LIBRE", "OCCUPÉ")</f>
        <v>LIBRE</v>
      </c>
      <c r="W108" s="52" t="str">
        <f>IF(ISBLANK(Tableau!$AO$108), "LIBRE", "OCCUPÉ")</f>
        <v>LIBRE</v>
      </c>
      <c r="X108" s="52" t="str">
        <f>IF(ISBLANK(Tableau!$AQ$108), "LIBRE", "OCCUPÉ")</f>
        <v>LIBRE</v>
      </c>
      <c r="Y108" s="54" t="str">
        <f>IF(ISBLANK(Tableau!$AS$108), "LIBRE", "OCCUPÉ")</f>
        <v>LIBRE</v>
      </c>
      <c r="Z108" s="52" t="str">
        <f>IF(ISBLANK(Tableau!$AU$108), "LIBRE", "OCCUPÉ")</f>
        <v>LIBRE</v>
      </c>
      <c r="AA108" s="52" t="str">
        <f>IF(ISBLANK(Tableau!$AW$108), "LIBRE", "OCCUPÉ")</f>
        <v>LIBRE</v>
      </c>
      <c r="AB108" s="76" t="str">
        <f>IF(ISBLANK(Tableau!$AY108), "LIBRE", "OCCUPÉ")</f>
        <v>LIBRE</v>
      </c>
      <c r="AC108" s="155"/>
    </row>
    <row r="109" ht="21.75" hidden="1" customHeight="1">
      <c r="A109" s="40">
        <f>Tableau!A109</f>
        <v>343</v>
      </c>
      <c r="B109" s="46" t="str">
        <f>VLOOKUP($A109,LocalisationRemorque,2,0)</f>
        <v>Namur</v>
      </c>
      <c r="C109" s="47" t="str">
        <f>VLOOKUP($A109,LocalisationRemorque,3,0)</f>
        <v>Wierde</v>
      </c>
      <c r="D109" s="49" t="str">
        <f>CONCATENATE(VLOOKUP($A109,LocalisationRemorque,6,0)," ► ",VLOOKUP($A109,LocalisationRemorque,5,0))</f>
        <v>Naninne ► E411</v>
      </c>
      <c r="E109" s="54" t="str">
        <f>IF(ISBLANK(Tableau!$E$109), "LIBRE", "OCCUPÉ")</f>
        <v>OCCUPÉ</v>
      </c>
      <c r="F109" s="54" t="str">
        <f>IF(ISBLANK(Tableau!$G$109), "LIBRE", "OCCUPÉ")</f>
        <v>LIBRE</v>
      </c>
      <c r="G109" s="54" t="str">
        <f>IF(ISBLANK(Tableau!$I$109), "LIBRE", "OCCUPÉ")</f>
        <v>OCCUPÉ</v>
      </c>
      <c r="H109" s="54" t="str">
        <f>IF(ISBLANK(Tableau!$K$109), "LIBRE", "OCCUPÉ")</f>
        <v>LIBRE</v>
      </c>
      <c r="I109" s="54" t="str">
        <f>IF(ISBLANK(Tableau!$M$109), "LIBRE", "OCCUPÉ")</f>
        <v>OCCUPÉ</v>
      </c>
      <c r="J109" s="54" t="str">
        <f>IF(ISBLANK(Tableau!$O$109), "LIBRE", "OCCUPÉ")</f>
        <v>OCCUPÉ</v>
      </c>
      <c r="K109" s="54" t="str">
        <f>IF(ISBLANK(Tableau!$Q$109), "LIBRE", "OCCUPÉ")</f>
        <v>OCCUPÉ</v>
      </c>
      <c r="L109" s="54" t="str">
        <f>IF(ISBLANK(Tableau!$S$109), "LIBRE", "OCCUPÉ")</f>
        <v>LIBRE</v>
      </c>
      <c r="M109" s="54" t="str">
        <f>IF(ISBLANK(Tableau!$U$109), "LIBRE", "OCCUPÉ")</f>
        <v>OCCUPÉ</v>
      </c>
      <c r="N109" s="54" t="str">
        <f>IF(ISBLANK(Tableau!$W$109), "LIBRE", "OCCUPÉ")</f>
        <v>LIBRE</v>
      </c>
      <c r="O109" s="54" t="str">
        <f>IF(ISBLANK(Tableau!$Y$109), "LIBRE", "OCCUPÉ")</f>
        <v>OCCUPÉ</v>
      </c>
      <c r="P109" s="54" t="str">
        <f>IF(ISBLANK(Tableau!$AA$109), "LIBRE", "OCCUPÉ")</f>
        <v>OCCUPÉ</v>
      </c>
      <c r="Q109" s="52" t="str">
        <f>IF(ISBLANK(Tableau!$AC$109), "LIBRE", "OCCUPÉ")</f>
        <v>OCCUPÉ</v>
      </c>
      <c r="R109" s="54" t="str">
        <f>IF(ISBLANK(Tableau!$AE$109), "LIBRE", "OCCUPÉ")</f>
        <v>LIBRE</v>
      </c>
      <c r="S109" s="54" t="str">
        <f>IF(ISBLANK(Tableau!$AG$109), "LIBRE", "OCCUPÉ")</f>
        <v>OCCUPÉ</v>
      </c>
      <c r="T109" s="54" t="str">
        <f>IF(ISBLANK(Tableau!$AI$109), "LIBRE", "OCCUPÉ")</f>
        <v>LIBRE</v>
      </c>
      <c r="U109" s="54" t="str">
        <f>IF(ISBLANK(Tableau!$AK$109), "LIBRE", "OCCUPÉ")</f>
        <v>LIBRE</v>
      </c>
      <c r="V109" s="54" t="str">
        <f>IF(ISBLANK(Tableau!$AM$109), "LIBRE", "OCCUPÉ")</f>
        <v>LIBRE</v>
      </c>
      <c r="W109" s="54" t="str">
        <f>IF(ISBLANK(Tableau!$AO$109), "LIBRE", "OCCUPÉ")</f>
        <v>OCCUPÉ</v>
      </c>
      <c r="X109" s="54" t="str">
        <f>IF(ISBLANK(Tableau!$AQ$109), "LIBRE", "OCCUPÉ")</f>
        <v>LIBRE</v>
      </c>
      <c r="Y109" s="54" t="str">
        <f>IF(ISBLANK(Tableau!$AS$109), "LIBRE", "OCCUPÉ")</f>
        <v>OCCUPÉ</v>
      </c>
      <c r="Z109" s="52" t="str">
        <f>IF(ISBLANK(Tableau!$AU$109), "LIBRE", "OCCUPÉ")</f>
        <v>OCCUPÉ</v>
      </c>
      <c r="AA109" s="52" t="str">
        <f>IF(ISBLANK(Tableau!$AW$109), "LIBRE", "OCCUPÉ")</f>
        <v>LIBRE</v>
      </c>
      <c r="AB109" s="69" t="str">
        <f>IF(ISBLANK(Tableau!$AY109), "LIBRE", "OCCUPÉ")</f>
        <v>LIBRE</v>
      </c>
      <c r="AC109" s="70"/>
    </row>
    <row r="110" ht="21.75" hidden="1" customHeight="1">
      <c r="A110" s="72">
        <f>Tableau!A110</f>
        <v>344</v>
      </c>
      <c r="B110" s="73" t="str">
        <f>VLOOKUP($A110,LocalisationRemorque,2,0)</f>
        <v>Namur</v>
      </c>
      <c r="C110" s="74" t="str">
        <f>VLOOKUP($A110,LocalisationRemorque,3,0)</f>
        <v>Wierde 2</v>
      </c>
      <c r="D110" s="75" t="str">
        <f>CONCATENATE(VLOOKUP($A110,LocalisationRemorque,6,0)," ► ",VLOOKUP($A110,LocalisationRemorque,5,0))</f>
        <v>Naninne ► E411</v>
      </c>
      <c r="E110" s="54" t="str">
        <f>IF(ISBLANK(Tableau!$E$110), "LIBRE", "OCCUPÉ")</f>
        <v>OCCUPÉ</v>
      </c>
      <c r="F110" s="54" t="str">
        <f>IF(ISBLANK(Tableau!$G$110), "LIBRE", "OCCUPÉ")</f>
        <v>OCCUPÉ</v>
      </c>
      <c r="G110" s="54" t="str">
        <f>IF(ISBLANK(Tableau!$I$110), "LIBRE", "OCCUPÉ")</f>
        <v>LIBRE</v>
      </c>
      <c r="H110" s="54" t="str">
        <f>IF(ISBLANK(Tableau!$K$110), "LIBRE", "OCCUPÉ")</f>
        <v>LIBRE</v>
      </c>
      <c r="I110" s="54" t="str">
        <f>IF(ISBLANK(Tableau!$M$110), "LIBRE", "OCCUPÉ")</f>
        <v>OCCUPÉ</v>
      </c>
      <c r="J110" s="54" t="str">
        <f>IF(ISBLANK(Tableau!$O$110), "LIBRE", "OCCUPÉ")</f>
        <v>OCCUPÉ</v>
      </c>
      <c r="K110" s="54" t="str">
        <f>IF(ISBLANK(Tableau!$Q$110), "LIBRE", "OCCUPÉ")</f>
        <v>OCCUPÉ</v>
      </c>
      <c r="L110" s="54" t="str">
        <f>IF(ISBLANK(Tableau!$S$110), "LIBRE", "OCCUPÉ")</f>
        <v>LIBRE</v>
      </c>
      <c r="M110" s="54" t="str">
        <f>IF(ISBLANK(Tableau!$U$110), "LIBRE", "OCCUPÉ")</f>
        <v>OCCUPÉ</v>
      </c>
      <c r="N110" s="54" t="str">
        <f>IF(ISBLANK(Tableau!$W$110), "LIBRE", "OCCUPÉ")</f>
        <v>LIBRE</v>
      </c>
      <c r="O110" s="54" t="str">
        <f>IF(ISBLANK(Tableau!$Y$110), "LIBRE", "OCCUPÉ")</f>
        <v>LIBRE</v>
      </c>
      <c r="P110" s="54" t="str">
        <f>IF(ISBLANK(Tableau!$AA$110), "LIBRE", "OCCUPÉ")</f>
        <v>LIBRE</v>
      </c>
      <c r="Q110" s="54" t="str">
        <f>IF(ISBLANK(Tableau!$AC$110), "LIBRE", "OCCUPÉ")</f>
        <v>LIBRE</v>
      </c>
      <c r="R110" s="54" t="str">
        <f>IF(ISBLANK(Tableau!$AE$110), "LIBRE", "OCCUPÉ")</f>
        <v>OCCUPÉ</v>
      </c>
      <c r="S110" s="54" t="str">
        <f>IF(ISBLANK(Tableau!$AG$110), "LIBRE", "OCCUPÉ")</f>
        <v>LIBRE</v>
      </c>
      <c r="T110" s="52" t="str">
        <f>IF(ISBLANK(Tableau!$AI$110), "LIBRE", "OCCUPÉ")</f>
        <v>LIBRE</v>
      </c>
      <c r="U110" s="54" t="str">
        <f>IF(ISBLANK(Tableau!$AK$110), "LIBRE", "OCCUPÉ")</f>
        <v>LIBRE</v>
      </c>
      <c r="V110" s="52" t="str">
        <f>IF(ISBLANK(Tableau!$AM$110), "LIBRE", "OCCUPÉ")</f>
        <v>LIBRE</v>
      </c>
      <c r="W110" s="54" t="str">
        <f>IF(ISBLANK(Tableau!$AO$110), "LIBRE", "OCCUPÉ")</f>
        <v>OCCUPÉ</v>
      </c>
      <c r="X110" s="54" t="str">
        <f>IF(ISBLANK(Tableau!$AQ$110), "LIBRE", "OCCUPÉ")</f>
        <v>LIBRE</v>
      </c>
      <c r="Y110" s="52" t="str">
        <f>IF(ISBLANK(Tableau!$AS$110), "LIBRE", "OCCUPÉ")</f>
        <v>LIBRE</v>
      </c>
      <c r="Z110" s="54" t="str">
        <f>IF(ISBLANK(Tableau!$AU$110), "LIBRE", "OCCUPÉ")</f>
        <v>OCCUPÉ</v>
      </c>
      <c r="AA110" s="52" t="str">
        <f>IF(ISBLANK(Tableau!$AW$110), "LIBRE", "OCCUPÉ")</f>
        <v>LIBRE</v>
      </c>
      <c r="AB110" s="76" t="str">
        <f>IF(ISBLANK(Tableau!$AY110), "LIBRE", "OCCUPÉ")</f>
        <v>LIBRE</v>
      </c>
      <c r="AC110" s="77"/>
    </row>
    <row r="111" ht="21.75" hidden="1" customHeight="1">
      <c r="A111" s="40">
        <f>Tableau!A111</f>
        <v>363</v>
      </c>
      <c r="B111" s="46" t="str">
        <f>VLOOKUP($A111,LocalisationRemorque,2,0)</f>
        <v>Namur</v>
      </c>
      <c r="C111" s="47" t="str">
        <f>VLOOKUP($A111,LocalisationRemorque,3,0)</f>
        <v>Erpent</v>
      </c>
      <c r="D111" s="49" t="str">
        <f>CONCATENATE(VLOOKUP($A111,LocalisationRemorque,6,0)," ► ",VLOOKUP($A111,LocalisationRemorque,5,0))</f>
        <v>Marche-en-Famenne ► Namur</v>
      </c>
      <c r="E111" s="54" t="str">
        <f>IF(ISBLANK(Tableau!$E$111), "LIBRE", "OCCUPÉ")</f>
        <v>OCCUPÉ</v>
      </c>
      <c r="F111" s="54" t="str">
        <f>IF(ISBLANK(Tableau!$G$111), "LIBRE", "OCCUPÉ")</f>
        <v>LIBRE</v>
      </c>
      <c r="G111" s="52" t="str">
        <f>IF(ISBLANK(Tableau!$I$111), "LIBRE", "OCCUPÉ")</f>
        <v>LIBRE</v>
      </c>
      <c r="H111" s="54" t="str">
        <f>IF(ISBLANK(Tableau!$K$111), "LIBRE", "OCCUPÉ")</f>
        <v>OCCUPÉ</v>
      </c>
      <c r="I111" s="52" t="str">
        <f>IF(ISBLANK(Tableau!$M$111), "LIBRE", "OCCUPÉ")</f>
        <v>LIBRE</v>
      </c>
      <c r="J111" s="54" t="str">
        <f>IF(ISBLANK(Tableau!$O$111), "LIBRE", "OCCUPÉ")</f>
        <v>LIBRE</v>
      </c>
      <c r="K111" s="54" t="str">
        <f>IF(ISBLANK(Tableau!$Q$111), "LIBRE", "OCCUPÉ")</f>
        <v>OCCUPÉ</v>
      </c>
      <c r="L111" s="54" t="str">
        <f>IF(ISBLANK(Tableau!$S$111), "LIBRE", "OCCUPÉ")</f>
        <v>LIBRE</v>
      </c>
      <c r="M111" s="52" t="str">
        <f>IF(ISBLANK(Tableau!$U$111), "LIBRE", "OCCUPÉ")</f>
        <v>OCCUPÉ</v>
      </c>
      <c r="N111" s="54" t="str">
        <f>IF(ISBLANK(Tableau!$W$111), "LIBRE", "OCCUPÉ")</f>
        <v>OCCUPÉ</v>
      </c>
      <c r="O111" s="52" t="str">
        <f>IF(ISBLANK(Tableau!$Y$111), "LIBRE", "OCCUPÉ")</f>
        <v>LIBRE</v>
      </c>
      <c r="P111" s="54" t="str">
        <f>IF(ISBLANK(Tableau!$AA$111), "LIBRE", "OCCUPÉ")</f>
        <v>OCCUPÉ</v>
      </c>
      <c r="Q111" s="54" t="str">
        <f>IF(ISBLANK(Tableau!$AC$111), "LIBRE", "OCCUPÉ")</f>
        <v>OCCUPÉ</v>
      </c>
      <c r="R111" s="54" t="str">
        <f>IF(ISBLANK(Tableau!$AE$111), "LIBRE", "OCCUPÉ")</f>
        <v>OCCUPÉ</v>
      </c>
      <c r="S111" s="52" t="str">
        <f>IF(ISBLANK(Tableau!$AG$111), "LIBRE", "OCCUPÉ")</f>
        <v>OCCUPÉ</v>
      </c>
      <c r="T111" s="54" t="str">
        <f>IF(ISBLANK(Tableau!$AI$111), "LIBRE", "OCCUPÉ")</f>
        <v>LIBRE</v>
      </c>
      <c r="U111" s="54" t="str">
        <f>IF(ISBLANK(Tableau!$AK$111), "LIBRE", "OCCUPÉ")</f>
        <v>LIBRE</v>
      </c>
      <c r="V111" s="54" t="str">
        <f>IF(ISBLANK(Tableau!$AM$111), "LIBRE", "OCCUPÉ")</f>
        <v>OCCUPÉ</v>
      </c>
      <c r="W111" s="52" t="str">
        <f>IF(ISBLANK(Tableau!$AO$111), "LIBRE", "OCCUPÉ")</f>
        <v>OCCUPÉ</v>
      </c>
      <c r="X111" s="54" t="str">
        <f>IF(ISBLANK(Tableau!$AQ$111), "LIBRE", "OCCUPÉ")</f>
        <v>LIBRE</v>
      </c>
      <c r="Y111" s="52" t="str">
        <f>IF(ISBLANK(Tableau!$AS$111), "LIBRE", "OCCUPÉ")</f>
        <v>OCCUPÉ</v>
      </c>
      <c r="Z111" s="54" t="str">
        <f>IF(ISBLANK(Tableau!$AU$111), "LIBRE", "OCCUPÉ")</f>
        <v>LIBRE</v>
      </c>
      <c r="AA111" s="54" t="str">
        <f>IF(ISBLANK(Tableau!$AW$111), "LIBRE", "OCCUPÉ")</f>
        <v>OCCUPÉ</v>
      </c>
      <c r="AB111" s="69" t="str">
        <f>IF(ISBLANK(Tableau!$AY111), "LIBRE", "OCCUPÉ")</f>
        <v>OCCUPÉ</v>
      </c>
      <c r="AC111" s="88"/>
    </row>
    <row r="112" ht="21.75" hidden="1" customHeight="1">
      <c r="A112" s="72">
        <f>Tableau!A112</f>
        <v>345</v>
      </c>
      <c r="B112" s="73" t="str">
        <f>VLOOKUP($A112,LocalisationRemorque,2,0)</f>
        <v>Philippeville</v>
      </c>
      <c r="C112" s="74" t="str">
        <f>VLOOKUP($A112,LocalisationRemorque,3,0)</f>
        <v>Philippeville</v>
      </c>
      <c r="D112" s="75" t="str">
        <f>CONCATENATE(VLOOKUP($A112,LocalisationRemorque,6,0)," ► ",VLOOKUP($A112,LocalisationRemorque,5,0))</f>
        <v>Philippeville ► Dinant</v>
      </c>
      <c r="E112" s="52" t="str">
        <f>IF(ISBLANK(Tableau!$E$112), "LIBRE", "OCCUPÉ")</f>
        <v>LIBRE</v>
      </c>
      <c r="F112" s="52" t="str">
        <f>IF(ISBLANK(Tableau!$G$112), "LIBRE", "OCCUPÉ")</f>
        <v>LIBRE</v>
      </c>
      <c r="G112" s="54" t="str">
        <f>IF(ISBLANK(Tableau!$I$112), "LIBRE", "OCCUPÉ")</f>
        <v>LIBRE</v>
      </c>
      <c r="H112" s="54" t="str">
        <f>IF(ISBLANK(Tableau!$K$112), "LIBRE", "OCCUPÉ")</f>
        <v>LIBRE</v>
      </c>
      <c r="I112" s="54" t="str">
        <f>IF(ISBLANK(Tableau!$M$112), "LIBRE", "OCCUPÉ")</f>
        <v>LIBRE</v>
      </c>
      <c r="J112" s="52" t="str">
        <f>IF(ISBLANK(Tableau!$O$112), "LIBRE", "OCCUPÉ")</f>
        <v>LIBRE</v>
      </c>
      <c r="K112" s="54" t="str">
        <f>IF(ISBLANK(Tableau!$Q$112), "LIBRE", "OCCUPÉ")</f>
        <v>LIBRE</v>
      </c>
      <c r="L112" s="52" t="str">
        <f>IF(ISBLANK(Tableau!$S$112), "LIBRE", "OCCUPÉ")</f>
        <v>LIBRE</v>
      </c>
      <c r="M112" s="54" t="str">
        <f>IF(ISBLANK(Tableau!$U$112), "LIBRE", "OCCUPÉ")</f>
        <v>LIBRE</v>
      </c>
      <c r="N112" s="52" t="str">
        <f>IF(ISBLANK(Tableau!$W$112), "LIBRE", "OCCUPÉ")</f>
        <v>LIBRE</v>
      </c>
      <c r="O112" s="52" t="str">
        <f>IF(ISBLANK(Tableau!$Y$112), "LIBRE", "OCCUPÉ")</f>
        <v>LIBRE</v>
      </c>
      <c r="P112" s="52" t="str">
        <f>IF(ISBLANK(Tableau!$AA$112), "LIBRE", "OCCUPÉ")</f>
        <v>LIBRE</v>
      </c>
      <c r="Q112" s="52" t="str">
        <f>IF(ISBLANK(Tableau!$AC$112), "LIBRE", "OCCUPÉ")</f>
        <v>LIBRE</v>
      </c>
      <c r="R112" s="52" t="str">
        <f>IF(ISBLANK(Tableau!$AE$112), "LIBRE", "OCCUPÉ")</f>
        <v>LIBRE</v>
      </c>
      <c r="S112" s="52" t="str">
        <f>IF(ISBLANK(Tableau!$AG$112), "LIBRE", "OCCUPÉ")</f>
        <v>LIBRE</v>
      </c>
      <c r="T112" s="52" t="str">
        <f>IF(ISBLANK(Tableau!$AI$112), "LIBRE", "OCCUPÉ")</f>
        <v>LIBRE</v>
      </c>
      <c r="U112" s="54" t="str">
        <f>IF(ISBLANK(Tableau!$AK$112), "LIBRE", "OCCUPÉ")</f>
        <v>LIBRE</v>
      </c>
      <c r="V112" s="52" t="str">
        <f>IF(ISBLANK(Tableau!$AM$112), "LIBRE", "OCCUPÉ")</f>
        <v>LIBRE</v>
      </c>
      <c r="W112" s="54" t="str">
        <f>IF(ISBLANK(Tableau!$AO$112), "LIBRE", "OCCUPÉ")</f>
        <v>LIBRE</v>
      </c>
      <c r="X112" s="52" t="str">
        <f>IF(ISBLANK(Tableau!$AQ$112), "LIBRE", "OCCUPÉ")</f>
        <v>LIBRE</v>
      </c>
      <c r="Y112" s="52" t="str">
        <f>IF(ISBLANK(Tableau!$AS$112), "LIBRE", "OCCUPÉ")</f>
        <v>LIBRE</v>
      </c>
      <c r="Z112" s="52" t="str">
        <f>IF(ISBLANK(Tableau!$AU$112), "LIBRE", "OCCUPÉ")</f>
        <v>LIBRE</v>
      </c>
      <c r="AA112" s="52" t="str">
        <f>IF(ISBLANK(Tableau!$AW$112), "LIBRE", "OCCUPÉ")</f>
        <v>LIBRE</v>
      </c>
      <c r="AB112" s="76" t="str">
        <f>IF(ISBLANK(Tableau!$AY112), "LIBRE", "OCCUPÉ")</f>
        <v>LIBRE</v>
      </c>
      <c r="AC112" s="155"/>
    </row>
    <row r="113" ht="21.75" hidden="1" customHeight="1">
      <c r="A113" s="40">
        <f>Tableau!A113</f>
        <v>346</v>
      </c>
      <c r="B113" s="46" t="str">
        <f>VLOOKUP($A113,LocalisationRemorque,2,0)</f>
        <v>Mettet</v>
      </c>
      <c r="C113" s="47" t="str">
        <f>VLOOKUP($A113,LocalisationRemorque,3,0)</f>
        <v>Rond point circuit</v>
      </c>
      <c r="D113" s="49" t="str">
        <f>CONCATENATE(VLOOKUP($A113,LocalisationRemorque,6,0)," ► ",VLOOKUP($A113,LocalisationRemorque,5,0))</f>
        <v>Annevoie ► Circuit</v>
      </c>
      <c r="E113" s="52" t="str">
        <f>IF(ISBLANK(Tableau!$E$113), "LIBRE", "OCCUPÉ")</f>
        <v>OCCUPÉ</v>
      </c>
      <c r="F113" s="52" t="str">
        <f>IF(ISBLANK(Tableau!$G$113), "LIBRE", "OCCUPÉ")</f>
        <v>LIBRE</v>
      </c>
      <c r="G113" s="54" t="str">
        <f>IF(ISBLANK(Tableau!$I$113), "LIBRE", "OCCUPÉ")</f>
        <v>LIBRE</v>
      </c>
      <c r="H113" s="52" t="str">
        <f>IF(ISBLANK(Tableau!$K$113), "LIBRE", "OCCUPÉ")</f>
        <v>LIBRE</v>
      </c>
      <c r="I113" s="52" t="str">
        <f>IF(ISBLANK(Tableau!$M$113), "LIBRE", "OCCUPÉ")</f>
        <v>LIBRE</v>
      </c>
      <c r="J113" s="54" t="str">
        <f>IF(ISBLANK(Tableau!$O$113), "LIBRE", "OCCUPÉ")</f>
        <v>LIBRE</v>
      </c>
      <c r="K113" s="54" t="str">
        <f>IF(ISBLANK(Tableau!$Q$113), "LIBRE", "OCCUPÉ")</f>
        <v>OCCUPÉ</v>
      </c>
      <c r="L113" s="52" t="str">
        <f>IF(ISBLANK(Tableau!$S$113), "LIBRE", "OCCUPÉ")</f>
        <v>LIBRE</v>
      </c>
      <c r="M113" s="54" t="str">
        <f>IF(ISBLANK(Tableau!$U$113), "LIBRE", "OCCUPÉ")</f>
        <v>LIBRE</v>
      </c>
      <c r="N113" s="54" t="str">
        <f>IF(ISBLANK(Tableau!$W$113), "LIBRE", "OCCUPÉ")</f>
        <v>LIBRE</v>
      </c>
      <c r="O113" s="54" t="str">
        <f>IF(ISBLANK(Tableau!$Y$113), "LIBRE", "OCCUPÉ")</f>
        <v>LIBRE</v>
      </c>
      <c r="P113" s="54" t="str">
        <f>IF(ISBLANK(Tableau!$AA$113), "LIBRE", "OCCUPÉ")</f>
        <v>LIBRE</v>
      </c>
      <c r="Q113" s="54" t="str">
        <f>IF(ISBLANK(Tableau!$AC$113), "LIBRE", "OCCUPÉ")</f>
        <v>OCCUPÉ</v>
      </c>
      <c r="R113" s="52" t="str">
        <f>IF(ISBLANK(Tableau!$AE$113), "LIBRE", "OCCUPÉ")</f>
        <v>LIBRE</v>
      </c>
      <c r="S113" s="54" t="str">
        <f>IF(ISBLANK(Tableau!$AG$113), "LIBRE", "OCCUPÉ")</f>
        <v>LIBRE</v>
      </c>
      <c r="T113" s="52" t="str">
        <f>IF(ISBLANK(Tableau!$AI$113), "LIBRE", "OCCUPÉ")</f>
        <v>LIBRE</v>
      </c>
      <c r="U113" s="54" t="str">
        <f>IF(ISBLANK(Tableau!$AK$113), "LIBRE", "OCCUPÉ")</f>
        <v>OCCUPÉ</v>
      </c>
      <c r="V113" s="54" t="str">
        <f>IF(ISBLANK(Tableau!$AM$113), "LIBRE", "OCCUPÉ")</f>
        <v>LIBRE</v>
      </c>
      <c r="W113" s="52" t="str">
        <f>IF(ISBLANK(Tableau!$AO$113), "LIBRE", "OCCUPÉ")</f>
        <v>LIBRE</v>
      </c>
      <c r="X113" s="52" t="str">
        <f>IF(ISBLANK(Tableau!$AQ$113), "LIBRE", "OCCUPÉ")</f>
        <v>LIBRE</v>
      </c>
      <c r="Y113" s="52" t="str">
        <f>IF(ISBLANK(Tableau!$AS$113), "LIBRE", "OCCUPÉ")</f>
        <v>LIBRE</v>
      </c>
      <c r="Z113" s="52" t="str">
        <f>IF(ISBLANK(Tableau!$AU$113), "LIBRE", "OCCUPÉ")</f>
        <v>LIBRE</v>
      </c>
      <c r="AA113" s="54" t="str">
        <f>IF(ISBLANK(Tableau!$AW$113), "LIBRE", "OCCUPÉ")</f>
        <v>LIBRE</v>
      </c>
      <c r="AB113" s="76" t="str">
        <f>IF(ISBLANK(Tableau!$AY113), "LIBRE", "OCCUPÉ")</f>
        <v>LIBRE</v>
      </c>
      <c r="AC113" s="88"/>
    </row>
    <row r="114" ht="21.75" hidden="1" customHeight="1">
      <c r="A114" s="72">
        <f>Tableau!A114</f>
        <v>359</v>
      </c>
      <c r="B114" s="73" t="str">
        <f>VLOOKUP($A114,LocalisationRemorque,2,0)</f>
        <v>Florenne</v>
      </c>
      <c r="C114" s="74" t="str">
        <f>VLOOKUP($A114,LocalisationRemorque,3,0)</f>
        <v>Mettet</v>
      </c>
      <c r="D114" s="75" t="str">
        <f>CONCATENATE(VLOOKUP($A114,LocalisationRemorque,6,0)," ► ",VLOOKUP($A114,LocalisationRemorque,5,0))</f>
        <v>Mettet ► Florennes</v>
      </c>
      <c r="E114" s="52" t="str">
        <f>IF(ISBLANK(Tableau!$E$114), "LIBRE", "OCCUPÉ")</f>
        <v>LIBRE</v>
      </c>
      <c r="F114" s="52" t="str">
        <f>IF(ISBLANK(Tableau!$G$114), "LIBRE", "OCCUPÉ")</f>
        <v>LIBRE</v>
      </c>
      <c r="G114" s="54" t="str">
        <f>IF(ISBLANK(Tableau!$I$114), "LIBRE", "OCCUPÉ")</f>
        <v>LIBRE</v>
      </c>
      <c r="H114" s="52" t="str">
        <f>IF(ISBLANK(Tableau!$K$114), "LIBRE", "OCCUPÉ")</f>
        <v>LIBRE</v>
      </c>
      <c r="I114" s="54" t="str">
        <f>IF(ISBLANK(Tableau!$M$114), "LIBRE", "OCCUPÉ")</f>
        <v>LIBRE</v>
      </c>
      <c r="J114" s="54" t="str">
        <f>IF(ISBLANK(Tableau!$O$114), "LIBRE", "OCCUPÉ")</f>
        <v>LIBRE</v>
      </c>
      <c r="K114" s="54" t="str">
        <f>IF(ISBLANK(Tableau!$Q$114), "LIBRE", "OCCUPÉ")</f>
        <v>LIBRE</v>
      </c>
      <c r="L114" s="54" t="str">
        <f>IF(ISBLANK(Tableau!$S$114), "LIBRE", "OCCUPÉ")</f>
        <v>LIBRE</v>
      </c>
      <c r="M114" s="54" t="str">
        <f>IF(ISBLANK(Tableau!$U$114), "LIBRE", "OCCUPÉ")</f>
        <v>LIBRE</v>
      </c>
      <c r="N114" s="52" t="str">
        <f>IF(ISBLANK(Tableau!$W$114), "LIBRE", "OCCUPÉ")</f>
        <v>LIBRE</v>
      </c>
      <c r="O114" s="54" t="str">
        <f>IF(ISBLANK(Tableau!$Y$114), "LIBRE", "OCCUPÉ")</f>
        <v>LIBRE</v>
      </c>
      <c r="P114" s="52" t="str">
        <f>IF(ISBLANK(Tableau!$AA$114), "LIBRE", "OCCUPÉ")</f>
        <v>LIBRE</v>
      </c>
      <c r="Q114" s="52" t="str">
        <f>IF(ISBLANK(Tableau!$AC$114), "LIBRE", "OCCUPÉ")</f>
        <v>LIBRE</v>
      </c>
      <c r="R114" s="52" t="str">
        <f>IF(ISBLANK(Tableau!$AE$114), "LIBRE", "OCCUPÉ")</f>
        <v>LIBRE</v>
      </c>
      <c r="S114" s="52" t="str">
        <f>IF(ISBLANK(Tableau!$AG$114), "LIBRE", "OCCUPÉ")</f>
        <v>LIBRE</v>
      </c>
      <c r="T114" s="52" t="str">
        <f>IF(ISBLANK(Tableau!$AI$114), "LIBRE", "OCCUPÉ")</f>
        <v>LIBRE</v>
      </c>
      <c r="U114" s="52" t="str">
        <f>IF(ISBLANK(Tableau!$AK$114), "LIBRE", "OCCUPÉ")</f>
        <v>LIBRE</v>
      </c>
      <c r="V114" s="54" t="str">
        <f>IF(ISBLANK(Tableau!$AM$114), "LIBRE", "OCCUPÉ")</f>
        <v>LIBRE</v>
      </c>
      <c r="W114" s="52" t="str">
        <f>IF(ISBLANK(Tableau!$AO$114), "LIBRE", "OCCUPÉ")</f>
        <v>LIBRE</v>
      </c>
      <c r="X114" s="52" t="str">
        <f>IF(ISBLANK(Tableau!$AQ$114), "LIBRE", "OCCUPÉ")</f>
        <v>LIBRE</v>
      </c>
      <c r="Y114" s="52" t="str">
        <f>IF(ISBLANK(Tableau!$AS$114), "LIBRE", "OCCUPÉ")</f>
        <v>LIBRE</v>
      </c>
      <c r="Z114" s="52" t="str">
        <f>IF(ISBLANK(Tableau!$AU$114), "LIBRE", "OCCUPÉ")</f>
        <v>LIBRE</v>
      </c>
      <c r="AA114" s="52" t="str">
        <f>IF(ISBLANK(Tableau!$AW$114), "LIBRE", "OCCUPÉ")</f>
        <v>LIBRE</v>
      </c>
      <c r="AB114" s="69" t="str">
        <f>IF(ISBLANK(Tableau!$AY114), "LIBRE", "OCCUPÉ")</f>
        <v>LIBRE</v>
      </c>
      <c r="AC114" s="155"/>
    </row>
    <row r="115" ht="21.75" hidden="1" customHeight="1">
      <c r="A115" s="40">
        <f>Tableau!A115</f>
        <v>360</v>
      </c>
      <c r="B115" s="46" t="str">
        <f>VLOOKUP($A115,LocalisationRemorque,2,0)</f>
        <v>Neuville</v>
      </c>
      <c r="C115" s="47" t="str">
        <f>VLOOKUP($A115,LocalisationRemorque,3,0)</f>
        <v>Philippeville-Couvin</v>
      </c>
      <c r="D115" s="49" t="str">
        <f>CONCATENATE(VLOOKUP($A115,LocalisationRemorque,6,0)," ► ",VLOOKUP($A115,LocalisationRemorque,5,0))</f>
        <v>Philippeville ► Couvin</v>
      </c>
      <c r="E115" s="52" t="str">
        <f>IF(ISBLANK(Tableau!$E$115), "LIBRE", "OCCUPÉ")</f>
        <v>LIBRE</v>
      </c>
      <c r="F115" s="52" t="str">
        <f>IF(ISBLANK(Tableau!$G$115), "LIBRE", "OCCUPÉ")</f>
        <v>LIBRE</v>
      </c>
      <c r="G115" s="54" t="str">
        <f>IF(ISBLANK(Tableau!$I$115), "LIBRE", "OCCUPÉ")</f>
        <v>LIBRE</v>
      </c>
      <c r="H115" s="52" t="str">
        <f>IF(ISBLANK(Tableau!$K$115), "LIBRE", "OCCUPÉ")</f>
        <v>LIBRE</v>
      </c>
      <c r="I115" s="54" t="str">
        <f>IF(ISBLANK(Tableau!$M$115), "LIBRE", "OCCUPÉ")</f>
        <v>LIBRE</v>
      </c>
      <c r="J115" s="52" t="str">
        <f>IF(ISBLANK(Tableau!$O$115), "LIBRE", "OCCUPÉ")</f>
        <v>LIBRE</v>
      </c>
      <c r="K115" s="52" t="str">
        <f>IF(ISBLANK(Tableau!$Q$115), "LIBRE", "OCCUPÉ")</f>
        <v>OCCUPÉ</v>
      </c>
      <c r="L115" s="52" t="str">
        <f>IF(ISBLANK(Tableau!$S$115), "LIBRE", "OCCUPÉ")</f>
        <v>LIBRE</v>
      </c>
      <c r="M115" s="54" t="str">
        <f>IF(ISBLANK(Tableau!$U$115), "LIBRE", "OCCUPÉ")</f>
        <v>LIBRE</v>
      </c>
      <c r="N115" s="52" t="str">
        <f>IF(ISBLANK(Tableau!$W$115), "LIBRE", "OCCUPÉ")</f>
        <v>LIBRE</v>
      </c>
      <c r="O115" s="54" t="str">
        <f>IF(ISBLANK(Tableau!$Y$115), "LIBRE", "OCCUPÉ")</f>
        <v>LIBRE</v>
      </c>
      <c r="P115" s="52" t="str">
        <f>IF(ISBLANK(Tableau!$AA$115), "LIBRE", "OCCUPÉ")</f>
        <v>LIBRE</v>
      </c>
      <c r="Q115" s="54" t="str">
        <f>IF(ISBLANK(Tableau!$AC$115), "LIBRE", "OCCUPÉ")</f>
        <v>LIBRE</v>
      </c>
      <c r="R115" s="52" t="str">
        <f>IF(ISBLANK(Tableau!$AE$115), "LIBRE", "OCCUPÉ")</f>
        <v>LIBRE</v>
      </c>
      <c r="S115" s="54" t="str">
        <f>IF(ISBLANK(Tableau!$AG$115), "LIBRE", "OCCUPÉ")</f>
        <v>LIBRE</v>
      </c>
      <c r="T115" s="52" t="str">
        <f>IF(ISBLANK(Tableau!$AI$115), "LIBRE", "OCCUPÉ")</f>
        <v>LIBRE</v>
      </c>
      <c r="U115" s="52" t="str">
        <f>IF(ISBLANK(Tableau!$AK$115), "LIBRE", "OCCUPÉ")</f>
        <v>OCCUPÉ</v>
      </c>
      <c r="V115" s="52" t="str">
        <f>IF(ISBLANK(Tableau!$AM$115), "LIBRE", "OCCUPÉ")</f>
        <v>LIBRE</v>
      </c>
      <c r="W115" s="54" t="str">
        <f>IF(ISBLANK(Tableau!$AO$115), "LIBRE", "OCCUPÉ")</f>
        <v>LIBRE</v>
      </c>
      <c r="X115" s="52" t="str">
        <f>IF(ISBLANK(Tableau!$AQ$115), "LIBRE", "OCCUPÉ")</f>
        <v>LIBRE</v>
      </c>
      <c r="Y115" s="54" t="str">
        <f>IF(ISBLANK(Tableau!$AS$115), "LIBRE", "OCCUPÉ")</f>
        <v>LIBRE</v>
      </c>
      <c r="Z115" s="52" t="str">
        <f>IF(ISBLANK(Tableau!$AU$115), "LIBRE", "OCCUPÉ")</f>
        <v>LIBRE</v>
      </c>
      <c r="AA115" s="52" t="str">
        <f>IF(ISBLANK(Tableau!$AW$115), "LIBRE", "OCCUPÉ")</f>
        <v>LIBRE</v>
      </c>
      <c r="AB115" s="76" t="str">
        <f>IF(ISBLANK(Tableau!$AY115), "LIBRE", "OCCUPÉ")</f>
        <v>LIBRE</v>
      </c>
      <c r="AC115" s="88"/>
    </row>
    <row r="116" ht="21.75" hidden="1" customHeight="1">
      <c r="A116" s="72">
        <f>Tableau!A116</f>
        <v>361</v>
      </c>
      <c r="B116" s="73" t="str">
        <f>VLOOKUP($A116,LocalisationRemorque,2,0)</f>
        <v>Lacs de l'Eau d'Heure</v>
      </c>
      <c r="C116" s="74" t="str">
        <f>VLOOKUP($A116,LocalisationRemorque,3,0)</f>
        <v>Silenrieux</v>
      </c>
      <c r="D116" s="75" t="str">
        <f>CONCATENATE(VLOOKUP($A116,LocalisationRemorque,6,0)," ► ",VLOOKUP($A116,LocalisationRemorque,5,0))</f>
        <v>Philippeville ► Silenrieux</v>
      </c>
      <c r="E116" s="54" t="str">
        <f>IF(ISBLANK(Tableau!$E$116), "LIBRE", "OCCUPÉ")</f>
        <v>LIBRE</v>
      </c>
      <c r="F116" s="52" t="str">
        <f>IF(ISBLANK(Tableau!$G$116), "LIBRE", "OCCUPÉ")</f>
        <v>LIBRE</v>
      </c>
      <c r="G116" s="54" t="str">
        <f>IF(ISBLANK(Tableau!$I$116), "LIBRE", "OCCUPÉ")</f>
        <v>LIBRE</v>
      </c>
      <c r="H116" s="52" t="str">
        <f>IF(ISBLANK(Tableau!$K$116), "LIBRE", "OCCUPÉ")</f>
        <v>LIBRE</v>
      </c>
      <c r="I116" s="54" t="str">
        <f>IF(ISBLANK(Tableau!$M$116), "LIBRE", "OCCUPÉ")</f>
        <v>LIBRE</v>
      </c>
      <c r="J116" s="54" t="str">
        <f>IF(ISBLANK(Tableau!$O$116), "LIBRE", "OCCUPÉ")</f>
        <v>LIBRE</v>
      </c>
      <c r="K116" s="52" t="str">
        <f>IF(ISBLANK(Tableau!$Q$116), "LIBRE", "OCCUPÉ")</f>
        <v>LIBRE</v>
      </c>
      <c r="L116" s="52" t="str">
        <f>IF(ISBLANK(Tableau!$S$116), "LIBRE", "OCCUPÉ")</f>
        <v>LIBRE</v>
      </c>
      <c r="M116" s="52" t="str">
        <f>IF(ISBLANK(Tableau!$U$116), "LIBRE", "OCCUPÉ")</f>
        <v>LIBRE</v>
      </c>
      <c r="N116" s="52" t="str">
        <f>IF(ISBLANK(Tableau!$W$116), "LIBRE", "OCCUPÉ")</f>
        <v>LIBRE</v>
      </c>
      <c r="O116" s="52" t="str">
        <f>IF(ISBLANK(Tableau!$Y$116), "LIBRE", "OCCUPÉ")</f>
        <v>LIBRE</v>
      </c>
      <c r="P116" s="52" t="str">
        <f>IF(ISBLANK(Tableau!$AA$116), "LIBRE", "OCCUPÉ")</f>
        <v>LIBRE</v>
      </c>
      <c r="Q116" s="54" t="str">
        <f>IF(ISBLANK(Tableau!$AC$116), "LIBRE", "OCCUPÉ")</f>
        <v>OCCUPÉ</v>
      </c>
      <c r="R116" s="54" t="str">
        <f>IF(ISBLANK(Tableau!$AE$116), "LIBRE", "OCCUPÉ")</f>
        <v>LIBRE</v>
      </c>
      <c r="S116" s="54" t="str">
        <f>IF(ISBLANK(Tableau!$AG$116), "LIBRE", "OCCUPÉ")</f>
        <v>OCCUPÉ</v>
      </c>
      <c r="T116" s="52" t="str">
        <f>IF(ISBLANK(Tableau!$AI$116), "LIBRE", "OCCUPÉ")</f>
        <v>LIBRE</v>
      </c>
      <c r="U116" s="54" t="str">
        <f>IF(ISBLANK(Tableau!$AK$116), "LIBRE", "OCCUPÉ")</f>
        <v>LIBRE</v>
      </c>
      <c r="V116" s="52" t="str">
        <f>IF(ISBLANK(Tableau!$AM$116), "LIBRE", "OCCUPÉ")</f>
        <v>LIBRE</v>
      </c>
      <c r="W116" s="54" t="str">
        <f>IF(ISBLANK(Tableau!$AO$116), "LIBRE", "OCCUPÉ")</f>
        <v>OCCUPÉ</v>
      </c>
      <c r="X116" s="52" t="str">
        <f>IF(ISBLANK(Tableau!$AQ$116), "LIBRE", "OCCUPÉ")</f>
        <v>LIBRE</v>
      </c>
      <c r="Y116" s="54" t="str">
        <f>IF(ISBLANK(Tableau!$AS$116), "LIBRE", "OCCUPÉ")</f>
        <v>LIBRE</v>
      </c>
      <c r="Z116" s="52" t="str">
        <f>IF(ISBLANK(Tableau!$AU$116), "LIBRE", "OCCUPÉ")</f>
        <v>LIBRE</v>
      </c>
      <c r="AA116" s="52" t="str">
        <f>IF(ISBLANK(Tableau!$AW$116), "LIBRE", "OCCUPÉ")</f>
        <v>LIBRE</v>
      </c>
      <c r="AB116" s="76" t="str">
        <f>IF(ISBLANK(Tableau!$AY116), "LIBRE", "OCCUPÉ")</f>
        <v>LIBRE</v>
      </c>
      <c r="AC116" s="155"/>
    </row>
    <row r="117" ht="21.75" hidden="1" customHeight="1">
      <c r="A117" s="40" t="str">
        <f>Tableau!A117</f>
        <v/>
      </c>
      <c r="B117" s="46" t="str">
        <f>VLOOKUP($A117,LocalisationRemorque,2,0)</f>
        <v> Remorque non listée</v>
      </c>
      <c r="C117" s="47" t="str">
        <f>VLOOKUP($A117,LocalisationRemorque,3,0)</f>
        <v/>
      </c>
      <c r="D117" s="49" t="str">
        <f>CONCATENATE(VLOOKUP($A117,LocalisationRemorque,6,0)," ► ",VLOOKUP($A117,LocalisationRemorque,5,0))</f>
        <v> ► </v>
      </c>
      <c r="E117" s="54" t="str">
        <f>IF(ISBLANK(Tableau!$E$117), "LIBRE", "OCCUPÉ")</f>
        <v>LIBRE</v>
      </c>
      <c r="F117" s="52" t="str">
        <f>IF(ISBLANK(Tableau!$G$117), "LIBRE", "OCCUPÉ")</f>
        <v>LIBRE</v>
      </c>
      <c r="G117" s="52" t="str">
        <f>IF(ISBLANK(Tableau!$I$117), "LIBRE", "OCCUPÉ")</f>
        <v>LIBRE</v>
      </c>
      <c r="H117" s="52" t="str">
        <f>IF(ISBLANK(Tableau!$K$117), "LIBRE", "OCCUPÉ")</f>
        <v>LIBRE</v>
      </c>
      <c r="I117" s="52" t="str">
        <f>IF(ISBLANK(Tableau!$M$117), "LIBRE", "OCCUPÉ")</f>
        <v>LIBRE</v>
      </c>
      <c r="J117" s="52" t="str">
        <f>IF(ISBLANK(Tableau!$O$117), "LIBRE", "OCCUPÉ")</f>
        <v>LIBRE</v>
      </c>
      <c r="K117" s="52" t="str">
        <f>IF(ISBLANK(Tableau!$Q$117), "LIBRE", "OCCUPÉ")</f>
        <v>LIBRE</v>
      </c>
      <c r="L117" s="54" t="str">
        <f>IF(ISBLANK(Tableau!$S$117), "LIBRE", "OCCUPÉ")</f>
        <v>LIBRE</v>
      </c>
      <c r="M117" s="54" t="str">
        <f>IF(ISBLANK(Tableau!$U$117), "LIBRE", "OCCUPÉ")</f>
        <v>LIBRE</v>
      </c>
      <c r="N117" s="52" t="str">
        <f>IF(ISBLANK(Tableau!$W$117), "LIBRE", "OCCUPÉ")</f>
        <v>LIBRE</v>
      </c>
      <c r="O117" s="52" t="str">
        <f>IF(ISBLANK(Tableau!$Y$117), "LIBRE", "OCCUPÉ")</f>
        <v>LIBRE</v>
      </c>
      <c r="P117" s="54" t="str">
        <f>IF(ISBLANK(Tableau!$AA$117), "LIBRE", "OCCUPÉ")</f>
        <v>LIBRE</v>
      </c>
      <c r="Q117" s="52" t="str">
        <f>IF(ISBLANK(Tableau!$AC$117), "LIBRE", "OCCUPÉ")</f>
        <v>LIBRE</v>
      </c>
      <c r="R117" s="54" t="str">
        <f>IF(ISBLANK(Tableau!$AE$117), "LIBRE", "OCCUPÉ")</f>
        <v>LIBRE</v>
      </c>
      <c r="S117" s="52" t="str">
        <f>IF(ISBLANK(Tableau!$AG$117), "LIBRE", "OCCUPÉ")</f>
        <v>LIBRE</v>
      </c>
      <c r="T117" s="52" t="str">
        <f>IF(ISBLANK(Tableau!$AI$117), "LIBRE", "OCCUPÉ")</f>
        <v>LIBRE</v>
      </c>
      <c r="U117" s="52" t="str">
        <f>IF(ISBLANK(Tableau!$AK$117), "LIBRE", "OCCUPÉ")</f>
        <v>LIBRE</v>
      </c>
      <c r="V117" s="54" t="str">
        <f>IF(ISBLANK(Tableau!$AM$117), "LIBRE", "OCCUPÉ")</f>
        <v>LIBRE</v>
      </c>
      <c r="W117" s="52" t="str">
        <f>IF(ISBLANK(Tableau!$AO$117), "LIBRE", "OCCUPÉ")</f>
        <v>LIBRE</v>
      </c>
      <c r="X117" s="54" t="str">
        <f>IF(ISBLANK(Tableau!$AQ$117), "LIBRE", "OCCUPÉ")</f>
        <v>LIBRE</v>
      </c>
      <c r="Y117" s="52" t="str">
        <f>IF(ISBLANK(Tableau!$AS$117), "LIBRE", "OCCUPÉ")</f>
        <v>LIBRE</v>
      </c>
      <c r="Z117" s="52" t="str">
        <f>IF(ISBLANK(Tableau!$AU$117), "LIBRE", "OCCUPÉ")</f>
        <v>LIBRE</v>
      </c>
      <c r="AA117" s="52" t="str">
        <f>IF(ISBLANK(Tableau!$AW$117), "LIBRE", "OCCUPÉ")</f>
        <v>LIBRE</v>
      </c>
      <c r="AB117" s="69" t="str">
        <f>IF(ISBLANK(Tableau!$AY117), "LIBRE", "OCCUPÉ")</f>
        <v>LIBRE</v>
      </c>
      <c r="AC117" s="88"/>
    </row>
    <row r="118" ht="21.75" customHeight="1">
      <c r="A118" s="72">
        <f>Tableau!A118</f>
        <v>347</v>
      </c>
      <c r="B118" s="73" t="str">
        <f>VLOOKUP($A118,LocalisationRemorque,2,0)</f>
        <v>Marche</v>
      </c>
      <c r="C118" s="74" t="str">
        <f>VLOOKUP($A118,LocalisationRemorque,3,0)</f>
        <v>Sinsin</v>
      </c>
      <c r="D118" s="75" t="str">
        <f>CONCATENATE(VLOOKUP($A118,LocalisationRemorque,6,0)," ► ",VLOOKUP($A118,LocalisationRemorque,5,0))</f>
        <v>Namur ► Marche</v>
      </c>
      <c r="E118" s="54" t="str">
        <f>IF(ISBLANK(Tableau!$E$118), "LIBRE", "OCCUPÉ")</f>
        <v>OCCUPÉ</v>
      </c>
      <c r="F118" s="52" t="str">
        <f>IF(ISBLANK(Tableau!$G$118), "LIBRE", "OCCUPÉ")</f>
        <v>OCCUPÉ</v>
      </c>
      <c r="G118" s="54" t="str">
        <f>IF(ISBLANK(Tableau!$I$118), "LIBRE", "OCCUPÉ")</f>
        <v>OCCUPÉ</v>
      </c>
      <c r="H118" s="54" t="str">
        <f>IF(ISBLANK(Tableau!$K$118), "LIBRE", "OCCUPÉ")</f>
        <v>OCCUPÉ</v>
      </c>
      <c r="I118" s="54" t="str">
        <f>IF(ISBLANK(Tableau!$M$118), "LIBRE", "OCCUPÉ")</f>
        <v>OCCUPÉ</v>
      </c>
      <c r="J118" s="54" t="str">
        <f>IF(ISBLANK(Tableau!$O$118), "LIBRE", "OCCUPÉ")</f>
        <v>OCCUPÉ</v>
      </c>
      <c r="K118" s="54" t="str">
        <f>IF(ISBLANK(Tableau!$Q$118), "LIBRE", "OCCUPÉ")</f>
        <v>OCCUPÉ</v>
      </c>
      <c r="L118" s="54" t="str">
        <f>IF(ISBLANK(Tableau!$S$118), "LIBRE", "OCCUPÉ")</f>
        <v>OCCUPÉ</v>
      </c>
      <c r="M118" s="54" t="str">
        <f>IF(ISBLANK(Tableau!$U$118), "LIBRE", "OCCUPÉ")</f>
        <v>OCCUPÉ</v>
      </c>
      <c r="N118" s="54" t="str">
        <f>IF(ISBLANK(Tableau!$W$118), "LIBRE", "OCCUPÉ")</f>
        <v>OCCUPÉ</v>
      </c>
      <c r="O118" s="54" t="str">
        <f>IF(ISBLANK(Tableau!$Y$118), "LIBRE", "OCCUPÉ")</f>
        <v>OCCUPÉ</v>
      </c>
      <c r="P118" s="54" t="str">
        <f>IF(ISBLANK(Tableau!$AA$118), "LIBRE", "OCCUPÉ")</f>
        <v>LIBRE</v>
      </c>
      <c r="Q118" s="54" t="str">
        <f>IF(ISBLANK(Tableau!$AC$118), "LIBRE", "OCCUPÉ")</f>
        <v>OCCUPÉ</v>
      </c>
      <c r="R118" s="52" t="str">
        <f>IF(ISBLANK(Tableau!$AE$118), "LIBRE", "OCCUPÉ")</f>
        <v>LIBRE</v>
      </c>
      <c r="S118" s="54" t="str">
        <f>IF(ISBLANK(Tableau!$AG$118), "LIBRE", "OCCUPÉ")</f>
        <v>OCCUPÉ</v>
      </c>
      <c r="T118" s="52" t="str">
        <f>IF(ISBLANK(Tableau!$AI$118), "LIBRE", "OCCUPÉ")</f>
        <v>LIBRE</v>
      </c>
      <c r="U118" s="54" t="str">
        <f>IF(ISBLANK(Tableau!$AK$118), "LIBRE", "OCCUPÉ")</f>
        <v>OCCUPÉ</v>
      </c>
      <c r="V118" s="52" t="str">
        <f>IF(ISBLANK(Tableau!$AM$118), "LIBRE", "OCCUPÉ")</f>
        <v>LIBRE</v>
      </c>
      <c r="W118" s="54" t="str">
        <f>IF(ISBLANK(Tableau!$AO$118), "LIBRE", "OCCUPÉ")</f>
        <v>OCCUPÉ</v>
      </c>
      <c r="X118" s="54" t="str">
        <f>IF(ISBLANK(Tableau!$AQ$118), "LIBRE", "OCCUPÉ")</f>
        <v>LIBRE</v>
      </c>
      <c r="Y118" s="54" t="str">
        <f>IF(ISBLANK(Tableau!$AS$118), "LIBRE", "OCCUPÉ")</f>
        <v>OCCUPÉ</v>
      </c>
      <c r="Z118" s="54" t="str">
        <f>IF(ISBLANK(Tableau!$AU$118), "LIBRE", "OCCUPÉ")</f>
        <v>LIBRE</v>
      </c>
      <c r="AA118" s="54" t="str">
        <f>IF(ISBLANK(Tableau!$AW$118), "LIBRE", "OCCUPÉ")</f>
        <v>OCCUPÉ</v>
      </c>
      <c r="AB118" s="76" t="str">
        <f>IF(ISBLANK(Tableau!$AY118), "LIBRE", "OCCUPÉ")</f>
        <v>LIBRE</v>
      </c>
      <c r="AC118" s="77" t="s">
        <v>17</v>
      </c>
    </row>
    <row r="119" ht="21.75" customHeight="1">
      <c r="A119" s="40">
        <f>Tableau!A119</f>
        <v>348</v>
      </c>
      <c r="B119" s="46" t="str">
        <f>VLOOKUP($A119,LocalisationRemorque,2,0)</f>
        <v>Marche</v>
      </c>
      <c r="C119" s="47" t="str">
        <f>VLOOKUP($A119,LocalisationRemorque,3,0)</f>
        <v>Baillonville</v>
      </c>
      <c r="D119" s="49" t="str">
        <f>CONCATENATE(VLOOKUP($A119,LocalisationRemorque,6,0)," ► ",VLOOKUP($A119,LocalisationRemorque,5,0))</f>
        <v>Marche-en-Famenne ► Liège</v>
      </c>
      <c r="E119" s="52" t="str">
        <f>IF(ISBLANK(Tableau!$E$119), "LIBRE", "OCCUPÉ")</f>
        <v>OCCUPÉ</v>
      </c>
      <c r="F119" s="52" t="str">
        <f>IF(ISBLANK(Tableau!$G$119), "LIBRE", "OCCUPÉ")</f>
        <v>LIBRE</v>
      </c>
      <c r="G119" s="52" t="str">
        <f>IF(ISBLANK(Tableau!$I$119), "LIBRE", "OCCUPÉ")</f>
        <v>OCCUPÉ</v>
      </c>
      <c r="H119" s="52" t="str">
        <f>IF(ISBLANK(Tableau!$K$119), "LIBRE", "OCCUPÉ")</f>
        <v>LIBRE</v>
      </c>
      <c r="I119" s="52" t="str">
        <f>IF(ISBLANK(Tableau!$M$119), "LIBRE", "OCCUPÉ")</f>
        <v>OCCUPÉ</v>
      </c>
      <c r="J119" s="54" t="str">
        <f>IF(ISBLANK(Tableau!$O$119), "LIBRE", "OCCUPÉ")</f>
        <v>LIBRE</v>
      </c>
      <c r="K119" s="54" t="str">
        <f>IF(ISBLANK(Tableau!$Q$119), "LIBRE", "OCCUPÉ")</f>
        <v>OCCUPÉ</v>
      </c>
      <c r="L119" s="52" t="str">
        <f>IF(ISBLANK(Tableau!$S$119), "LIBRE", "OCCUPÉ")</f>
        <v>LIBRE</v>
      </c>
      <c r="M119" s="54" t="str">
        <f>IF(ISBLANK(Tableau!$U$119), "LIBRE", "OCCUPÉ")</f>
        <v>OCCUPÉ</v>
      </c>
      <c r="N119" s="52" t="str">
        <f>IF(ISBLANK(Tableau!$W$119), "LIBRE", "OCCUPÉ")</f>
        <v>LIBRE</v>
      </c>
      <c r="O119" s="54" t="str">
        <f>IF(ISBLANK(Tableau!$Y$119), "LIBRE", "OCCUPÉ")</f>
        <v>LIBRE</v>
      </c>
      <c r="P119" s="52" t="str">
        <f>IF(ISBLANK(Tableau!$AA$119), "LIBRE", "OCCUPÉ")</f>
        <v>LIBRE</v>
      </c>
      <c r="Q119" s="54" t="str">
        <f>IF(ISBLANK(Tableau!$AC$119), "LIBRE", "OCCUPÉ")</f>
        <v>LIBRE</v>
      </c>
      <c r="R119" s="52" t="str">
        <f>IF(ISBLANK(Tableau!$AE$119), "LIBRE", "OCCUPÉ")</f>
        <v>LIBRE</v>
      </c>
      <c r="S119" s="52" t="str">
        <f>IF(ISBLANK(Tableau!$AG$119), "LIBRE", "OCCUPÉ")</f>
        <v>LIBRE</v>
      </c>
      <c r="T119" s="52" t="str">
        <f>IF(ISBLANK(Tableau!$AI$119), "LIBRE", "OCCUPÉ")</f>
        <v>OCCUPÉ</v>
      </c>
      <c r="U119" s="52" t="str">
        <f>IF(ISBLANK(Tableau!$AK$119), "LIBRE", "OCCUPÉ")</f>
        <v>LIBRE</v>
      </c>
      <c r="V119" s="54" t="str">
        <f>IF(ISBLANK(Tableau!$AM$119), "LIBRE", "OCCUPÉ")</f>
        <v>LIBRE</v>
      </c>
      <c r="W119" s="54" t="str">
        <f>IF(ISBLANK(Tableau!$AO$119), "LIBRE", "OCCUPÉ")</f>
        <v>LIBRE</v>
      </c>
      <c r="X119" s="52" t="str">
        <f>IF(ISBLANK(Tableau!$AQ$119), "LIBRE", "OCCUPÉ")</f>
        <v>LIBRE</v>
      </c>
      <c r="Y119" s="52" t="str">
        <f>IF(ISBLANK(Tableau!$AS$119), "LIBRE", "OCCUPÉ")</f>
        <v>LIBRE</v>
      </c>
      <c r="Z119" s="52" t="str">
        <f>IF(ISBLANK(Tableau!$AU$119), "LIBRE", "OCCUPÉ")</f>
        <v>OCCUPÉ</v>
      </c>
      <c r="AA119" s="52" t="str">
        <f>IF(ISBLANK(Tableau!$AW$119), "LIBRE", "OCCUPÉ")</f>
        <v>LIBRE</v>
      </c>
      <c r="AB119" s="76" t="str">
        <f>IF(ISBLANK(Tableau!$AY119), "LIBRE", "OCCUPÉ")</f>
        <v>LIBRE</v>
      </c>
      <c r="AC119" s="70" t="s">
        <v>17</v>
      </c>
    </row>
    <row r="120" ht="21.75" customHeight="1">
      <c r="A120" s="72">
        <f>Tableau!A120</f>
        <v>349</v>
      </c>
      <c r="B120" s="73" t="str">
        <f>VLOOKUP($A120,LocalisationRemorque,2,0)</f>
        <v>Marche</v>
      </c>
      <c r="C120" s="74" t="str">
        <f>VLOOKUP($A120,LocalisationRemorque,3,0)</f>
        <v>Chaussée de liège</v>
      </c>
      <c r="D120" s="75" t="str">
        <f>CONCATENATE(VLOOKUP($A120,LocalisationRemorque,6,0)," ► ",VLOOKUP($A120,LocalisationRemorque,5,0))</f>
        <v>Liège ► Marche</v>
      </c>
      <c r="E120" s="54" t="str">
        <f>IF(ISBLANK(Tableau!$E$120), "LIBRE", "OCCUPÉ")</f>
        <v>OCCUPÉ</v>
      </c>
      <c r="F120" s="54" t="str">
        <f>IF(ISBLANK(Tableau!$G$120), "LIBRE", "OCCUPÉ")</f>
        <v>OCCUPÉ</v>
      </c>
      <c r="G120" s="54" t="str">
        <f>IF(ISBLANK(Tableau!$I$120), "LIBRE", "OCCUPÉ")</f>
        <v>OCCUPÉ</v>
      </c>
      <c r="H120" s="52" t="str">
        <f>IF(ISBLANK(Tableau!$K$120), "LIBRE", "OCCUPÉ")</f>
        <v>LIBRE</v>
      </c>
      <c r="I120" s="54" t="str">
        <f>IF(ISBLANK(Tableau!$M$120), "LIBRE", "OCCUPÉ")</f>
        <v>OCCUPÉ</v>
      </c>
      <c r="J120" s="54" t="str">
        <f>IF(ISBLANK(Tableau!$O$120), "LIBRE", "OCCUPÉ")</f>
        <v>LIBRE</v>
      </c>
      <c r="K120" s="54" t="str">
        <f>IF(ISBLANK(Tableau!$Q$120), "LIBRE", "OCCUPÉ")</f>
        <v>OCCUPÉ</v>
      </c>
      <c r="L120" s="52" t="str">
        <f>IF(ISBLANK(Tableau!$S$120), "LIBRE", "OCCUPÉ")</f>
        <v>LIBRE</v>
      </c>
      <c r="M120" s="54" t="str">
        <f>IF(ISBLANK(Tableau!$U$120), "LIBRE", "OCCUPÉ")</f>
        <v>OCCUPÉ</v>
      </c>
      <c r="N120" s="54" t="str">
        <f>IF(ISBLANK(Tableau!$W$120), "LIBRE", "OCCUPÉ")</f>
        <v>LIBRE</v>
      </c>
      <c r="O120" s="52" t="str">
        <f>IF(ISBLANK(Tableau!$Y$120), "LIBRE", "OCCUPÉ")</f>
        <v>OCCUPÉ</v>
      </c>
      <c r="P120" s="52" t="str">
        <f>IF(ISBLANK(Tableau!$AA$120), "LIBRE", "OCCUPÉ")</f>
        <v>LIBRE</v>
      </c>
      <c r="Q120" s="54" t="str">
        <f>IF(ISBLANK(Tableau!$AC$120), "LIBRE", "OCCUPÉ")</f>
        <v>OCCUPÉ</v>
      </c>
      <c r="R120" s="52" t="str">
        <f>IF(ISBLANK(Tableau!$AE$120), "LIBRE", "OCCUPÉ")</f>
        <v>OCCUPÉ</v>
      </c>
      <c r="S120" s="54" t="str">
        <f>IF(ISBLANK(Tableau!$AG$120), "LIBRE", "OCCUPÉ")</f>
        <v>OCCUPÉ</v>
      </c>
      <c r="T120" s="52" t="str">
        <f>IF(ISBLANK(Tableau!$AI$120), "LIBRE", "OCCUPÉ")</f>
        <v>LIBRE</v>
      </c>
      <c r="U120" s="52" t="str">
        <f>IF(ISBLANK(Tableau!$AK$120), "LIBRE", "OCCUPÉ")</f>
        <v>LIBRE</v>
      </c>
      <c r="V120" s="52" t="str">
        <f>IF(ISBLANK(Tableau!$AM$120), "LIBRE", "OCCUPÉ")</f>
        <v>OCCUPÉ</v>
      </c>
      <c r="W120" s="54" t="str">
        <f>IF(ISBLANK(Tableau!$AO$120), "LIBRE", "OCCUPÉ")</f>
        <v>OCCUPÉ</v>
      </c>
      <c r="X120" s="52" t="str">
        <f>IF(ISBLANK(Tableau!$AQ$120), "LIBRE", "OCCUPÉ")</f>
        <v>LIBRE</v>
      </c>
      <c r="Y120" s="54" t="str">
        <f>IF(ISBLANK(Tableau!$AS$120), "LIBRE", "OCCUPÉ")</f>
        <v>OCCUPÉ</v>
      </c>
      <c r="Z120" s="52" t="str">
        <f>IF(ISBLANK(Tableau!$AU$120), "LIBRE", "OCCUPÉ")</f>
        <v>LIBRE</v>
      </c>
      <c r="AA120" s="52" t="str">
        <f>IF(ISBLANK(Tableau!$AW$120), "LIBRE", "OCCUPÉ")</f>
        <v>OCCUPÉ</v>
      </c>
      <c r="AB120" s="76" t="str">
        <f>IF(ISBLANK(Tableau!$AY120), "LIBRE", "OCCUPÉ")</f>
        <v>LIBRE</v>
      </c>
      <c r="AC120" s="77" t="s">
        <v>17</v>
      </c>
    </row>
    <row r="121" ht="21.75" customHeight="1">
      <c r="A121" s="40">
        <f>Tableau!A121</f>
        <v>350</v>
      </c>
      <c r="B121" s="46" t="str">
        <f>VLOOKUP($A121,LocalisationRemorque,2,0)</f>
        <v>Marche</v>
      </c>
      <c r="C121" s="47" t="str">
        <f>VLOOKUP($A121,LocalisationRemorque,3,0)</f>
        <v>Wex</v>
      </c>
      <c r="D121" s="49" t="str">
        <f>CONCATENATE(VLOOKUP($A121,LocalisationRemorque,6,0)," ► ",VLOOKUP($A121,LocalisationRemorque,5,0))</f>
        <v>N4 (Aye) ► Marche</v>
      </c>
      <c r="E121" s="54" t="str">
        <f>IF(ISBLANK(Tableau!$E$121), "LIBRE", "OCCUPÉ")</f>
        <v>OCCUPÉ</v>
      </c>
      <c r="F121" s="54" t="str">
        <f>IF(ISBLANK(Tableau!$G$121), "LIBRE", "OCCUPÉ")</f>
        <v>LIBRE</v>
      </c>
      <c r="G121" s="54" t="str">
        <f>IF(ISBLANK(Tableau!$I$121), "LIBRE", "OCCUPÉ")</f>
        <v>OCCUPÉ</v>
      </c>
      <c r="H121" s="52" t="str">
        <f>IF(ISBLANK(Tableau!$K$121), "LIBRE", "OCCUPÉ")</f>
        <v>LIBRE</v>
      </c>
      <c r="I121" s="54" t="str">
        <f>IF(ISBLANK(Tableau!$M$121), "LIBRE", "OCCUPÉ")</f>
        <v>OCCUPÉ</v>
      </c>
      <c r="J121" s="52" t="str">
        <f>IF(ISBLANK(Tableau!$O$121), "LIBRE", "OCCUPÉ")</f>
        <v>LIBRE</v>
      </c>
      <c r="K121" s="54" t="str">
        <f>IF(ISBLANK(Tableau!$Q$121), "LIBRE", "OCCUPÉ")</f>
        <v>OCCUPÉ</v>
      </c>
      <c r="L121" s="54" t="str">
        <f>IF(ISBLANK(Tableau!$S$121), "LIBRE", "OCCUPÉ")</f>
        <v>OCCUPÉ</v>
      </c>
      <c r="M121" s="54" t="str">
        <f>IF(ISBLANK(Tableau!$U$121), "LIBRE", "OCCUPÉ")</f>
        <v>OCCUPÉ</v>
      </c>
      <c r="N121" s="52" t="str">
        <f>IF(ISBLANK(Tableau!$W$121), "LIBRE", "OCCUPÉ")</f>
        <v>LIBRE</v>
      </c>
      <c r="O121" s="54" t="str">
        <f>IF(ISBLANK(Tableau!$Y$121), "LIBRE", "OCCUPÉ")</f>
        <v>LIBRE</v>
      </c>
      <c r="P121" s="54" t="str">
        <f>IF(ISBLANK(Tableau!$AA$121), "LIBRE", "OCCUPÉ")</f>
        <v>OCCUPÉ</v>
      </c>
      <c r="Q121" s="54" t="str">
        <f>IF(ISBLANK(Tableau!$AC$121), "LIBRE", "OCCUPÉ")</f>
        <v>LIBRE</v>
      </c>
      <c r="R121" s="52" t="str">
        <f>IF(ISBLANK(Tableau!$AE$121), "LIBRE", "OCCUPÉ")</f>
        <v>LIBRE</v>
      </c>
      <c r="S121" s="52" t="str">
        <f>IF(ISBLANK(Tableau!$AG$121), "LIBRE", "OCCUPÉ")</f>
        <v>LIBRE</v>
      </c>
      <c r="T121" s="52" t="str">
        <f>IF(ISBLANK(Tableau!$AI$121), "LIBRE", "OCCUPÉ")</f>
        <v>LIBRE</v>
      </c>
      <c r="U121" s="54" t="str">
        <f>IF(ISBLANK(Tableau!$AK$121), "LIBRE", "OCCUPÉ")</f>
        <v>OCCUPÉ</v>
      </c>
      <c r="V121" s="52" t="str">
        <f>IF(ISBLANK(Tableau!$AM$121), "LIBRE", "OCCUPÉ")</f>
        <v>OCCUPÉ</v>
      </c>
      <c r="W121" s="54" t="str">
        <f>IF(ISBLANK(Tableau!$AO$121), "LIBRE", "OCCUPÉ")</f>
        <v>LIBRE</v>
      </c>
      <c r="X121" s="54" t="str">
        <f>IF(ISBLANK(Tableau!$AQ$121), "LIBRE", "OCCUPÉ")</f>
        <v>LIBRE</v>
      </c>
      <c r="Y121" s="54" t="str">
        <f>IF(ISBLANK(Tableau!$AS$121), "LIBRE", "OCCUPÉ")</f>
        <v>LIBRE</v>
      </c>
      <c r="Z121" s="52" t="str">
        <f>IF(ISBLANK(Tableau!$AU$121), "LIBRE", "OCCUPÉ")</f>
        <v>LIBRE</v>
      </c>
      <c r="AA121" s="54" t="str">
        <f>IF(ISBLANK(Tableau!$AW$121), "LIBRE", "OCCUPÉ")</f>
        <v>LIBRE</v>
      </c>
      <c r="AB121" s="69" t="str">
        <f>IF(ISBLANK(Tableau!$AY121), "LIBRE", "OCCUPÉ")</f>
        <v>OCCUPÉ</v>
      </c>
      <c r="AC121" s="70" t="s">
        <v>17</v>
      </c>
    </row>
    <row r="122" ht="21.75" customHeight="1">
      <c r="A122" s="72">
        <f>Tableau!A122</f>
        <v>351</v>
      </c>
      <c r="B122" s="73" t="str">
        <f>VLOOKUP($A122,LocalisationRemorque,2,0)</f>
        <v>Marche</v>
      </c>
      <c r="C122" s="74" t="str">
        <f>VLOOKUP($A122,LocalisationRemorque,3,0)</f>
        <v>Bourdon</v>
      </c>
      <c r="D122" s="75" t="str">
        <f>CONCATENATE(VLOOKUP($A122,LocalisationRemorque,6,0)," ► ",VLOOKUP($A122,LocalisationRemorque,5,0))</f>
        <v>Hotton ► Marche</v>
      </c>
      <c r="E122" s="54" t="str">
        <f>IF(ISBLANK(Tableau!$E$122), "LIBRE", "OCCUPÉ")</f>
        <v>OCCUPÉ</v>
      </c>
      <c r="F122" s="52" t="str">
        <f>IF(ISBLANK(Tableau!$G$122), "LIBRE", "OCCUPÉ")</f>
        <v>LIBRE</v>
      </c>
      <c r="G122" s="54" t="str">
        <f>IF(ISBLANK(Tableau!$I$122), "LIBRE", "OCCUPÉ")</f>
        <v>OCCUPÉ</v>
      </c>
      <c r="H122" s="52" t="str">
        <f>IF(ISBLANK(Tableau!$K$122), "LIBRE", "OCCUPÉ")</f>
        <v>LIBRE</v>
      </c>
      <c r="I122" s="54" t="str">
        <f>IF(ISBLANK(Tableau!$M$122), "LIBRE", "OCCUPÉ")</f>
        <v>OCCUPÉ</v>
      </c>
      <c r="J122" s="54" t="str">
        <f>IF(ISBLANK(Tableau!$O$122), "LIBRE", "OCCUPÉ")</f>
        <v>LIBRE</v>
      </c>
      <c r="K122" s="54" t="str">
        <f>IF(ISBLANK(Tableau!$Q$122), "LIBRE", "OCCUPÉ")</f>
        <v>OCCUPÉ</v>
      </c>
      <c r="L122" s="52" t="str">
        <f>IF(ISBLANK(Tableau!$S$122), "LIBRE", "OCCUPÉ")</f>
        <v>OCCUPÉ</v>
      </c>
      <c r="M122" s="54" t="str">
        <f>IF(ISBLANK(Tableau!$U$122), "LIBRE", "OCCUPÉ")</f>
        <v>OCCUPÉ</v>
      </c>
      <c r="N122" s="52" t="str">
        <f>IF(ISBLANK(Tableau!$W$122), "LIBRE", "OCCUPÉ")</f>
        <v>LIBRE</v>
      </c>
      <c r="O122" s="54" t="str">
        <f>IF(ISBLANK(Tableau!$Y$122), "LIBRE", "OCCUPÉ")</f>
        <v>OCCUPÉ</v>
      </c>
      <c r="P122" s="52" t="str">
        <f>IF(ISBLANK(Tableau!$AA$122), "LIBRE", "OCCUPÉ")</f>
        <v>LIBRE</v>
      </c>
      <c r="Q122" s="54" t="str">
        <f>IF(ISBLANK(Tableau!$AC$122), "LIBRE", "OCCUPÉ")</f>
        <v>OCCUPÉ</v>
      </c>
      <c r="R122" s="52" t="str">
        <f>IF(ISBLANK(Tableau!$AE$122), "LIBRE", "OCCUPÉ")</f>
        <v>LIBRE</v>
      </c>
      <c r="S122" s="52" t="str">
        <f>IF(ISBLANK(Tableau!$AG$122), "LIBRE", "OCCUPÉ")</f>
        <v>LIBRE</v>
      </c>
      <c r="T122" s="52" t="str">
        <f>IF(ISBLANK(Tableau!$AI$122), "LIBRE", "OCCUPÉ")</f>
        <v>LIBRE</v>
      </c>
      <c r="U122" s="52" t="str">
        <f>IF(ISBLANK(Tableau!$AK$122), "LIBRE", "OCCUPÉ")</f>
        <v>LIBRE</v>
      </c>
      <c r="V122" s="52" t="str">
        <f>IF(ISBLANK(Tableau!$AM$122), "LIBRE", "OCCUPÉ")</f>
        <v>LIBRE</v>
      </c>
      <c r="W122" s="54" t="str">
        <f>IF(ISBLANK(Tableau!$AO$122), "LIBRE", "OCCUPÉ")</f>
        <v>LIBRE</v>
      </c>
      <c r="X122" s="52" t="str">
        <f>IF(ISBLANK(Tableau!$AQ$122), "LIBRE", "OCCUPÉ")</f>
        <v>LIBRE</v>
      </c>
      <c r="Y122" s="52" t="str">
        <f>IF(ISBLANK(Tableau!$AS$122), "LIBRE", "OCCUPÉ")</f>
        <v>OCCUPÉ</v>
      </c>
      <c r="Z122" s="52" t="str">
        <f>IF(ISBLANK(Tableau!$AU$122), "LIBRE", "OCCUPÉ")</f>
        <v>LIBRE</v>
      </c>
      <c r="AA122" s="54" t="str">
        <f>IF(ISBLANK(Tableau!$AW$122), "LIBRE", "OCCUPÉ")</f>
        <v>OCCUPÉ</v>
      </c>
      <c r="AB122" s="76" t="str">
        <f>IF(ISBLANK(Tableau!$AY122), "LIBRE", "OCCUPÉ")</f>
        <v>LIBRE</v>
      </c>
      <c r="AC122" s="77" t="s">
        <v>17</v>
      </c>
    </row>
    <row r="123" ht="21.75" customHeight="1">
      <c r="A123" s="40">
        <f>Tableau!A123</f>
        <v>352</v>
      </c>
      <c r="B123" s="46" t="str">
        <f>VLOOKUP($A123,LocalisationRemorque,2,0)</f>
        <v>Rochefort</v>
      </c>
      <c r="C123" s="47" t="str">
        <f>VLOOKUP($A123,LocalisationRemorque,3,0)</f>
        <v>Zonning</v>
      </c>
      <c r="D123" s="49" t="str">
        <f>CONCATENATE(VLOOKUP($A123,LocalisationRemorque,6,0)," ► ",VLOOKUP($A123,LocalisationRemorque,5,0))</f>
        <v>Rochefort ► Ciney</v>
      </c>
      <c r="E123" s="52" t="str">
        <f>IF(ISBLANK(Tableau!$E$123), "LIBRE", "OCCUPÉ")</f>
        <v>LIBRE</v>
      </c>
      <c r="F123" s="54" t="str">
        <f>IF(ISBLANK(Tableau!$G$123), "LIBRE", "OCCUPÉ")</f>
        <v>OCCUPÉ</v>
      </c>
      <c r="G123" s="52" t="str">
        <f>IF(ISBLANK(Tableau!$I$123), "LIBRE", "OCCUPÉ")</f>
        <v>LIBRE</v>
      </c>
      <c r="H123" s="52" t="str">
        <f>IF(ISBLANK(Tableau!$K$123), "LIBRE", "OCCUPÉ")</f>
        <v>LIBRE</v>
      </c>
      <c r="I123" s="54" t="str">
        <f>IF(ISBLANK(Tableau!$M$123), "LIBRE", "OCCUPÉ")</f>
        <v>LIBRE</v>
      </c>
      <c r="J123" s="54" t="str">
        <f>IF(ISBLANK(Tableau!$O$123), "LIBRE", "OCCUPÉ")</f>
        <v>LIBRE</v>
      </c>
      <c r="K123" s="54" t="str">
        <f>IF(ISBLANK(Tableau!$Q$123), "LIBRE", "OCCUPÉ")</f>
        <v>LIBRE</v>
      </c>
      <c r="L123" s="54" t="str">
        <f>IF(ISBLANK(Tableau!$S$123), "LIBRE", "OCCUPÉ")</f>
        <v>LIBRE</v>
      </c>
      <c r="M123" s="54" t="str">
        <f>IF(ISBLANK(Tableau!$U$123), "LIBRE", "OCCUPÉ")</f>
        <v>LIBRE</v>
      </c>
      <c r="N123" s="52" t="str">
        <f>IF(ISBLANK(Tableau!$W$123), "LIBRE", "OCCUPÉ")</f>
        <v>LIBRE</v>
      </c>
      <c r="O123" s="54" t="str">
        <f>IF(ISBLANK(Tableau!$Y$123), "LIBRE", "OCCUPÉ")</f>
        <v>LIBRE</v>
      </c>
      <c r="P123" s="54" t="str">
        <f>IF(ISBLANK(Tableau!$AA$123), "LIBRE", "OCCUPÉ")</f>
        <v>LIBRE</v>
      </c>
      <c r="Q123" s="52" t="str">
        <f>IF(ISBLANK(Tableau!$AC$123), "LIBRE", "OCCUPÉ")</f>
        <v>LIBRE</v>
      </c>
      <c r="R123" s="52" t="str">
        <f>IF(ISBLANK(Tableau!$AE$123), "LIBRE", "OCCUPÉ")</f>
        <v>LIBRE</v>
      </c>
      <c r="S123" s="52" t="str">
        <f>IF(ISBLANK(Tableau!$AG$123), "LIBRE", "OCCUPÉ")</f>
        <v>LIBRE</v>
      </c>
      <c r="T123" s="52" t="str">
        <f>IF(ISBLANK(Tableau!$AI$123), "LIBRE", "OCCUPÉ")</f>
        <v>LIBRE</v>
      </c>
      <c r="U123" s="52" t="str">
        <f>IF(ISBLANK(Tableau!$AK$123), "LIBRE", "OCCUPÉ")</f>
        <v>LIBRE</v>
      </c>
      <c r="V123" s="52" t="str">
        <f>IF(ISBLANK(Tableau!$AM$123), "LIBRE", "OCCUPÉ")</f>
        <v>LIBRE</v>
      </c>
      <c r="W123" s="52" t="str">
        <f>IF(ISBLANK(Tableau!$AO$123), "LIBRE", "OCCUPÉ")</f>
        <v>LIBRE</v>
      </c>
      <c r="X123" s="52" t="str">
        <f>IF(ISBLANK(Tableau!$AQ$123), "LIBRE", "OCCUPÉ")</f>
        <v>LIBRE</v>
      </c>
      <c r="Y123" s="52" t="str">
        <f>IF(ISBLANK(Tableau!$AS$123), "LIBRE", "OCCUPÉ")</f>
        <v>LIBRE</v>
      </c>
      <c r="Z123" s="52" t="str">
        <f>IF(ISBLANK(Tableau!$AU$123), "LIBRE", "OCCUPÉ")</f>
        <v>LIBRE</v>
      </c>
      <c r="AA123" s="52" t="str">
        <f>IF(ISBLANK(Tableau!$AW$123), "LIBRE", "OCCUPÉ")</f>
        <v>LIBRE</v>
      </c>
      <c r="AB123" s="76" t="str">
        <f>IF(ISBLANK(Tableau!$AY123), "LIBRE", "OCCUPÉ")</f>
        <v>LIBRE</v>
      </c>
      <c r="AC123" s="70" t="s">
        <v>17</v>
      </c>
    </row>
    <row r="124" ht="21.75" customHeight="1">
      <c r="A124" s="72">
        <f>Tableau!A124</f>
        <v>353</v>
      </c>
      <c r="B124" s="73" t="str">
        <f>VLOOKUP($A124,LocalisationRemorque,2,0)</f>
        <v>Rochefort</v>
      </c>
      <c r="C124" s="74" t="str">
        <f>VLOOKUP($A124,LocalisationRemorque,3,0)</f>
        <v>Hamerenne</v>
      </c>
      <c r="D124" s="75" t="str">
        <f>CONCATENATE(VLOOKUP($A124,LocalisationRemorque,6,0)," ► ",VLOOKUP($A124,LocalisationRemorque,5,0))</f>
        <v>Rochefort ► Saint-Hubert</v>
      </c>
      <c r="E124" s="52" t="str">
        <f>IF(ISBLANK(Tableau!$E$124), "LIBRE", "OCCUPÉ")</f>
        <v>LIBRE</v>
      </c>
      <c r="F124" s="52" t="str">
        <f>IF(ISBLANK(Tableau!$G$124), "LIBRE", "OCCUPÉ")</f>
        <v>LIBRE</v>
      </c>
      <c r="G124" s="52" t="str">
        <f>IF(ISBLANK(Tableau!$I$124), "LIBRE", "OCCUPÉ")</f>
        <v>LIBRE</v>
      </c>
      <c r="H124" s="52" t="str">
        <f>IF(ISBLANK(Tableau!$K$124), "LIBRE", "OCCUPÉ")</f>
        <v>LIBRE</v>
      </c>
      <c r="I124" s="54" t="str">
        <f>IF(ISBLANK(Tableau!$M$124), "LIBRE", "OCCUPÉ")</f>
        <v>LIBRE</v>
      </c>
      <c r="J124" s="54" t="str">
        <f>IF(ISBLANK(Tableau!$O$124), "LIBRE", "OCCUPÉ")</f>
        <v>LIBRE</v>
      </c>
      <c r="K124" s="54" t="str">
        <f>IF(ISBLANK(Tableau!$Q$124), "LIBRE", "OCCUPÉ")</f>
        <v>LIBRE</v>
      </c>
      <c r="L124" s="54" t="str">
        <f>IF(ISBLANK(Tableau!$S$124), "LIBRE", "OCCUPÉ")</f>
        <v>OCCUPÉ</v>
      </c>
      <c r="M124" s="52" t="str">
        <f>IF(ISBLANK(Tableau!$U$124), "LIBRE", "OCCUPÉ")</f>
        <v>LIBRE</v>
      </c>
      <c r="N124" s="54" t="str">
        <f>IF(ISBLANK(Tableau!$W$124), "LIBRE", "OCCUPÉ")</f>
        <v>LIBRE</v>
      </c>
      <c r="O124" s="52" t="str">
        <f>IF(ISBLANK(Tableau!$Y$124), "LIBRE", "OCCUPÉ")</f>
        <v>LIBRE</v>
      </c>
      <c r="P124" s="54" t="str">
        <f>IF(ISBLANK(Tableau!$AA$124), "LIBRE", "OCCUPÉ")</f>
        <v>LIBRE</v>
      </c>
      <c r="Q124" s="54" t="str">
        <f>IF(ISBLANK(Tableau!$AC$124), "LIBRE", "OCCUPÉ")</f>
        <v>LIBRE</v>
      </c>
      <c r="R124" s="54" t="str">
        <f>IF(ISBLANK(Tableau!$AE$124), "LIBRE", "OCCUPÉ")</f>
        <v>LIBRE</v>
      </c>
      <c r="S124" s="52" t="str">
        <f>IF(ISBLANK(Tableau!$AG$124), "LIBRE", "OCCUPÉ")</f>
        <v>LIBRE</v>
      </c>
      <c r="T124" s="54" t="str">
        <f>IF(ISBLANK(Tableau!$AI$124), "LIBRE", "OCCUPÉ")</f>
        <v>LIBRE</v>
      </c>
      <c r="U124" s="52" t="str">
        <f>IF(ISBLANK(Tableau!$AK$124), "LIBRE", "OCCUPÉ")</f>
        <v>LIBRE</v>
      </c>
      <c r="V124" s="54" t="str">
        <f>IF(ISBLANK(Tableau!$AM$124), "LIBRE", "OCCUPÉ")</f>
        <v>LIBRE</v>
      </c>
      <c r="W124" s="54" t="str">
        <f>IF(ISBLANK(Tableau!$AO$124), "LIBRE", "OCCUPÉ")</f>
        <v>LIBRE</v>
      </c>
      <c r="X124" s="54" t="str">
        <f>IF(ISBLANK(Tableau!$AQ$124), "LIBRE", "OCCUPÉ")</f>
        <v>LIBRE</v>
      </c>
      <c r="Y124" s="54" t="str">
        <f>IF(ISBLANK(Tableau!$AS$124), "LIBRE", "OCCUPÉ")</f>
        <v>LIBRE</v>
      </c>
      <c r="Z124" s="54" t="str">
        <f>IF(ISBLANK(Tableau!$AU$124), "LIBRE", "OCCUPÉ")</f>
        <v>LIBRE</v>
      </c>
      <c r="AA124" s="52" t="str">
        <f>IF(ISBLANK(Tableau!$AW$124), "LIBRE", "OCCUPÉ")</f>
        <v>LIBRE</v>
      </c>
      <c r="AB124" s="69" t="str">
        <f>IF(ISBLANK(Tableau!$AY124), "LIBRE", "OCCUPÉ")</f>
        <v>LIBRE</v>
      </c>
      <c r="AC124" s="77" t="s">
        <v>17</v>
      </c>
    </row>
    <row r="125" ht="21.75" hidden="1" customHeight="1">
      <c r="A125" s="40" t="str">
        <f>Tableau!A125</f>
        <v/>
      </c>
      <c r="B125" s="46" t="str">
        <f>VLOOKUP($A125,LocalisationRemorque,2,0)</f>
        <v> Remorque non listée</v>
      </c>
      <c r="C125" s="47" t="str">
        <f>VLOOKUP($A125,LocalisationRemorque,3,0)</f>
        <v/>
      </c>
      <c r="D125" s="49" t="str">
        <f>CONCATENATE(VLOOKUP($A125,LocalisationRemorque,6,0)," ► ",VLOOKUP($A125,LocalisationRemorque,5,0))</f>
        <v> ► </v>
      </c>
      <c r="E125" s="52" t="str">
        <f>IF(ISBLANK(Tableau!$E$125), "LIBRE", "OCCUPÉ")</f>
        <v>LIBRE</v>
      </c>
      <c r="F125" s="52" t="str">
        <f>IF(ISBLANK(Tableau!$G$125), "LIBRE", "OCCUPÉ")</f>
        <v>LIBRE</v>
      </c>
      <c r="G125" s="52" t="str">
        <f>IF(ISBLANK(Tableau!$I$125), "LIBRE", "OCCUPÉ")</f>
        <v>LIBRE</v>
      </c>
      <c r="H125" s="52" t="str">
        <f>IF(ISBLANK(Tableau!$K$125), "LIBRE", "OCCUPÉ")</f>
        <v>LIBRE</v>
      </c>
      <c r="I125" s="52" t="str">
        <f>IF(ISBLANK(Tableau!$M$125), "LIBRE", "OCCUPÉ")</f>
        <v>LIBRE</v>
      </c>
      <c r="J125" s="52" t="str">
        <f>IF(ISBLANK(Tableau!$O$125), "LIBRE", "OCCUPÉ")</f>
        <v>LIBRE</v>
      </c>
      <c r="K125" s="52" t="str">
        <f>IF(ISBLANK(Tableau!$Q$125), "LIBRE", "OCCUPÉ")</f>
        <v>LIBRE</v>
      </c>
      <c r="L125" s="52" t="str">
        <f>IF(ISBLANK(Tableau!$S$125), "LIBRE", "OCCUPÉ")</f>
        <v>LIBRE</v>
      </c>
      <c r="M125" s="52" t="str">
        <f>IF(ISBLANK(Tableau!$U$125), "LIBRE", "OCCUPÉ")</f>
        <v>LIBRE</v>
      </c>
      <c r="N125" s="52" t="str">
        <f>IF(ISBLANK(Tableau!$W$125), "LIBRE", "OCCUPÉ")</f>
        <v>LIBRE</v>
      </c>
      <c r="O125" s="52" t="str">
        <f>IF(ISBLANK(Tableau!$Y$125), "LIBRE", "OCCUPÉ")</f>
        <v>LIBRE</v>
      </c>
      <c r="P125" s="54" t="str">
        <f>IF(ISBLANK(Tableau!$AA$125), "LIBRE", "OCCUPÉ")</f>
        <v>LIBRE</v>
      </c>
      <c r="Q125" s="52" t="str">
        <f>IF(ISBLANK(Tableau!$AC$125), "LIBRE", "OCCUPÉ")</f>
        <v>LIBRE</v>
      </c>
      <c r="R125" s="52" t="str">
        <f>IF(ISBLANK(Tableau!$AE$125), "LIBRE", "OCCUPÉ")</f>
        <v>LIBRE</v>
      </c>
      <c r="S125" s="52" t="str">
        <f>IF(ISBLANK(Tableau!$AG$125), "LIBRE", "OCCUPÉ")</f>
        <v>LIBRE</v>
      </c>
      <c r="T125" s="52" t="str">
        <f>IF(ISBLANK(Tableau!$AI$125), "LIBRE", "OCCUPÉ")</f>
        <v>LIBRE</v>
      </c>
      <c r="U125" s="52" t="str">
        <f>IF(ISBLANK(Tableau!$AK$125), "LIBRE", "OCCUPÉ")</f>
        <v>LIBRE</v>
      </c>
      <c r="V125" s="54" t="str">
        <f>IF(ISBLANK(Tableau!$AM$125), "LIBRE", "OCCUPÉ")</f>
        <v>LIBRE</v>
      </c>
      <c r="W125" s="52" t="str">
        <f>IF(ISBLANK(Tableau!$AO$125), "LIBRE", "OCCUPÉ")</f>
        <v>LIBRE</v>
      </c>
      <c r="X125" s="52" t="str">
        <f>IF(ISBLANK(Tableau!$AQ$125), "LIBRE", "OCCUPÉ")</f>
        <v>LIBRE</v>
      </c>
      <c r="Y125" s="52" t="str">
        <f>IF(ISBLANK(Tableau!$AS$125), "LIBRE", "OCCUPÉ")</f>
        <v>LIBRE</v>
      </c>
      <c r="Z125" s="54" t="str">
        <f>IF(ISBLANK(Tableau!$AU$125), "LIBRE", "OCCUPÉ")</f>
        <v>LIBRE</v>
      </c>
      <c r="AA125" s="52" t="str">
        <f>IF(ISBLANK(Tableau!$AW$125), "LIBRE", "OCCUPÉ")</f>
        <v>LIBRE</v>
      </c>
      <c r="AB125" s="76" t="str">
        <f>IF(ISBLANK(Tableau!$AY125), "LIBRE", "OCCUPÉ")</f>
        <v>LIBRE</v>
      </c>
      <c r="AC125" s="88"/>
    </row>
    <row r="126" ht="21.75" hidden="1" customHeight="1">
      <c r="A126" s="72">
        <f>Tableau!A126</f>
        <v>354</v>
      </c>
      <c r="B126" s="73" t="str">
        <f>VLOOKUP($A126,LocalisationRemorque,2,0)</f>
        <v>Basse Sambre</v>
      </c>
      <c r="C126" s="74" t="str">
        <f>VLOOKUP($A126,LocalisationRemorque,3,0)</f>
        <v>Sambreville 1</v>
      </c>
      <c r="D126" s="75" t="str">
        <f>CONCATENATE(VLOOKUP($A126,LocalisationRemorque,6,0)," ► ",VLOOKUP($A126,LocalisationRemorque,5,0))</f>
        <v>Jemeppe-sur-Sambre ► Sombreffe</v>
      </c>
      <c r="E126" s="52" t="str">
        <f>IF(ISBLANK(Tableau!$E$126), "LIBRE", "OCCUPÉ")</f>
        <v>LIBRE</v>
      </c>
      <c r="F126" s="52" t="str">
        <f>IF(ISBLANK(Tableau!$G$126), "LIBRE", "OCCUPÉ")</f>
        <v>LIBRE</v>
      </c>
      <c r="G126" s="52" t="str">
        <f>IF(ISBLANK(Tableau!$I$126), "LIBRE", "OCCUPÉ")</f>
        <v>OCCUPÉ</v>
      </c>
      <c r="H126" s="52" t="str">
        <f>IF(ISBLANK(Tableau!$K$126), "LIBRE", "OCCUPÉ")</f>
        <v>LIBRE</v>
      </c>
      <c r="I126" s="54" t="str">
        <f>IF(ISBLANK(Tableau!$M$126), "LIBRE", "OCCUPÉ")</f>
        <v>LIBRE</v>
      </c>
      <c r="J126" s="52" t="str">
        <f>IF(ISBLANK(Tableau!$O$126), "LIBRE", "OCCUPÉ")</f>
        <v>LIBRE</v>
      </c>
      <c r="K126" s="52" t="str">
        <f>IF(ISBLANK(Tableau!$Q$126), "LIBRE", "OCCUPÉ")</f>
        <v>LIBRE</v>
      </c>
      <c r="L126" s="52" t="str">
        <f>IF(ISBLANK(Tableau!$S$126), "LIBRE", "OCCUPÉ")</f>
        <v>LIBRE</v>
      </c>
      <c r="M126" s="54" t="str">
        <f>IF(ISBLANK(Tableau!$U$126), "LIBRE", "OCCUPÉ")</f>
        <v>LIBRE</v>
      </c>
      <c r="N126" s="54" t="str">
        <f>IF(ISBLANK(Tableau!$W$126), "LIBRE", "OCCUPÉ")</f>
        <v>LIBRE</v>
      </c>
      <c r="O126" s="54" t="str">
        <f>IF(ISBLANK(Tableau!$Y$126), "LIBRE", "OCCUPÉ")</f>
        <v>OCCUPÉ</v>
      </c>
      <c r="P126" s="52" t="str">
        <f>IF(ISBLANK(Tableau!$AA$126), "LIBRE", "OCCUPÉ")</f>
        <v>LIBRE</v>
      </c>
      <c r="Q126" s="52" t="str">
        <f>IF(ISBLANK(Tableau!$AC$126), "LIBRE", "OCCUPÉ")</f>
        <v>LIBRE</v>
      </c>
      <c r="R126" s="52" t="str">
        <f>IF(ISBLANK(Tableau!$AE$126), "LIBRE", "OCCUPÉ")</f>
        <v>LIBRE</v>
      </c>
      <c r="S126" s="54" t="str">
        <f>IF(ISBLANK(Tableau!$AG$126), "LIBRE", "OCCUPÉ")</f>
        <v>LIBRE</v>
      </c>
      <c r="T126" s="52" t="str">
        <f>IF(ISBLANK(Tableau!$AI$126), "LIBRE", "OCCUPÉ")</f>
        <v>LIBRE</v>
      </c>
      <c r="U126" s="52" t="str">
        <f>IF(ISBLANK(Tableau!$AK$126), "LIBRE", "OCCUPÉ")</f>
        <v>LIBRE</v>
      </c>
      <c r="V126" s="52" t="str">
        <f>IF(ISBLANK(Tableau!$AM$126), "LIBRE", "OCCUPÉ")</f>
        <v>LIBRE</v>
      </c>
      <c r="W126" s="54" t="str">
        <f>IF(ISBLANK(Tableau!$AO$126), "LIBRE", "OCCUPÉ")</f>
        <v>LIBRE</v>
      </c>
      <c r="X126" s="52" t="str">
        <f>IF(ISBLANK(Tableau!$AQ$126), "LIBRE", "OCCUPÉ")</f>
        <v>LIBRE</v>
      </c>
      <c r="Y126" s="52" t="str">
        <f>IF(ISBLANK(Tableau!$AS$126), "LIBRE", "OCCUPÉ")</f>
        <v>LIBRE</v>
      </c>
      <c r="Z126" s="52" t="str">
        <f>IF(ISBLANK(Tableau!$AU$126), "LIBRE", "OCCUPÉ")</f>
        <v>LIBRE</v>
      </c>
      <c r="AA126" s="52" t="str">
        <f>IF(ISBLANK(Tableau!$AW$126), "LIBRE", "OCCUPÉ")</f>
        <v>LIBRE</v>
      </c>
      <c r="AB126" s="76" t="str">
        <f>IF(ISBLANK(Tableau!$AY126), "LIBRE", "OCCUPÉ")</f>
        <v>LIBRE</v>
      </c>
      <c r="AC126" s="155"/>
    </row>
    <row r="127" ht="21.75" hidden="1" customHeight="1">
      <c r="A127" s="40">
        <f>Tableau!A127</f>
        <v>355</v>
      </c>
      <c r="B127" s="46" t="str">
        <f>VLOOKUP($A127,LocalisationRemorque,2,0)</f>
        <v>Basse Sambre</v>
      </c>
      <c r="C127" s="47" t="str">
        <f>VLOOKUP($A127,LocalisationRemorque,3,0)</f>
        <v>Sambreville 2</v>
      </c>
      <c r="D127" s="49" t="str">
        <f>CONCATENATE(VLOOKUP($A127,LocalisationRemorque,6,0)," ► ",VLOOKUP($A127,LocalisationRemorque,5,0))</f>
        <v>E42 Velaine ► Mettet</v>
      </c>
      <c r="E127" s="54" t="str">
        <f>IF(ISBLANK(Tableau!$E$127), "LIBRE", "OCCUPÉ")</f>
        <v>LIBRE</v>
      </c>
      <c r="F127" s="52" t="str">
        <f>IF(ISBLANK(Tableau!$G$127), "LIBRE", "OCCUPÉ")</f>
        <v>LIBRE</v>
      </c>
      <c r="G127" s="52" t="str">
        <f>IF(ISBLANK(Tableau!$I$127), "LIBRE", "OCCUPÉ")</f>
        <v>LIBRE</v>
      </c>
      <c r="H127" s="52" t="str">
        <f>IF(ISBLANK(Tableau!$K$127), "LIBRE", "OCCUPÉ")</f>
        <v>LIBRE</v>
      </c>
      <c r="I127" s="54" t="str">
        <f>IF(ISBLANK(Tableau!$M$127), "LIBRE", "OCCUPÉ")</f>
        <v>LIBRE</v>
      </c>
      <c r="J127" s="52" t="str">
        <f>IF(ISBLANK(Tableau!$O$127), "LIBRE", "OCCUPÉ")</f>
        <v>LIBRE</v>
      </c>
      <c r="K127" s="54" t="str">
        <f>IF(ISBLANK(Tableau!$Q$127), "LIBRE", "OCCUPÉ")</f>
        <v>OCCUPÉ</v>
      </c>
      <c r="L127" s="52" t="str">
        <f>IF(ISBLANK(Tableau!$S$127), "LIBRE", "OCCUPÉ")</f>
        <v>LIBRE</v>
      </c>
      <c r="M127" s="54" t="str">
        <f>IF(ISBLANK(Tableau!$U$127), "LIBRE", "OCCUPÉ")</f>
        <v>LIBRE</v>
      </c>
      <c r="N127" s="54" t="str">
        <f>IF(ISBLANK(Tableau!$W$127), "LIBRE", "OCCUPÉ")</f>
        <v>LIBRE</v>
      </c>
      <c r="O127" s="54" t="str">
        <f>IF(ISBLANK(Tableau!$Y$127), "LIBRE", "OCCUPÉ")</f>
        <v>LIBRE</v>
      </c>
      <c r="P127" s="52" t="str">
        <f>IF(ISBLANK(Tableau!$AA$127), "LIBRE", "OCCUPÉ")</f>
        <v>LIBRE</v>
      </c>
      <c r="Q127" s="52" t="str">
        <f>IF(ISBLANK(Tableau!$AC$127), "LIBRE", "OCCUPÉ")</f>
        <v>LIBRE</v>
      </c>
      <c r="R127" s="52" t="str">
        <f>IF(ISBLANK(Tableau!$AE$127), "LIBRE", "OCCUPÉ")</f>
        <v>LIBRE</v>
      </c>
      <c r="S127" s="52" t="str">
        <f>IF(ISBLANK(Tableau!$AG$127), "LIBRE", "OCCUPÉ")</f>
        <v>LIBRE</v>
      </c>
      <c r="T127" s="52" t="str">
        <f>IF(ISBLANK(Tableau!$AI$127), "LIBRE", "OCCUPÉ")</f>
        <v>OCCUPÉ</v>
      </c>
      <c r="U127" s="54" t="str">
        <f>IF(ISBLANK(Tableau!$AK$127), "LIBRE", "OCCUPÉ")</f>
        <v>LIBRE</v>
      </c>
      <c r="V127" s="52" t="str">
        <f>IF(ISBLANK(Tableau!$AM$127), "LIBRE", "OCCUPÉ")</f>
        <v>LIBRE</v>
      </c>
      <c r="W127" s="52" t="str">
        <f>IF(ISBLANK(Tableau!$AO$127), "LIBRE", "OCCUPÉ")</f>
        <v>LIBRE</v>
      </c>
      <c r="X127" s="52" t="str">
        <f>IF(ISBLANK(Tableau!$AQ$127), "LIBRE", "OCCUPÉ")</f>
        <v>LIBRE</v>
      </c>
      <c r="Y127" s="52" t="str">
        <f>IF(ISBLANK(Tableau!$AS$127), "LIBRE", "OCCUPÉ")</f>
        <v>LIBRE</v>
      </c>
      <c r="Z127" s="52" t="str">
        <f>IF(ISBLANK(Tableau!$AU$127), "LIBRE", "OCCUPÉ")</f>
        <v>LIBRE</v>
      </c>
      <c r="AA127" s="52" t="str">
        <f>IF(ISBLANK(Tableau!$AW$127), "LIBRE", "OCCUPÉ")</f>
        <v>LIBRE</v>
      </c>
      <c r="AB127" s="76" t="str">
        <f>IF(ISBLANK(Tableau!$AY127), "LIBRE", "OCCUPÉ")</f>
        <v>LIBRE</v>
      </c>
      <c r="AC127" s="88"/>
    </row>
    <row r="128" ht="21.75" hidden="1" customHeight="1">
      <c r="A128" s="72">
        <f>Tableau!A128</f>
        <v>356</v>
      </c>
      <c r="B128" s="73" t="str">
        <f>VLOOKUP($A128,LocalisationRemorque,2,0)</f>
        <v>Basse Sambre</v>
      </c>
      <c r="C128" s="74" t="str">
        <f>VLOOKUP($A128,LocalisationRemorque,3,0)</f>
        <v>Moustier</v>
      </c>
      <c r="D128" s="75" t="str">
        <f>CONCATENATE(VLOOKUP($A128,LocalisationRemorque,6,0)," ► ",VLOOKUP($A128,LocalisationRemorque,5,0))</f>
        <v>Charleroi ► Namur</v>
      </c>
      <c r="E128" s="52" t="str">
        <f>IF(ISBLANK(Tableau!$E$128), "LIBRE", "OCCUPÉ")</f>
        <v>LIBRE</v>
      </c>
      <c r="F128" s="52" t="str">
        <f>IF(ISBLANK(Tableau!$G$128), "LIBRE", "OCCUPÉ")</f>
        <v>LIBRE</v>
      </c>
      <c r="G128" s="52" t="str">
        <f>IF(ISBLANK(Tableau!$I$128), "LIBRE", "OCCUPÉ")</f>
        <v>OCCUPÉ</v>
      </c>
      <c r="H128" s="52" t="str">
        <f>IF(ISBLANK(Tableau!$K$128), "LIBRE", "OCCUPÉ")</f>
        <v>LIBRE</v>
      </c>
      <c r="I128" s="52" t="str">
        <f>IF(ISBLANK(Tableau!$M$128), "LIBRE", "OCCUPÉ")</f>
        <v>LIBRE</v>
      </c>
      <c r="J128" s="52" t="str">
        <f>IF(ISBLANK(Tableau!$O$128), "LIBRE", "OCCUPÉ")</f>
        <v>LIBRE</v>
      </c>
      <c r="K128" s="52" t="str">
        <f>IF(ISBLANK(Tableau!$Q$128), "LIBRE", "OCCUPÉ")</f>
        <v>LIBRE</v>
      </c>
      <c r="L128" s="52" t="str">
        <f>IF(ISBLANK(Tableau!$S$128), "LIBRE", "OCCUPÉ")</f>
        <v>LIBRE</v>
      </c>
      <c r="M128" s="54" t="str">
        <f>IF(ISBLANK(Tableau!$U$128), "LIBRE", "OCCUPÉ")</f>
        <v>OCCUPÉ</v>
      </c>
      <c r="N128" s="54" t="str">
        <f>IF(ISBLANK(Tableau!$W$128), "LIBRE", "OCCUPÉ")</f>
        <v>LIBRE</v>
      </c>
      <c r="O128" s="52" t="str">
        <f>IF(ISBLANK(Tableau!$Y$128), "LIBRE", "OCCUPÉ")</f>
        <v>LIBRE</v>
      </c>
      <c r="P128" s="52" t="str">
        <f>IF(ISBLANK(Tableau!$AA$128), "LIBRE", "OCCUPÉ")</f>
        <v>LIBRE</v>
      </c>
      <c r="Q128" s="52" t="str">
        <f>IF(ISBLANK(Tableau!$AC$128), "LIBRE", "OCCUPÉ")</f>
        <v>LIBRE</v>
      </c>
      <c r="R128" s="52" t="str">
        <f>IF(ISBLANK(Tableau!$AE$128), "LIBRE", "OCCUPÉ")</f>
        <v>LIBRE</v>
      </c>
      <c r="S128" s="52" t="str">
        <f>IF(ISBLANK(Tableau!$AG$128), "LIBRE", "OCCUPÉ")</f>
        <v>OCCUPÉ</v>
      </c>
      <c r="T128" s="52" t="str">
        <f>IF(ISBLANK(Tableau!$AI$128), "LIBRE", "OCCUPÉ")</f>
        <v>LIBRE</v>
      </c>
      <c r="U128" s="54" t="str">
        <f>IF(ISBLANK(Tableau!$AK$128), "LIBRE", "OCCUPÉ")</f>
        <v>LIBRE</v>
      </c>
      <c r="V128" s="52" t="str">
        <f>IF(ISBLANK(Tableau!$AM$128), "LIBRE", "OCCUPÉ")</f>
        <v>LIBRE</v>
      </c>
      <c r="W128" s="52" t="str">
        <f>IF(ISBLANK(Tableau!$AO$128), "LIBRE", "OCCUPÉ")</f>
        <v>LIBRE</v>
      </c>
      <c r="X128" s="52" t="str">
        <f>IF(ISBLANK(Tableau!$AQ$128), "LIBRE", "OCCUPÉ")</f>
        <v>LIBRE</v>
      </c>
      <c r="Y128" s="52" t="str">
        <f>IF(ISBLANK(Tableau!$AS$128), "LIBRE", "OCCUPÉ")</f>
        <v>LIBRE</v>
      </c>
      <c r="Z128" s="52" t="str">
        <f>IF(ISBLANK(Tableau!$AU$128), "LIBRE", "OCCUPÉ")</f>
        <v>LIBRE</v>
      </c>
      <c r="AA128" s="52" t="str">
        <f>IF(ISBLANK(Tableau!$AW$128), "LIBRE", "OCCUPÉ")</f>
        <v>LIBRE</v>
      </c>
      <c r="AB128" s="76" t="str">
        <f>IF(ISBLANK(Tableau!$AY128), "LIBRE", "OCCUPÉ")</f>
        <v>LIBRE</v>
      </c>
      <c r="AC128" s="77"/>
    </row>
    <row r="129" ht="21.75" hidden="1" customHeight="1">
      <c r="A129" s="40">
        <f>Tableau!A129</f>
        <v>357</v>
      </c>
      <c r="B129" s="46" t="str">
        <f>VLOOKUP($A129,LocalisationRemorque,2,0)</f>
        <v>Havelange</v>
      </c>
      <c r="C129" s="47" t="str">
        <f>VLOOKUP($A129,LocalisationRemorque,3,0)</f>
        <v>Verlée</v>
      </c>
      <c r="D129" s="49" t="str">
        <f>CONCATENATE(VLOOKUP($A129,LocalisationRemorque,6,0)," ► ",VLOOKUP($A129,LocalisationRemorque,5,0))</f>
        <v>Havelange ► Durbuy</v>
      </c>
      <c r="E129" s="54" t="str">
        <f>IF(ISBLANK(Tableau!$E$129), "LIBRE", "OCCUPÉ")</f>
        <v>OCCUPÉ</v>
      </c>
      <c r="F129" s="52" t="str">
        <f>IF(ISBLANK(Tableau!$G$129), "LIBRE", "OCCUPÉ")</f>
        <v>LIBRE</v>
      </c>
      <c r="G129" s="52" t="str">
        <f>IF(ISBLANK(Tableau!$I$129), "LIBRE", "OCCUPÉ")</f>
        <v>LIBRE</v>
      </c>
      <c r="H129" s="52" t="str">
        <f>IF(ISBLANK(Tableau!$K$129), "LIBRE", "OCCUPÉ")</f>
        <v>LIBRE</v>
      </c>
      <c r="I129" s="54" t="str">
        <f>IF(ISBLANK(Tableau!$M$129), "LIBRE", "OCCUPÉ")</f>
        <v>LIBRE</v>
      </c>
      <c r="J129" s="52" t="str">
        <f>IF(ISBLANK(Tableau!$O$129), "LIBRE", "OCCUPÉ")</f>
        <v>LIBRE</v>
      </c>
      <c r="K129" s="54" t="str">
        <f>IF(ISBLANK(Tableau!$Q$129), "LIBRE", "OCCUPÉ")</f>
        <v>LIBRE</v>
      </c>
      <c r="L129" s="52" t="str">
        <f>IF(ISBLANK(Tableau!$S$129), "LIBRE", "OCCUPÉ")</f>
        <v>LIBRE</v>
      </c>
      <c r="M129" s="54" t="str">
        <f>IF(ISBLANK(Tableau!$U$129), "LIBRE", "OCCUPÉ")</f>
        <v>LIBRE</v>
      </c>
      <c r="N129" s="52" t="str">
        <f>IF(ISBLANK(Tableau!$W$129), "LIBRE", "OCCUPÉ")</f>
        <v>LIBRE</v>
      </c>
      <c r="O129" s="54" t="str">
        <f>IF(ISBLANK(Tableau!$Y$129), "LIBRE", "OCCUPÉ")</f>
        <v>LIBRE</v>
      </c>
      <c r="P129" s="54" t="str">
        <f>IF(ISBLANK(Tableau!$AA$129), "LIBRE", "OCCUPÉ")</f>
        <v>LIBRE</v>
      </c>
      <c r="Q129" s="54" t="str">
        <f>IF(ISBLANK(Tableau!$AC$129), "LIBRE", "OCCUPÉ")</f>
        <v>LIBRE</v>
      </c>
      <c r="R129" s="52" t="str">
        <f>IF(ISBLANK(Tableau!$AE$129), "LIBRE", "OCCUPÉ")</f>
        <v>LIBRE</v>
      </c>
      <c r="S129" s="52" t="str">
        <f>IF(ISBLANK(Tableau!$AG$129), "LIBRE", "OCCUPÉ")</f>
        <v>LIBRE</v>
      </c>
      <c r="T129" s="54" t="str">
        <f>IF(ISBLANK(Tableau!$AI$129), "LIBRE", "OCCUPÉ")</f>
        <v>LIBRE</v>
      </c>
      <c r="U129" s="54" t="str">
        <f>IF(ISBLANK(Tableau!$AK$129), "LIBRE", "OCCUPÉ")</f>
        <v>OCCUPÉ</v>
      </c>
      <c r="V129" s="52" t="str">
        <f>IF(ISBLANK(Tableau!$AM$129), "LIBRE", "OCCUPÉ")</f>
        <v>LIBRE</v>
      </c>
      <c r="W129" s="54" t="str">
        <f>IF(ISBLANK(Tableau!$AO$129), "LIBRE", "OCCUPÉ")</f>
        <v>LIBRE</v>
      </c>
      <c r="X129" s="54" t="str">
        <f>IF(ISBLANK(Tableau!$AQ$129), "LIBRE", "OCCUPÉ")</f>
        <v>LIBRE</v>
      </c>
      <c r="Y129" s="54" t="str">
        <f>IF(ISBLANK(Tableau!$AS$129), "LIBRE", "OCCUPÉ")</f>
        <v>OCCUPÉ</v>
      </c>
      <c r="Z129" s="54" t="str">
        <f>IF(ISBLANK(Tableau!$AU$129), "LIBRE", "OCCUPÉ")</f>
        <v>LIBRE</v>
      </c>
      <c r="AA129" s="52" t="str">
        <f>IF(ISBLANK(Tableau!$AW$129), "LIBRE", "OCCUPÉ")</f>
        <v>LIBRE</v>
      </c>
      <c r="AB129" s="69" t="str">
        <f>IF(ISBLANK(Tableau!$AY129), "LIBRE", "OCCUPÉ")</f>
        <v>LIBRE</v>
      </c>
      <c r="AC129" s="70"/>
    </row>
    <row r="130" ht="21.75" hidden="1" customHeight="1">
      <c r="A130" s="114" t="str">
        <f>Tableau!A130</f>
        <v/>
      </c>
      <c r="B130" s="121"/>
      <c r="C130" s="121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21"/>
      <c r="AC130" s="417"/>
    </row>
    <row r="131" ht="21.75" hidden="1" customHeight="1">
      <c r="A131" s="114" t="str">
        <f>Tableau!A131</f>
        <v/>
      </c>
      <c r="B131" s="121"/>
      <c r="C131" s="121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21"/>
      <c r="AC131" s="417"/>
    </row>
    <row r="132" ht="21.75" hidden="1" customHeight="1">
      <c r="A132" s="114" t="str">
        <f>Tableau!A132</f>
        <v/>
      </c>
      <c r="B132" s="121"/>
      <c r="C132" s="121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21"/>
      <c r="AC132" s="417"/>
    </row>
    <row r="133" ht="21.75" hidden="1" customHeight="1">
      <c r="A133" s="114" t="str">
        <f>Tableau!A133</f>
        <v/>
      </c>
      <c r="B133" s="121"/>
      <c r="C133" s="121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21"/>
      <c r="AC133" s="417"/>
    </row>
    <row r="134" ht="21.75" hidden="1" customHeight="1">
      <c r="A134" s="114" t="str">
        <f>Tableau!A134</f>
        <v/>
      </c>
      <c r="B134" s="121"/>
      <c r="C134" s="121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21"/>
      <c r="AC134" s="417"/>
    </row>
    <row r="135" ht="21.75" hidden="1" customHeight="1">
      <c r="A135" s="40">
        <f>Tableau!A135</f>
        <v>401</v>
      </c>
      <c r="B135" s="46" t="str">
        <f>VLOOKUP($A135,LocalisationRemorque,2,0)</f>
        <v>Charleroi</v>
      </c>
      <c r="C135" s="47" t="str">
        <f>VLOOKUP($A135,LocalisationRemorque,3,0)</f>
        <v>Chatelet</v>
      </c>
      <c r="D135" s="49" t="str">
        <f>CONCATENATE(VLOOKUP($A135,LocalisationRemorque,6,0)," ► ",VLOOKUP($A135,LocalisationRemorque,5,0))</f>
        <v>Chatelet ► Charleroi</v>
      </c>
      <c r="E135" s="52" t="str">
        <f>IF(ISBLANK(Tableau!$E$135), "LIBRE", "OCCUPÉ")</f>
        <v>OCCUPÉ</v>
      </c>
      <c r="F135" s="52" t="str">
        <f>IF(ISBLANK(Tableau!$G$135), "LIBRE", "OCCUPÉ")</f>
        <v>LIBRE</v>
      </c>
      <c r="G135" s="54" t="str">
        <f>IF(ISBLANK(Tableau!$I$135), "LIBRE", "OCCUPÉ")</f>
        <v>OCCUPÉ</v>
      </c>
      <c r="H135" s="52" t="str">
        <f>IF(ISBLANK(Tableau!$K$135), "LIBRE", "OCCUPÉ")</f>
        <v>LIBRE</v>
      </c>
      <c r="I135" s="54" t="str">
        <f>IF(ISBLANK(Tableau!$M$135), "LIBRE", "OCCUPÉ")</f>
        <v>OCCUPÉ</v>
      </c>
      <c r="J135" s="52" t="str">
        <f>IF(ISBLANK(Tableau!$O$135), "LIBRE", "OCCUPÉ")</f>
        <v>OCCUPÉ</v>
      </c>
      <c r="K135" s="54" t="str">
        <f>IF(ISBLANK(Tableau!$Q$135), "LIBRE", "OCCUPÉ")</f>
        <v>OCCUPÉ</v>
      </c>
      <c r="L135" s="52" t="str">
        <f>IF(ISBLANK(Tableau!$S$135), "LIBRE", "OCCUPÉ")</f>
        <v>LIBRE</v>
      </c>
      <c r="M135" s="54" t="str">
        <f>IF(ISBLANK(Tableau!$U$135), "LIBRE", "OCCUPÉ")</f>
        <v>OCCUPÉ</v>
      </c>
      <c r="N135" s="54" t="str">
        <f>IF(ISBLANK(Tableau!$W$135), "LIBRE", "OCCUPÉ")</f>
        <v>LIBRE</v>
      </c>
      <c r="O135" s="54" t="str">
        <f>IF(ISBLANK(Tableau!$Y$135), "LIBRE", "OCCUPÉ")</f>
        <v>OCCUPÉ</v>
      </c>
      <c r="P135" s="52" t="str">
        <f>IF(ISBLANK(Tableau!$AA$135), "LIBRE", "OCCUPÉ")</f>
        <v>LIBRE</v>
      </c>
      <c r="Q135" s="54" t="str">
        <f>IF(ISBLANK(Tableau!$AC$135), "LIBRE", "OCCUPÉ")</f>
        <v>LIBRE</v>
      </c>
      <c r="R135" s="54" t="str">
        <f>IF(ISBLANK(Tableau!$AE$135), "LIBRE", "OCCUPÉ")</f>
        <v>LIBRE</v>
      </c>
      <c r="S135" s="52" t="str">
        <f>IF(ISBLANK(Tableau!$AG$135), "LIBRE", "OCCUPÉ")</f>
        <v>OCCUPÉ</v>
      </c>
      <c r="T135" s="52" t="str">
        <f>IF(ISBLANK(Tableau!$AI$135), "LIBRE", "OCCUPÉ")</f>
        <v>LIBRE</v>
      </c>
      <c r="U135" s="54" t="str">
        <f>IF(ISBLANK(Tableau!$AM$135), "LIBRE", "OCCUPÉ")</f>
        <v>LIBRE</v>
      </c>
      <c r="V135" s="52" t="str">
        <f>IF(ISBLANK(Tableau!$AM$135), "LIBRE", "OCCUPÉ")</f>
        <v>LIBRE</v>
      </c>
      <c r="W135" s="54" t="str">
        <f>IF(ISBLANK(Tableau!$AO$135), "LIBRE", "OCCUPÉ")</f>
        <v>LIBRE</v>
      </c>
      <c r="X135" s="52" t="str">
        <f>IF(ISBLANK(Tableau!$AQ$135), "LIBRE", "OCCUPÉ")</f>
        <v>LIBRE</v>
      </c>
      <c r="Y135" s="52" t="str">
        <f>IF(ISBLANK(Tableau!$AS$135), "LIBRE", "OCCUPÉ")</f>
        <v>LIBRE</v>
      </c>
      <c r="Z135" s="52" t="str">
        <f>IF(ISBLANK(Tableau!$AU$135), "LIBRE", "OCCUPÉ")</f>
        <v>LIBRE</v>
      </c>
      <c r="AA135" s="54" t="str">
        <f>IF(ISBLANK(Tableau!$AW$135), "LIBRE", "OCCUPÉ")</f>
        <v>LIBRE</v>
      </c>
      <c r="AB135" s="76" t="str">
        <f>IF(ISBLANK(Tableau!$AY135), "LIBRE", "OCCUPÉ")</f>
        <v>LIBRE</v>
      </c>
      <c r="AC135" s="70"/>
    </row>
    <row r="136" ht="21.75" hidden="1" customHeight="1">
      <c r="A136" s="72">
        <f>Tableau!A136</f>
        <v>402</v>
      </c>
      <c r="B136" s="73" t="str">
        <f>VLOOKUP($A136,LocalisationRemorque,2,0)</f>
        <v>Charleroi</v>
      </c>
      <c r="C136" s="74" t="str">
        <f>VLOOKUP($A136,LocalisationRemorque,3,0)</f>
        <v>Farcienne</v>
      </c>
      <c r="D136" s="75" t="str">
        <f>CONCATENATE(VLOOKUP($A136,LocalisationRemorque,6,0)," ► ",VLOOKUP($A136,LocalisationRemorque,5,0))</f>
        <v>Sambreville ► Charleroi</v>
      </c>
      <c r="E136" s="54" t="str">
        <f>IF(ISBLANK(Tableau!$E$136), "LIBRE", "OCCUPÉ")</f>
        <v>OCCUPÉ</v>
      </c>
      <c r="F136" s="52" t="str">
        <f>IF(ISBLANK(Tableau!$G$136), "LIBRE", "OCCUPÉ")</f>
        <v>OCCUPÉ</v>
      </c>
      <c r="G136" s="54" t="str">
        <f>IF(ISBLANK(Tableau!$I$136), "LIBRE", "OCCUPÉ")</f>
        <v>OCCUPÉ</v>
      </c>
      <c r="H136" s="52" t="str">
        <f>IF(ISBLANK(Tableau!$K$136), "LIBRE", "OCCUPÉ")</f>
        <v>LIBRE</v>
      </c>
      <c r="I136" s="54" t="str">
        <f>IF(ISBLANK(Tableau!$M$136), "LIBRE", "OCCUPÉ")</f>
        <v>OCCUPÉ</v>
      </c>
      <c r="J136" s="52" t="str">
        <f>IF(ISBLANK(Tableau!$O$136), "LIBRE", "OCCUPÉ")</f>
        <v>LIBRE</v>
      </c>
      <c r="K136" s="54" t="str">
        <f>IF(ISBLANK(Tableau!$Q$136), "LIBRE", "OCCUPÉ")</f>
        <v>OCCUPÉ</v>
      </c>
      <c r="L136" s="52" t="str">
        <f>IF(ISBLANK(Tableau!$S$136), "LIBRE", "OCCUPÉ")</f>
        <v>LIBRE</v>
      </c>
      <c r="M136" s="54" t="str">
        <f>IF(ISBLANK(Tableau!$U$136), "LIBRE", "OCCUPÉ")</f>
        <v>OCCUPÉ</v>
      </c>
      <c r="N136" s="52" t="str">
        <f>IF(ISBLANK(Tableau!$W$136), "LIBRE", "OCCUPÉ")</f>
        <v>LIBRE</v>
      </c>
      <c r="O136" s="54" t="str">
        <f>IF(ISBLANK(Tableau!$Y$136), "LIBRE", "OCCUPÉ")</f>
        <v>LIBRE</v>
      </c>
      <c r="P136" s="52" t="str">
        <f>IF(ISBLANK(Tableau!$AA$136), "LIBRE", "OCCUPÉ")</f>
        <v>LIBRE</v>
      </c>
      <c r="Q136" s="54" t="str">
        <f>IF(ISBLANK(Tableau!$AC$136), "LIBRE", "OCCUPÉ")</f>
        <v>OCCUPÉ</v>
      </c>
      <c r="R136" s="52" t="str">
        <f>IF(ISBLANK(Tableau!$AE$136), "LIBRE", "OCCUPÉ")</f>
        <v>LIBRE</v>
      </c>
      <c r="S136" s="54" t="str">
        <f>IF(ISBLANK(Tableau!$AG$136), "LIBRE", "OCCUPÉ")</f>
        <v>OCCUPÉ</v>
      </c>
      <c r="T136" s="52" t="str">
        <f>IF(ISBLANK(Tableau!$AI$136), "LIBRE", "OCCUPÉ")</f>
        <v>LIBRE</v>
      </c>
      <c r="U136" s="52" t="str">
        <f>IF(ISBLANK(Tableau!$AK$136), "LIBRE", "OCCUPÉ")</f>
        <v>LIBRE</v>
      </c>
      <c r="V136" s="52" t="str">
        <f>IF(ISBLANK(Tableau!$AM$136), "LIBRE", "OCCUPÉ")</f>
        <v>LIBRE</v>
      </c>
      <c r="W136" s="54" t="str">
        <f>IF(ISBLANK(Tableau!$AO$136), "LIBRE", "OCCUPÉ")</f>
        <v>OCCUPÉ</v>
      </c>
      <c r="X136" s="52" t="str">
        <f>IF(ISBLANK(Tableau!$AQ$136), "LIBRE", "OCCUPÉ")</f>
        <v>LIBRE</v>
      </c>
      <c r="Y136" s="54" t="str">
        <f>IF(ISBLANK(Tableau!$AS$136), "LIBRE", "OCCUPÉ")</f>
        <v>LIBRE</v>
      </c>
      <c r="Z136" s="52" t="str">
        <f>IF(ISBLANK(Tableau!$AU$136), "LIBRE", "OCCUPÉ")</f>
        <v>LIBRE</v>
      </c>
      <c r="AA136" s="52" t="str">
        <f>IF(ISBLANK(Tableau!$AW$136), "LIBRE", "OCCUPÉ")</f>
        <v>LIBRE</v>
      </c>
      <c r="AB136" s="76" t="str">
        <f>IF(ISBLANK(Tableau!$AY136), "LIBRE", "OCCUPÉ")</f>
        <v>LIBRE</v>
      </c>
      <c r="AC136" s="155"/>
    </row>
    <row r="137" ht="21.75" hidden="1" customHeight="1">
      <c r="A137" s="40">
        <f>Tableau!A137</f>
        <v>403</v>
      </c>
      <c r="B137" s="46" t="str">
        <f>VLOOKUP($A137,LocalisationRemorque,2,0)</f>
        <v>Charleroi</v>
      </c>
      <c r="C137" s="47" t="str">
        <f>VLOOKUP($A137,LocalisationRemorque,3,0)</f>
        <v>Nalinnes</v>
      </c>
      <c r="D137" s="49" t="str">
        <f>CONCATENATE(VLOOKUP($A137,LocalisationRemorque,6,0)," ► ",VLOOKUP($A137,LocalisationRemorque,5,0))</f>
        <v>Charleroi ► Couvin</v>
      </c>
      <c r="E137" s="52" t="str">
        <f>IF(ISBLANK(Tableau!$E$137), "LIBRE", "OCCUPÉ")</f>
        <v>OCCUPÉ</v>
      </c>
      <c r="F137" s="52" t="str">
        <f>IF(ISBLANK(Tableau!$G$137), "LIBRE", "OCCUPÉ")</f>
        <v>LIBRE</v>
      </c>
      <c r="G137" s="54" t="str">
        <f>IF(ISBLANK(Tableau!$I$137), "LIBRE", "OCCUPÉ")</f>
        <v>OCCUPÉ</v>
      </c>
      <c r="H137" s="52" t="str">
        <f>IF(ISBLANK(Tableau!$K$137), "LIBRE", "OCCUPÉ")</f>
        <v>LIBRE</v>
      </c>
      <c r="I137" s="54" t="str">
        <f>IF(ISBLANK(Tableau!$M$137), "LIBRE", "OCCUPÉ")</f>
        <v>OCCUPÉ</v>
      </c>
      <c r="J137" s="54" t="str">
        <f>IF(ISBLANK(Tableau!$O$137), "LIBRE", "OCCUPÉ")</f>
        <v>LIBRE</v>
      </c>
      <c r="K137" s="54" t="str">
        <f>IF(ISBLANK(Tableau!$Q$137), "LIBRE", "OCCUPÉ")</f>
        <v>OCCUPÉ</v>
      </c>
      <c r="L137" s="54" t="str">
        <f>IF(ISBLANK(Tableau!$S$137), "LIBRE", "OCCUPÉ")</f>
        <v>LIBRE</v>
      </c>
      <c r="M137" s="52" t="str">
        <f>IF(ISBLANK(Tableau!$U$137), "LIBRE", "OCCUPÉ")</f>
        <v>OCCUPÉ</v>
      </c>
      <c r="N137" s="54" t="str">
        <f>IF(ISBLANK(Tableau!$W$137), "LIBRE", "OCCUPÉ")</f>
        <v>OCCUPÉ</v>
      </c>
      <c r="O137" s="52" t="str">
        <f>IF(ISBLANK(Tableau!$Y$137), "LIBRE", "OCCUPÉ")</f>
        <v>LIBRE</v>
      </c>
      <c r="P137" s="52" t="str">
        <f>IF(ISBLANK(Tableau!$AA$137), "LIBRE", "OCCUPÉ")</f>
        <v>LIBRE</v>
      </c>
      <c r="Q137" s="52" t="str">
        <f>IF(ISBLANK(Tableau!$AC$137), "LIBRE", "OCCUPÉ")</f>
        <v>LIBRE</v>
      </c>
      <c r="R137" s="52" t="str">
        <f>IF(ISBLANK(Tableau!$AE$137), "LIBRE", "OCCUPÉ")</f>
        <v>LIBRE</v>
      </c>
      <c r="S137" s="54" t="str">
        <f>IF(ISBLANK(Tableau!$AG$137), "LIBRE", "OCCUPÉ")</f>
        <v>LIBRE</v>
      </c>
      <c r="T137" s="52" t="str">
        <f>IF(ISBLANK(Tableau!$AI$137), "LIBRE", "OCCUPÉ")</f>
        <v>LIBRE</v>
      </c>
      <c r="U137" s="52" t="str">
        <f>IF(ISBLANK(Tableau!$AK$137), "LIBRE", "OCCUPÉ")</f>
        <v>LIBRE</v>
      </c>
      <c r="V137" s="52" t="str">
        <f>IF(ISBLANK(Tableau!$AM$137), "LIBRE", "OCCUPÉ")</f>
        <v>LIBRE</v>
      </c>
      <c r="W137" s="52" t="str">
        <f>IF(ISBLANK(Tableau!$AO$137), "LIBRE", "OCCUPÉ")</f>
        <v>LIBRE</v>
      </c>
      <c r="X137" s="52" t="str">
        <f>IF(ISBLANK(Tableau!$AQ$137), "LIBRE", "OCCUPÉ")</f>
        <v>LIBRE</v>
      </c>
      <c r="Y137" s="52" t="str">
        <f>IF(ISBLANK(Tableau!$AS$137), "LIBRE", "OCCUPÉ")</f>
        <v>LIBRE</v>
      </c>
      <c r="Z137" s="52" t="str">
        <f>IF(ISBLANK(Tableau!$AU$137), "LIBRE", "OCCUPÉ")</f>
        <v>LIBRE</v>
      </c>
      <c r="AA137" s="52" t="str">
        <f>IF(ISBLANK(Tableau!$AW$137), "LIBRE", "OCCUPÉ")</f>
        <v>LIBRE</v>
      </c>
      <c r="AB137" s="76" t="str">
        <f>IF(ISBLANK(Tableau!$AY137), "LIBRE", "OCCUPÉ")</f>
        <v>LIBRE</v>
      </c>
      <c r="AC137" s="88"/>
    </row>
    <row r="138" ht="21.75" hidden="1" customHeight="1">
      <c r="A138" s="72">
        <f>Tableau!A138</f>
        <v>404</v>
      </c>
      <c r="B138" s="73" t="str">
        <f>VLOOKUP($A138,LocalisationRemorque,2,0)</f>
        <v>Charleroi</v>
      </c>
      <c r="C138" s="74" t="str">
        <f>VLOOKUP($A138,LocalisationRemorque,3,0)</f>
        <v>Gosselies aéroport</v>
      </c>
      <c r="D138" s="75" t="str">
        <f>CONCATENATE(VLOOKUP($A138,LocalisationRemorque,6,0)," ► ",VLOOKUP($A138,LocalisationRemorque,5,0))</f>
        <v>E420 (Ransart) ► Aeroport</v>
      </c>
      <c r="E138" s="52" t="str">
        <f>IF(ISBLANK(Tableau!$E$138), "LIBRE", "OCCUPÉ")</f>
        <v>OCCUPÉ</v>
      </c>
      <c r="F138" s="52" t="str">
        <f>IF(ISBLANK(Tableau!$G$138), "LIBRE", "OCCUPÉ")</f>
        <v>LIBRE</v>
      </c>
      <c r="G138" s="52" t="str">
        <f>IF(ISBLANK(Tableau!$I$138), "LIBRE", "OCCUPÉ")</f>
        <v>OCCUPÉ</v>
      </c>
      <c r="H138" s="52" t="str">
        <f>IF(ISBLANK(Tableau!$K$138), "LIBRE", "OCCUPÉ")</f>
        <v>OCCUPÉ</v>
      </c>
      <c r="I138" s="54" t="str">
        <f>IF(ISBLANK(Tableau!$M$138), "LIBRE", "OCCUPÉ")</f>
        <v>OCCUPÉ</v>
      </c>
      <c r="J138" s="54" t="str">
        <f>IF(ISBLANK(Tableau!$O$138), "LIBRE", "OCCUPÉ")</f>
        <v>LIBRE</v>
      </c>
      <c r="K138" s="54" t="str">
        <f>IF(ISBLANK(Tableau!$Q$138), "LIBRE", "OCCUPÉ")</f>
        <v>OCCUPÉ</v>
      </c>
      <c r="L138" s="52" t="str">
        <f>IF(ISBLANK(Tableau!$S$138), "LIBRE", "OCCUPÉ")</f>
        <v>OCCUPÉ</v>
      </c>
      <c r="M138" s="54" t="str">
        <f>IF(ISBLANK(Tableau!$U$138), "LIBRE", "OCCUPÉ")</f>
        <v>OCCUPÉ</v>
      </c>
      <c r="N138" s="54" t="str">
        <f>IF(ISBLANK(Tableau!$W$138), "LIBRE", "OCCUPÉ")</f>
        <v>LIBRE</v>
      </c>
      <c r="O138" s="54" t="str">
        <f>IF(ISBLANK(Tableau!$Y$138), "LIBRE", "OCCUPÉ")</f>
        <v>LIBRE</v>
      </c>
      <c r="P138" s="52" t="str">
        <f>IF(ISBLANK(Tableau!$AA$138), "LIBRE", "OCCUPÉ")</f>
        <v>LIBRE</v>
      </c>
      <c r="Q138" s="54" t="str">
        <f>IF(ISBLANK(Tableau!$AC$138), "LIBRE", "OCCUPÉ")</f>
        <v>OCCUPÉ</v>
      </c>
      <c r="R138" s="52" t="str">
        <f>IF(ISBLANK(Tableau!$AE$138), "LIBRE", "OCCUPÉ")</f>
        <v>LIBRE</v>
      </c>
      <c r="S138" s="54" t="str">
        <f>IF(ISBLANK(Tableau!$AG$138), "LIBRE", "OCCUPÉ")</f>
        <v>LIBRE</v>
      </c>
      <c r="T138" s="52" t="str">
        <f>IF(ISBLANK(Tableau!$AI$138), "LIBRE", "OCCUPÉ")</f>
        <v>LIBRE</v>
      </c>
      <c r="U138" s="54" t="str">
        <f>IF(ISBLANK(Tableau!$AK$138), "LIBRE", "OCCUPÉ")</f>
        <v>LIBRE</v>
      </c>
      <c r="V138" s="52" t="str">
        <f>IF(ISBLANK(Tableau!$AM$138), "LIBRE", "OCCUPÉ")</f>
        <v>LIBRE</v>
      </c>
      <c r="W138" s="54" t="str">
        <f>IF(ISBLANK(Tableau!$AO$138), "LIBRE", "OCCUPÉ")</f>
        <v>LIBRE</v>
      </c>
      <c r="X138" s="52" t="str">
        <f>IF(ISBLANK(Tableau!$AQ$138), "LIBRE", "OCCUPÉ")</f>
        <v>LIBRE</v>
      </c>
      <c r="Y138" s="52" t="str">
        <f>IF(ISBLANK(Tableau!$AS$138), "LIBRE", "OCCUPÉ")</f>
        <v>LIBRE</v>
      </c>
      <c r="Z138" s="52" t="str">
        <f>IF(ISBLANK(Tableau!$AU$138), "LIBRE", "OCCUPÉ")</f>
        <v>LIBRE</v>
      </c>
      <c r="AA138" s="52" t="str">
        <f>IF(ISBLANK(Tableau!$AW$138), "LIBRE", "OCCUPÉ")</f>
        <v>LIBRE</v>
      </c>
      <c r="AB138" s="76" t="str">
        <f>IF(ISBLANK(Tableau!$AY138), "LIBRE", "OCCUPÉ")</f>
        <v>LIBRE</v>
      </c>
      <c r="AC138" s="77"/>
    </row>
    <row r="139" ht="21.75" hidden="1" customHeight="1">
      <c r="A139" s="40">
        <f>Tableau!A139</f>
        <v>405</v>
      </c>
      <c r="B139" s="46" t="str">
        <f>VLOOKUP($A139,LocalisationRemorque,2,0)</f>
        <v>Thuin</v>
      </c>
      <c r="C139" s="47" t="str">
        <f>VLOOKUP($A139,LocalisationRemorque,3,0)</f>
        <v>Thuin N59</v>
      </c>
      <c r="D139" s="49" t="str">
        <f>CONCATENATE(VLOOKUP($A139,LocalisationRemorque,6,0)," ► ",VLOOKUP($A139,LocalisationRemorque,5,0))</f>
        <v>Thuin ► Charleroi</v>
      </c>
      <c r="E139" s="52" t="str">
        <f>IF(ISBLANK(Tableau!$E$139), "LIBRE", "OCCUPÉ")</f>
        <v>OCCUPÉ</v>
      </c>
      <c r="F139" s="54" t="str">
        <f>IF(ISBLANK(Tableau!$G$139), "LIBRE", "OCCUPÉ")</f>
        <v>LIBRE</v>
      </c>
      <c r="G139" s="52" t="str">
        <f>IF(ISBLANK(Tableau!$I$139), "LIBRE", "OCCUPÉ")</f>
        <v>LIBRE</v>
      </c>
      <c r="H139" s="52" t="str">
        <f>IF(ISBLANK(Tableau!$K$139), "LIBRE", "OCCUPÉ")</f>
        <v>LIBRE</v>
      </c>
      <c r="I139" s="52" t="str">
        <f>IF(ISBLANK(Tableau!$M$139), "LIBRE", "OCCUPÉ")</f>
        <v>LIBRE</v>
      </c>
      <c r="J139" s="52" t="str">
        <f>IF(ISBLANK(Tableau!$O$139), "LIBRE", "OCCUPÉ")</f>
        <v>LIBRE</v>
      </c>
      <c r="K139" s="54" t="str">
        <f>IF(ISBLANK(Tableau!$Q$139), "LIBRE", "OCCUPÉ")</f>
        <v>OCCUPÉ</v>
      </c>
      <c r="L139" s="52" t="str">
        <f>IF(ISBLANK(Tableau!$S$139), "LIBRE", "OCCUPÉ")</f>
        <v>LIBRE</v>
      </c>
      <c r="M139" s="54" t="str">
        <f>IF(ISBLANK(Tableau!$U$139), "LIBRE", "OCCUPÉ")</f>
        <v>LIBRE</v>
      </c>
      <c r="N139" s="54" t="str">
        <f>IF(ISBLANK(Tableau!$W$139), "LIBRE", "OCCUPÉ")</f>
        <v>LIBRE</v>
      </c>
      <c r="O139" s="54" t="str">
        <f>IF(ISBLANK(Tableau!$Y$139), "LIBRE", "OCCUPÉ")</f>
        <v>OCCUPÉ</v>
      </c>
      <c r="P139" s="52" t="str">
        <f>IF(ISBLANK(Tableau!$AA$139), "LIBRE", "OCCUPÉ")</f>
        <v>LIBRE</v>
      </c>
      <c r="Q139" s="54" t="str">
        <f>IF(ISBLANK(Tableau!$AC$139), "LIBRE", "OCCUPÉ")</f>
        <v>LIBRE</v>
      </c>
      <c r="R139" s="54" t="str">
        <f>IF(ISBLANK(Tableau!$AE$139), "LIBRE", "OCCUPÉ")</f>
        <v>LIBRE</v>
      </c>
      <c r="S139" s="52" t="str">
        <f>IF(ISBLANK(Tableau!$AG$139), "LIBRE", "OCCUPÉ")</f>
        <v>LIBRE</v>
      </c>
      <c r="T139" s="52" t="str">
        <f>IF(ISBLANK(Tableau!$AI$139), "LIBRE", "OCCUPÉ")</f>
        <v>LIBRE</v>
      </c>
      <c r="U139" s="52" t="str">
        <f>IF(ISBLANK(Tableau!$AK$139), "LIBRE", "OCCUPÉ")</f>
        <v>LIBRE</v>
      </c>
      <c r="V139" s="52" t="str">
        <f>IF(ISBLANK(Tableau!$AM$139), "LIBRE", "OCCUPÉ")</f>
        <v>LIBRE</v>
      </c>
      <c r="W139" s="52" t="str">
        <f>IF(ISBLANK(Tableau!$AO$139), "LIBRE", "OCCUPÉ")</f>
        <v>LIBRE</v>
      </c>
      <c r="X139" s="52" t="str">
        <f>IF(ISBLANK(Tableau!$AQ$139), "LIBRE", "OCCUPÉ")</f>
        <v>LIBRE</v>
      </c>
      <c r="Y139" s="52" t="str">
        <f>IF(ISBLANK(Tableau!$AS$139), "LIBRE", "OCCUPÉ")</f>
        <v>LIBRE</v>
      </c>
      <c r="Z139" s="52" t="str">
        <f>IF(ISBLANK(Tableau!$AU$139), "LIBRE", "OCCUPÉ")</f>
        <v>OCCUPÉ</v>
      </c>
      <c r="AA139" s="52" t="str">
        <f>IF(ISBLANK(Tableau!$AW$139), "LIBRE", "OCCUPÉ")</f>
        <v>LIBRE</v>
      </c>
      <c r="AB139" s="76" t="str">
        <f>IF(ISBLANK(Tableau!$AY139), "LIBRE", "OCCUPÉ")</f>
        <v>OCCUPÉ</v>
      </c>
      <c r="AC139" s="88"/>
    </row>
    <row r="140" ht="21.75" hidden="1" customHeight="1">
      <c r="A140" s="72">
        <f>Tableau!A140</f>
        <v>406</v>
      </c>
      <c r="B140" s="73" t="str">
        <f>VLOOKUP($A140,LocalisationRemorque,2,0)</f>
        <v>Gozée</v>
      </c>
      <c r="C140" s="74" t="str">
        <f>VLOOKUP($A140,LocalisationRemorque,3,0)</f>
        <v>N53  Charleroi - Beaumont</v>
      </c>
      <c r="D140" s="75" t="str">
        <f>CONCATENATE(VLOOKUP($A140,LocalisationRemorque,6,0)," ► ",VLOOKUP($A140,LocalisationRemorque,5,0))</f>
        <v>Beaumont ► Charleroi</v>
      </c>
      <c r="E140" s="52" t="str">
        <f>IF(ISBLANK(Tableau!$E$140), "LIBRE", "OCCUPÉ")</f>
        <v>LIBRE</v>
      </c>
      <c r="F140" s="52" t="str">
        <f>IF(ISBLANK(Tableau!$G$140), "LIBRE", "OCCUPÉ")</f>
        <v>LIBRE</v>
      </c>
      <c r="G140" s="52" t="str">
        <f>IF(ISBLANK(Tableau!$I$140), "LIBRE", "OCCUPÉ")</f>
        <v>LIBRE</v>
      </c>
      <c r="H140" s="52" t="str">
        <f>IF(ISBLANK(Tableau!$K$140), "LIBRE", "OCCUPÉ")</f>
        <v>LIBRE</v>
      </c>
      <c r="I140" s="54" t="str">
        <f>IF(ISBLANK(Tableau!$M$140), "LIBRE", "OCCUPÉ")</f>
        <v>LIBRE</v>
      </c>
      <c r="J140" s="54" t="str">
        <f>IF(ISBLANK(Tableau!$O$140), "LIBRE", "OCCUPÉ")</f>
        <v>LIBRE</v>
      </c>
      <c r="K140" s="54" t="str">
        <f>IF(ISBLANK(Tableau!$Q$140), "LIBRE", "OCCUPÉ")</f>
        <v>LIBRE</v>
      </c>
      <c r="L140" s="52" t="str">
        <f>IF(ISBLANK(Tableau!$S$140), "LIBRE", "OCCUPÉ")</f>
        <v>LIBRE</v>
      </c>
      <c r="M140" s="54" t="str">
        <f>IF(ISBLANK(Tableau!$U$140), "LIBRE", "OCCUPÉ")</f>
        <v>LIBRE</v>
      </c>
      <c r="N140" s="52" t="str">
        <f>IF(ISBLANK(Tableau!$W$140), "LIBRE", "OCCUPÉ")</f>
        <v>LIBRE</v>
      </c>
      <c r="O140" s="54" t="str">
        <f>IF(ISBLANK(Tableau!$Y$140), "LIBRE", "OCCUPÉ")</f>
        <v>LIBRE</v>
      </c>
      <c r="P140" s="52" t="str">
        <f>IF(ISBLANK(Tableau!$AA$140), "LIBRE", "OCCUPÉ")</f>
        <v>LIBRE</v>
      </c>
      <c r="Q140" s="52" t="str">
        <f>IF(ISBLANK(Tableau!$AC$140), "LIBRE", "OCCUPÉ")</f>
        <v>LIBRE</v>
      </c>
      <c r="R140" s="52" t="str">
        <f>IF(ISBLANK(Tableau!$AE$140), "LIBRE", "OCCUPÉ")</f>
        <v>LIBRE</v>
      </c>
      <c r="S140" s="52" t="str">
        <f>IF(ISBLANK(Tableau!$AG$140), "LIBRE", "OCCUPÉ")</f>
        <v>LIBRE</v>
      </c>
      <c r="T140" s="52" t="str">
        <f>IF(ISBLANK(Tableau!$AI$140), "LIBRE", "OCCUPÉ")</f>
        <v>LIBRE</v>
      </c>
      <c r="U140" s="52" t="str">
        <f>IF(ISBLANK(Tableau!$AK$140), "LIBRE", "OCCUPÉ")</f>
        <v>LIBRE</v>
      </c>
      <c r="V140" s="54" t="str">
        <f>IF(ISBLANK(Tableau!$AM$140), "LIBRE", "OCCUPÉ")</f>
        <v>LIBRE</v>
      </c>
      <c r="W140" s="54" t="str">
        <f>IF(ISBLANK(Tableau!$AO$140), "LIBRE", "OCCUPÉ")</f>
        <v>LIBRE</v>
      </c>
      <c r="X140" s="52" t="str">
        <f>IF(ISBLANK(Tableau!$AQ$140), "LIBRE", "OCCUPÉ")</f>
        <v>LIBRE</v>
      </c>
      <c r="Y140" s="52" t="str">
        <f>IF(ISBLANK(Tableau!$AS$140), "LIBRE", "OCCUPÉ")</f>
        <v>LIBRE</v>
      </c>
      <c r="Z140" s="52" t="str">
        <f>IF(ISBLANK(Tableau!$AU$140), "LIBRE", "OCCUPÉ")</f>
        <v>LIBRE</v>
      </c>
      <c r="AA140" s="54" t="str">
        <f>IF(ISBLANK(Tableau!$AW$140), "LIBRE", "OCCUPÉ")</f>
        <v>LIBRE</v>
      </c>
      <c r="AB140" s="76" t="str">
        <f>IF(ISBLANK(Tableau!$AY140), "LIBRE", "OCCUPÉ")</f>
        <v>LIBRE</v>
      </c>
      <c r="AC140" s="155"/>
    </row>
    <row r="141" ht="21.75" hidden="1" customHeight="1">
      <c r="A141" s="114">
        <f>Tableau!A141</f>
        <v>407</v>
      </c>
      <c r="B141" s="115" t="str">
        <f>VLOOKUP($A141,LocalisationRemorque,2,0)</f>
        <v>Anderlues</v>
      </c>
      <c r="C141" s="116" t="str">
        <f>VLOOKUP($A141,LocalisationRemorque,3,0)</f>
        <v>Morlanwelz 1</v>
      </c>
      <c r="D141" s="117" t="str">
        <f>CONCATENATE(VLOOKUP($A141,LocalisationRemorque,6,0)," ► ",VLOOKUP($A141,LocalisationRemorque,5,0))</f>
        <v>Anderlues ► E42</v>
      </c>
      <c r="E141" s="52" t="str">
        <f>IF(ISBLANK(Tableau!$E$141), "LIBRE", "OCCUPÉ")</f>
        <v>OCCUPÉ</v>
      </c>
      <c r="F141" s="52" t="str">
        <f>IF(ISBLANK(Tableau!$G$141), "LIBRE", "OCCUPÉ")</f>
        <v>LIBRE</v>
      </c>
      <c r="G141" s="52" t="str">
        <f>IF(ISBLANK(#REF!), "LIBRE", "OCCUPÉ")</f>
        <v>OCCUPÉ</v>
      </c>
      <c r="H141" s="52" t="str">
        <f>IF(ISBLANK(Tableau!$K$141), "LIBRE", "OCCUPÉ")</f>
        <v>LIBRE</v>
      </c>
      <c r="I141" s="52" t="str">
        <f>IF(ISBLANK(Tableau!$M$141), "LIBRE", "OCCUPÉ")</f>
        <v>OCCUPÉ</v>
      </c>
      <c r="J141" s="52" t="str">
        <f>IF(ISBLANK(Tableau!$O$141), "LIBRE", "OCCUPÉ")</f>
        <v>LIBRE</v>
      </c>
      <c r="K141" s="52" t="str">
        <f>IF(ISBLANK(#REF!), "LIBRE", "OCCUPÉ")</f>
        <v>OCCUPÉ</v>
      </c>
      <c r="L141" s="52" t="str">
        <f>IF(ISBLANK(Tableau!$S$141), "LIBRE", "OCCUPÉ")</f>
        <v>LIBRE</v>
      </c>
      <c r="M141" s="52" t="str">
        <f>IF(ISBLANK(Tableau!$U$141), "LIBRE", "OCCUPÉ")</f>
        <v>OCCUPÉ</v>
      </c>
      <c r="N141" s="52" t="str">
        <f>IF(ISBLANK(Tableau!$W$141), "LIBRE", "OCCUPÉ")</f>
        <v>OCCUPÉ</v>
      </c>
      <c r="O141" s="52" t="str">
        <f>IF(ISBLANK(Tableau!$Y$141), "LIBRE", "OCCUPÉ")</f>
        <v>LIBRE</v>
      </c>
      <c r="P141" s="52" t="str">
        <f>IF(ISBLANK(Tableau!$AA$141), "LIBRE", "OCCUPÉ")</f>
        <v>LIBRE</v>
      </c>
      <c r="Q141" s="422" t="str">
        <f>IF(ISBLANK(Tableau!$AC$141), "LIBRE", "OCCUPÉ")</f>
        <v>LIBRE</v>
      </c>
      <c r="R141" s="54" t="str">
        <f>IF(ISBLANK(Tableau!$AE$141), "LIBRE", "OCCUPÉ")</f>
        <v>LIBRE</v>
      </c>
      <c r="S141" s="422" t="str">
        <f>IF(ISBLANK(Tableau!$AG$141), "LIBRE", "OCCUPÉ")</f>
        <v>LIBRE</v>
      </c>
      <c r="T141" s="52" t="str">
        <f>IF(ISBLANK(Tableau!$AI$141), "LIBRE", "OCCUPÉ")</f>
        <v>LIBRE</v>
      </c>
      <c r="U141" s="422" t="str">
        <f>IF(ISBLANK(Tableau!$AK$141), "LIBRE", "OCCUPÉ")</f>
        <v>LIBRE</v>
      </c>
      <c r="V141" s="54" t="str">
        <f>IF(ISBLANK(Tableau!$AM$141), "LIBRE", "OCCUPÉ")</f>
        <v>LIBRE</v>
      </c>
      <c r="W141" s="422" t="str">
        <f>IF(ISBLANK(Tableau!$AO$141), "LIBRE", "OCCUPÉ")</f>
        <v>LIBRE</v>
      </c>
      <c r="X141" s="54" t="str">
        <f>IF(ISBLANK(Tableau!$AQ$141), "LIBRE", "OCCUPÉ")</f>
        <v>LIBRE</v>
      </c>
      <c r="Y141" s="423" t="str">
        <f>IF(ISBLANK(Tableau!$AS$141), "LIBRE", "OCCUPÉ")</f>
        <v>OCCUPÉ</v>
      </c>
      <c r="Z141" s="52" t="str">
        <f>IF(ISBLANK(Tableau!$AU$141), "LIBRE", "OCCUPÉ")</f>
        <v>LIBRE</v>
      </c>
      <c r="AA141" s="422" t="str">
        <f>IF(ISBLANK(Tableau!$AW$141), "LIBRE", "OCCUPÉ")</f>
        <v>LIBRE</v>
      </c>
      <c r="AB141" s="76" t="str">
        <f>IF(ISBLANK(Tableau!$AY141), "LIBRE", "OCCUPÉ")</f>
        <v>LIBRE</v>
      </c>
      <c r="AC141" s="417"/>
    </row>
    <row r="142" ht="21.75" hidden="1" customHeight="1">
      <c r="A142" s="114">
        <f>Tableau!A142</f>
        <v>408</v>
      </c>
      <c r="B142" s="115" t="str">
        <f>VLOOKUP($A142,LocalisationRemorque,2,0)</f>
        <v>Anderlues</v>
      </c>
      <c r="C142" s="116" t="str">
        <f>VLOOKUP($A142,LocalisationRemorque,3,0)</f>
        <v>Morlanwelz 2</v>
      </c>
      <c r="D142" s="117" t="str">
        <f>CONCATENATE(VLOOKUP($A142,LocalisationRemorque,6,0)," ► ",VLOOKUP($A142,LocalisationRemorque,5,0))</f>
        <v>Anderlues ► E42</v>
      </c>
      <c r="E142" s="52" t="str">
        <f>IF(ISBLANK(Tableau!$E$142), "LIBRE", "OCCUPÉ")</f>
        <v>OCCUPÉ</v>
      </c>
      <c r="F142" s="52" t="str">
        <f>IF(ISBLANK(Tableau!$G$142), "LIBRE", "OCCUPÉ")</f>
        <v>LIBRE</v>
      </c>
      <c r="G142" s="52" t="str">
        <f>IF(ISBLANK(Tableau!$I$141), "LIBRE", "OCCUPÉ")</f>
        <v>OCCUPÉ</v>
      </c>
      <c r="H142" s="52" t="str">
        <f>IF(ISBLANK(Tableau!$K$142), "LIBRE", "OCCUPÉ")</f>
        <v>LIBRE</v>
      </c>
      <c r="I142" s="52" t="str">
        <f>IF(ISBLANK(Tableau!$M$142), "LIBRE", "OCCUPÉ")</f>
        <v>OCCUPÉ</v>
      </c>
      <c r="J142" s="52" t="str">
        <f>IF(ISBLANK(Tableau!$O$142), "LIBRE", "OCCUPÉ")</f>
        <v>LIBRE</v>
      </c>
      <c r="K142" s="52" t="str">
        <f>IF(ISBLANK(Tableau!$Q$141), "LIBRE", "OCCUPÉ")</f>
        <v>OCCUPÉ</v>
      </c>
      <c r="L142" s="52" t="str">
        <f>IF(ISBLANK(Tableau!$S$142), "LIBRE", "OCCUPÉ")</f>
        <v>LIBRE</v>
      </c>
      <c r="M142" s="52" t="str">
        <f>IF(ISBLANK(Tableau!$U$142), "LIBRE", "OCCUPÉ")</f>
        <v>OCCUPÉ</v>
      </c>
      <c r="N142" s="52" t="str">
        <f>IF(ISBLANK(Tableau!$W$142), "LIBRE", "OCCUPÉ")</f>
        <v>LIBRE</v>
      </c>
      <c r="O142" s="52" t="str">
        <f>IF(ISBLANK(Tableau!$Y$142), "LIBRE", "OCCUPÉ")</f>
        <v>OCCUPÉ</v>
      </c>
      <c r="P142" s="52" t="str">
        <f>IF(ISBLANK(Tableau!$AA$142), "LIBRE", "OCCUPÉ")</f>
        <v>LIBRE</v>
      </c>
      <c r="Q142" s="423" t="str">
        <f>IF(ISBLANK(Tableau!$AC$142), "LIBRE", "OCCUPÉ")</f>
        <v>LIBRE</v>
      </c>
      <c r="R142" s="52" t="str">
        <f>IF(ISBLANK(Tableau!$AE$142), "LIBRE", "OCCUPÉ")</f>
        <v>LIBRE</v>
      </c>
      <c r="S142" s="423" t="str">
        <f>IF(ISBLANK(Tableau!$AG$142), "LIBRE", "OCCUPÉ")</f>
        <v>LIBRE</v>
      </c>
      <c r="T142" s="52" t="str">
        <f>IF(ISBLANK(Tableau!$AI$142), "LIBRE", "OCCUPÉ")</f>
        <v>LIBRE</v>
      </c>
      <c r="U142" s="423" t="str">
        <f>IF(ISBLANK(Tableau!$AK$142), "LIBRE", "OCCUPÉ")</f>
        <v>LIBRE</v>
      </c>
      <c r="V142" s="52" t="str">
        <f>IF(ISBLANK(Tableau!$AM$142), "LIBRE", "OCCUPÉ")</f>
        <v>LIBRE</v>
      </c>
      <c r="W142" s="422" t="str">
        <f>IF(ISBLANK(Tableau!$AO$142), "LIBRE", "OCCUPÉ")</f>
        <v>OCCUPÉ</v>
      </c>
      <c r="X142" s="54" t="str">
        <f>IF(ISBLANK(Tableau!$AQ$142), "LIBRE", "OCCUPÉ")</f>
        <v>LIBRE</v>
      </c>
      <c r="Y142" s="423" t="str">
        <f>IF(ISBLANK(Tableau!$AS$142), "LIBRE", "OCCUPÉ")</f>
        <v>LIBRE</v>
      </c>
      <c r="Z142" s="52" t="str">
        <f>IF(ISBLANK(Tableau!$AU$142), "LIBRE", "OCCUPÉ")</f>
        <v>LIBRE</v>
      </c>
      <c r="AA142" s="423" t="str">
        <f>IF(ISBLANK(Tableau!$AW$142), "LIBRE", "OCCUPÉ")</f>
        <v>LIBRE</v>
      </c>
      <c r="AB142" s="76" t="str">
        <f>IF(ISBLANK(Tableau!$AY142), "LIBRE", "OCCUPÉ")</f>
        <v>LIBRE</v>
      </c>
      <c r="AC142" s="417"/>
    </row>
    <row r="143" ht="21.75" hidden="1" customHeight="1">
      <c r="A143" s="114">
        <f>Tableau!A143</f>
        <v>409</v>
      </c>
      <c r="B143" s="115" t="str">
        <f>VLOOKUP($A143,LocalisationRemorque,2,0)</f>
        <v>Nivelles</v>
      </c>
      <c r="C143" s="116" t="str">
        <f>VLOOKUP($A143,LocalisationRemorque,3,0)</f>
        <v>Buzet</v>
      </c>
      <c r="D143" s="117" t="str">
        <f>CONCATENATE(VLOOKUP($A143,LocalisationRemorque,6,0)," ► ",VLOOKUP($A143,LocalisationRemorque,5,0))</f>
        <v>Nivelles ► Charleroi</v>
      </c>
      <c r="E143" s="52" t="str">
        <f>IF(ISBLANK(Tableau!$E$143), "LIBRE", "OCCUPÉ")</f>
        <v>LIBRE</v>
      </c>
      <c r="F143" s="52" t="str">
        <f>IF(ISBLANK(Tableau!$G$143), "LIBRE", "OCCUPÉ")</f>
        <v>LIBRE</v>
      </c>
      <c r="G143" s="52" t="str">
        <f>IF(ISBLANK(Tableau!$I$143), "LIBRE", "OCCUPÉ")</f>
        <v>LIBRE</v>
      </c>
      <c r="H143" s="52" t="str">
        <f>IF(ISBLANK(Tableau!$K$143), "LIBRE", "OCCUPÉ")</f>
        <v>LIBRE</v>
      </c>
      <c r="I143" s="52" t="str">
        <f>IF(ISBLANK(Tableau!$M$143), "LIBRE", "OCCUPÉ")</f>
        <v>LIBRE</v>
      </c>
      <c r="J143" s="52" t="str">
        <f>IF(ISBLANK(Tableau!$O$143), "LIBRE", "OCCUPÉ")</f>
        <v>OCCUPÉ</v>
      </c>
      <c r="K143" s="52" t="str">
        <f>IF(ISBLANK(Tableau!$Q$143), "LIBRE", "OCCUPÉ")</f>
        <v>LIBRE</v>
      </c>
      <c r="L143" s="52" t="str">
        <f>IF(ISBLANK(Tableau!$S$143), "LIBRE", "OCCUPÉ")</f>
        <v>LIBRE</v>
      </c>
      <c r="M143" s="52" t="str">
        <f>IF(ISBLANK(Tableau!$U$143), "LIBRE", "OCCUPÉ")</f>
        <v>LIBRE</v>
      </c>
      <c r="N143" s="52" t="str">
        <f>IF(ISBLANK(Tableau!$W$143), "LIBRE", "OCCUPÉ")</f>
        <v>LIBRE</v>
      </c>
      <c r="O143" s="52" t="str">
        <f>IF(ISBLANK(Tableau!$Y$143), "LIBRE", "OCCUPÉ")</f>
        <v>LIBRE</v>
      </c>
      <c r="P143" s="52" t="str">
        <f>IF(ISBLANK(Tableau!$AA$143), "LIBRE", "OCCUPÉ")</f>
        <v>OCCUPÉ</v>
      </c>
      <c r="Q143" s="423" t="str">
        <f>IF(ISBLANK(Tableau!$AC$143), "LIBRE", "OCCUPÉ")</f>
        <v>LIBRE</v>
      </c>
      <c r="R143" s="52" t="str">
        <f>IF(ISBLANK(Tableau!$AE$143), "LIBRE", "OCCUPÉ")</f>
        <v>OCCUPÉ</v>
      </c>
      <c r="S143" s="423" t="str">
        <f>IF(ISBLANK(Tableau!$AG$143), "LIBRE", "OCCUPÉ")</f>
        <v>LIBRE</v>
      </c>
      <c r="T143" s="52" t="str">
        <f>IF(ISBLANK(Tableau!$AI$143), "LIBRE", "OCCUPÉ")</f>
        <v>LIBRE</v>
      </c>
      <c r="U143" s="423" t="str">
        <f>IF(ISBLANK(Tableau!$AK$143), "LIBRE", "OCCUPÉ")</f>
        <v>LIBRE</v>
      </c>
      <c r="V143" s="52" t="str">
        <f>IF(ISBLANK(Tableau!$AM$143), "LIBRE", "OCCUPÉ")</f>
        <v>OCCUPÉ</v>
      </c>
      <c r="W143" s="422" t="str">
        <f>IF(ISBLANK(Tableau!$AO$143), "LIBRE", "OCCUPÉ")</f>
        <v>LIBRE</v>
      </c>
      <c r="X143" s="54" t="str">
        <f>IF(ISBLANK(Tableau!$AQ$143), "LIBRE", "OCCUPÉ")</f>
        <v>LIBRE</v>
      </c>
      <c r="Y143" s="423" t="str">
        <f>IF(ISBLANK(Tableau!$AS$143), "LIBRE", "OCCUPÉ")</f>
        <v>LIBRE</v>
      </c>
      <c r="Z143" s="52" t="str">
        <f>IF(ISBLANK(Tableau!$AU$143), "LIBRE", "OCCUPÉ")</f>
        <v>OCCUPÉ</v>
      </c>
      <c r="AA143" s="423" t="str">
        <f>IF(ISBLANK(Tableau!$AW$143), "LIBRE", "OCCUPÉ")</f>
        <v>LIBRE</v>
      </c>
      <c r="AB143" s="76" t="str">
        <f>IF(ISBLANK(Tableau!$AY143), "LIBRE", "OCCUPÉ")</f>
        <v>LIBRE</v>
      </c>
      <c r="AC143" s="118"/>
    </row>
    <row r="144" ht="21.75" hidden="1" customHeight="1">
      <c r="A144" s="114">
        <f>Tableau!A144</f>
        <v>415</v>
      </c>
      <c r="B144" s="115" t="str">
        <f>VLOOKUP($A144,LocalisationRemorque,2,0)</f>
        <v>Binche</v>
      </c>
      <c r="C144" s="116" t="str">
        <f>VLOOKUP($A144,LocalisationRemorque,3,0)</f>
        <v>Péronnes-lez-Binche</v>
      </c>
      <c r="D144" s="117" t="str">
        <f>CONCATENATE(VLOOKUP($A144,LocalisationRemorque,6,0)," ► ",VLOOKUP($A144,LocalisationRemorque,5,0))</f>
        <v>Binche ► La Louvière</v>
      </c>
      <c r="E144" s="52" t="str">
        <f>IF(ISBLANK(Tableau!$E$144), "LIBRE", "OCCUPÉ")</f>
        <v>OCCUPÉ</v>
      </c>
      <c r="F144" s="52" t="str">
        <f>IF(ISBLANK(Tableau!$G$144), "LIBRE", "OCCUPÉ")</f>
        <v>LIBRE</v>
      </c>
      <c r="G144" s="52" t="str">
        <f>IF(ISBLANK(Tableau!$I$144), "LIBRE", "OCCUPÉ")</f>
        <v>OCCUPÉ</v>
      </c>
      <c r="H144" s="52" t="str">
        <f>IF(ISBLANK(Tableau!$K$144), "LIBRE", "OCCUPÉ")</f>
        <v>LIBRE</v>
      </c>
      <c r="I144" s="52" t="str">
        <f>IF(ISBLANK(Tableau!$M$144), "LIBRE", "OCCUPÉ")</f>
        <v>OCCUPÉ</v>
      </c>
      <c r="J144" s="52" t="str">
        <f>IF(ISBLANK(Tableau!$O$144), "LIBRE", "OCCUPÉ")</f>
        <v>LIBRE</v>
      </c>
      <c r="K144" s="52" t="str">
        <f>IF(ISBLANK(Tableau!$Q$144), "LIBRE", "OCCUPÉ")</f>
        <v>OCCUPÉ</v>
      </c>
      <c r="L144" s="52" t="str">
        <f>IF(ISBLANK(Tableau!$S$144), "LIBRE", "OCCUPÉ")</f>
        <v>LIBRE</v>
      </c>
      <c r="M144" s="52" t="str">
        <f>IF(ISBLANK(Tableau!$U$144), "LIBRE", "OCCUPÉ")</f>
        <v>OCCUPÉ</v>
      </c>
      <c r="N144" s="52" t="str">
        <f>IF(ISBLANK(Tableau!$W$144), "LIBRE", "OCCUPÉ")</f>
        <v>LIBRE</v>
      </c>
      <c r="O144" s="52" t="str">
        <f>IF(ISBLANK(Tableau!$Y$144), "LIBRE", "OCCUPÉ")</f>
        <v>LIBRE</v>
      </c>
      <c r="P144" s="52" t="str">
        <f>IF(ISBLANK(Tableau!$AA$144), "LIBRE", "OCCUPÉ")</f>
        <v>LIBRE</v>
      </c>
      <c r="Q144" s="423" t="str">
        <f>IF(ISBLANK(Tableau!$AC$144), "LIBRE", "OCCUPÉ")</f>
        <v>LIBRE</v>
      </c>
      <c r="R144" s="52" t="str">
        <f>IF(ISBLANK(Tableau!$AE$144), "LIBRE", "OCCUPÉ")</f>
        <v>LIBRE</v>
      </c>
      <c r="S144" s="423" t="str">
        <f>IF(ISBLANK(Tableau!$AG$144), "LIBRE", "OCCUPÉ")</f>
        <v>LIBRE</v>
      </c>
      <c r="T144" s="52" t="str">
        <f>IF(ISBLANK(Tableau!$AI$144), "LIBRE", "OCCUPÉ")</f>
        <v>LIBRE</v>
      </c>
      <c r="U144" s="423" t="str">
        <f>IF(ISBLANK(Tableau!$AK$144), "LIBRE", "OCCUPÉ")</f>
        <v>LIBRE</v>
      </c>
      <c r="V144" s="52" t="str">
        <f>IF(ISBLANK(Tableau!$AM$144), "LIBRE", "OCCUPÉ")</f>
        <v>LIBRE</v>
      </c>
      <c r="W144" s="422" t="str">
        <f>IF(ISBLANK(Tableau!$AO$144), "LIBRE", "OCCUPÉ")</f>
        <v>LIBRE</v>
      </c>
      <c r="X144" s="54" t="str">
        <f>IF(ISBLANK(Tableau!$AQ$144), "LIBRE", "OCCUPÉ")</f>
        <v>LIBRE</v>
      </c>
      <c r="Y144" s="423" t="str">
        <f>IF(ISBLANK(Tableau!$AS$144), "LIBRE", "OCCUPÉ")</f>
        <v>LIBRE</v>
      </c>
      <c r="Z144" s="52" t="str">
        <f>IF(ISBLANK(Tableau!$AU$144), "LIBRE", "OCCUPÉ")</f>
        <v>LIBRE</v>
      </c>
      <c r="AA144" s="423" t="str">
        <f>IF(ISBLANK(Tableau!$AW$144), "LIBRE", "OCCUPÉ")</f>
        <v>LIBRE</v>
      </c>
      <c r="AB144" s="76" t="str">
        <f>IF(ISBLANK(Tableau!$AY144), "LIBRE", "OCCUPÉ")</f>
        <v>LIBRE</v>
      </c>
      <c r="AC144" s="417"/>
    </row>
    <row r="145" ht="21.75" hidden="1" customHeight="1">
      <c r="A145" s="114" t="str">
        <f>Tableau!A145</f>
        <v/>
      </c>
      <c r="B145" s="121"/>
      <c r="C145" s="121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21"/>
      <c r="AC145" s="118"/>
    </row>
    <row r="146" ht="21.75" hidden="1" customHeight="1">
      <c r="A146" s="114" t="str">
        <f>Tableau!A146</f>
        <v/>
      </c>
      <c r="B146" s="121"/>
      <c r="C146" s="121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21"/>
      <c r="AC146" s="417"/>
    </row>
    <row r="147" ht="21.75" hidden="1" customHeight="1">
      <c r="A147" s="114" t="str">
        <f>Tableau!A147</f>
        <v/>
      </c>
      <c r="B147" s="121"/>
      <c r="C147" s="121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21"/>
      <c r="AC147" s="417"/>
    </row>
    <row r="148" ht="21.75" hidden="1" customHeight="1">
      <c r="A148" s="114" t="str">
        <f>Tableau!A148</f>
        <v/>
      </c>
      <c r="B148" s="121"/>
      <c r="C148" s="121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21"/>
      <c r="AC148" s="417"/>
    </row>
    <row r="149" ht="21.75" hidden="1" customHeight="1">
      <c r="A149" s="114" t="str">
        <f>Tableau!A149</f>
        <v/>
      </c>
      <c r="B149" s="121"/>
      <c r="C149" s="121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21"/>
      <c r="AC149" s="417"/>
    </row>
    <row r="150" ht="21.75" hidden="1" customHeight="1">
      <c r="A150" s="114" t="str">
        <f>Tableau!A150</f>
        <v/>
      </c>
      <c r="B150" s="121"/>
      <c r="C150" s="121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21"/>
      <c r="AC150" s="417"/>
    </row>
    <row r="151" ht="21.75" hidden="1" customHeight="1">
      <c r="A151" s="114" t="str">
        <f>Tableau!A151</f>
        <v/>
      </c>
      <c r="B151" s="121"/>
      <c r="C151" s="121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21"/>
      <c r="AC151" s="417"/>
    </row>
    <row r="152" ht="21.75" hidden="1" customHeight="1">
      <c r="A152" s="114" t="str">
        <f>Tableau!A152</f>
        <v/>
      </c>
      <c r="B152" s="121"/>
      <c r="C152" s="121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21"/>
      <c r="AC152" s="417"/>
    </row>
    <row r="153" ht="21.75" hidden="1" customHeight="1">
      <c r="A153" s="114" t="str">
        <f>Tableau!A153</f>
        <v/>
      </c>
      <c r="B153" s="121"/>
      <c r="C153" s="121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21"/>
      <c r="AC153" s="417"/>
    </row>
    <row r="154" ht="21.75" hidden="1" customHeight="1">
      <c r="A154" s="424">
        <f>Tableau!A154</f>
        <v>501</v>
      </c>
      <c r="B154" s="425" t="str">
        <f>VLOOKUP($A154,LocalisationRemorque,2,0)</f>
        <v>Habay-La-Neuve</v>
      </c>
      <c r="C154" s="426" t="str">
        <f>VLOOKUP($A154,LocalisationRemorque,3,0)</f>
        <v>Truck center</v>
      </c>
      <c r="D154" s="427" t="str">
        <f>CONCATENATE(VLOOKUP($A154,LocalisationRemorque,6,0)," ► ",VLOOKUP($A154,LocalisationRemorque,5,0))</f>
        <v>Habay-La-Neuve ► Étalle</v>
      </c>
      <c r="E154" s="52" t="str">
        <f>IF(ISBLANK(Tableau!$E$154), "LIBRE", "OCCUPÉ")</f>
        <v>LIBRE</v>
      </c>
      <c r="F154" s="54" t="str">
        <f>IF(ISBLANK(Tableau!$G$154), "LIBRE", "OCCUPÉ")</f>
        <v>OCCUPÉ</v>
      </c>
      <c r="G154" s="52" t="str">
        <f>IF(ISBLANK(Tableau!$I$154), "LIBRE", "OCCUPÉ")</f>
        <v>LIBRE</v>
      </c>
      <c r="H154" s="54" t="str">
        <f>IF(ISBLANK(Tableau!$K$154), "LIBRE", "OCCUPÉ")</f>
        <v>OCCUPÉ</v>
      </c>
      <c r="I154" s="54" t="str">
        <f>IF(ISBLANK(Tableau!$M$154), "LIBRE", "OCCUPÉ")</f>
        <v>LIBRE</v>
      </c>
      <c r="J154" s="54" t="str">
        <f>IF(ISBLANK(Tableau!$O$154), "LIBRE", "OCCUPÉ")</f>
        <v>OCCUPÉ</v>
      </c>
      <c r="K154" s="54" t="str">
        <f>IF(ISBLANK(Tableau!$Q$154), "LIBRE", "OCCUPÉ")</f>
        <v>LIBRE</v>
      </c>
      <c r="L154" s="54" t="str">
        <f>IF(ISBLANK(Tableau!$S$154), "LIBRE", "OCCUPÉ")</f>
        <v>OCCUPÉ</v>
      </c>
      <c r="M154" s="54" t="str">
        <f>IF(ISBLANK(Tableau!$U$154), "LIBRE", "OCCUPÉ")</f>
        <v>LIBRE</v>
      </c>
      <c r="N154" s="54" t="str">
        <f>IF(ISBLANK(Tableau!$W$154), "LIBRE", "OCCUPÉ")</f>
        <v>OCCUPÉ</v>
      </c>
      <c r="O154" s="52" t="str">
        <f>IF(ISBLANK(Tableau!$Y$154), "LIBRE", "OCCUPÉ")</f>
        <v>LIBRE</v>
      </c>
      <c r="P154" s="54" t="str">
        <f>IF(ISBLANK(Tableau!$AA$154), "LIBRE", "OCCUPÉ")</f>
        <v>OCCUPÉ</v>
      </c>
      <c r="Q154" s="52" t="str">
        <f>IF(ISBLANK(Tableau!$AC$154), "LIBRE", "OCCUPÉ")</f>
        <v>LIBRE</v>
      </c>
      <c r="R154" s="54" t="str">
        <f>IF(ISBLANK(Tableau!$AE$154), "LIBRE", "OCCUPÉ")</f>
        <v>OCCUPÉ</v>
      </c>
      <c r="S154" s="52" t="str">
        <f>IF(ISBLANK(Tableau!$AG$154), "LIBRE", "OCCUPÉ")</f>
        <v>LIBRE</v>
      </c>
      <c r="T154" s="54" t="str">
        <f>IF(ISBLANK(Tableau!$AI$154), "LIBRE", "OCCUPÉ")</f>
        <v>OCCUPÉ</v>
      </c>
      <c r="U154" s="52" t="str">
        <f>IF(ISBLANK(Tableau!$AK$154), "LIBRE", "OCCUPÉ")</f>
        <v>LIBRE</v>
      </c>
      <c r="V154" s="54" t="str">
        <f>IF(ISBLANK(Tableau!$AM$154), "LIBRE", "OCCUPÉ")</f>
        <v>OCCUPÉ</v>
      </c>
      <c r="W154" s="54" t="str">
        <f>IF(ISBLANK(Tableau!$AO$154), "LIBRE", "OCCUPÉ")</f>
        <v>LIBRE</v>
      </c>
      <c r="X154" s="54" t="str">
        <f>IF(ISBLANK(Tableau!$AQ$154), "LIBRE", "OCCUPÉ")</f>
        <v>OCCUPÉ</v>
      </c>
      <c r="Y154" s="52" t="str">
        <f>IF(ISBLANK(Tableau!$AS$154), "LIBRE", "OCCUPÉ")</f>
        <v>LIBRE</v>
      </c>
      <c r="Z154" s="54" t="str">
        <f>IF(ISBLANK(Tableau!$AU$154), "LIBRE", "OCCUPÉ")</f>
        <v>OCCUPÉ</v>
      </c>
      <c r="AA154" s="52" t="str">
        <f>IF(ISBLANK(Tableau!$AW$154), "LIBRE", "OCCUPÉ")</f>
        <v>LIBRE</v>
      </c>
      <c r="AB154" s="69" t="str">
        <f>IF(ISBLANK(Tableau!$AY154), "LIBRE", "OCCUPÉ")</f>
        <v>OCCUPÉ</v>
      </c>
      <c r="AC154" s="428"/>
    </row>
    <row r="155" ht="21.75" customHeight="1">
      <c r="A155" s="40">
        <f>Tableau!A155</f>
        <v>502</v>
      </c>
      <c r="B155" s="46" t="str">
        <f>VLOOKUP($A155,LocalisationRemorque,2,0)</f>
        <v>Bastogne</v>
      </c>
      <c r="C155" s="47" t="str">
        <f>VLOOKUP($A155,LocalisationRemorque,3,0)</f>
        <v>Entre Foy et Noville</v>
      </c>
      <c r="D155" s="49" t="str">
        <f>CONCATENATE(VLOOKUP($A155,LocalisationRemorque,6,0)," ► ",VLOOKUP($A155,LocalisationRemorque,5,0))</f>
        <v>Bastogne ► Houffalize</v>
      </c>
      <c r="E155" s="54" t="str">
        <f>IF(ISBLANK(Tableau!$E$155), "LIBRE", "OCCUPÉ")</f>
        <v>OCCUPÉ</v>
      </c>
      <c r="F155" s="52" t="str">
        <f>IF(ISBLANK(Tableau!$G$155), "LIBRE", "OCCUPÉ")</f>
        <v>OCCUPÉ</v>
      </c>
      <c r="G155" s="54" t="str">
        <f>IF(ISBLANK(Tableau!$I$155), "LIBRE", "OCCUPÉ")</f>
        <v>OCCUPÉ</v>
      </c>
      <c r="H155" s="52" t="str">
        <f>IF(ISBLANK(Tableau!$K$155), "LIBRE", "OCCUPÉ")</f>
        <v>OCCUPÉ</v>
      </c>
      <c r="I155" s="54" t="str">
        <f>IF(ISBLANK(Tableau!$M$155), "LIBRE", "OCCUPÉ")</f>
        <v>OCCUPÉ</v>
      </c>
      <c r="J155" s="52" t="str">
        <f>IF(ISBLANK(Tableau!$O$155), "LIBRE", "OCCUPÉ")</f>
        <v>OCCUPÉ</v>
      </c>
      <c r="K155" s="54" t="str">
        <f>IF(ISBLANK(Tableau!$Q$155), "LIBRE", "OCCUPÉ")</f>
        <v>OCCUPÉ</v>
      </c>
      <c r="L155" s="52" t="str">
        <f>IF(ISBLANK(Tableau!$S$155), "LIBRE", "OCCUPÉ")</f>
        <v>OCCUPÉ</v>
      </c>
      <c r="M155" s="54" t="str">
        <f>IF(ISBLANK(Tableau!$U$155), "LIBRE", "OCCUPÉ")</f>
        <v>OCCUPÉ</v>
      </c>
      <c r="N155" s="52" t="str">
        <f>IF(ISBLANK(Tableau!$W$155), "LIBRE", "OCCUPÉ")</f>
        <v>OCCUPÉ</v>
      </c>
      <c r="O155" s="54" t="str">
        <f>IF(ISBLANK(Tableau!$Y$155), "LIBRE", "OCCUPÉ")</f>
        <v>OCCUPÉ</v>
      </c>
      <c r="P155" s="52" t="str">
        <f>IF(ISBLANK(Tableau!$AA$155), "LIBRE", "OCCUPÉ")</f>
        <v>OCCUPÉ</v>
      </c>
      <c r="Q155" s="54" t="str">
        <f>IF(ISBLANK(Tableau!$AC$155), "LIBRE", "OCCUPÉ")</f>
        <v>OCCUPÉ</v>
      </c>
      <c r="R155" s="52" t="str">
        <f>IF(ISBLANK(Tableau!$AE$155), "LIBRE", "OCCUPÉ")</f>
        <v>LIBRE</v>
      </c>
      <c r="S155" s="54" t="str">
        <f>IF(ISBLANK(Tableau!$AG$155), "LIBRE", "OCCUPÉ")</f>
        <v>OCCUPÉ</v>
      </c>
      <c r="T155" s="52" t="str">
        <f>IF(ISBLANK(Tableau!$AI$155), "LIBRE", "OCCUPÉ")</f>
        <v>LIBRE</v>
      </c>
      <c r="U155" s="54" t="str">
        <f>IF(ISBLANK(Tableau!$AK$155), "LIBRE", "OCCUPÉ")</f>
        <v>OCCUPÉ</v>
      </c>
      <c r="V155" s="52" t="str">
        <f>IF(ISBLANK(Tableau!$AM$155), "LIBRE", "OCCUPÉ")</f>
        <v>LIBRE</v>
      </c>
      <c r="W155" s="54" t="str">
        <f>IF(ISBLANK(Tableau!$AO$155), "LIBRE", "OCCUPÉ")</f>
        <v>OCCUPÉ</v>
      </c>
      <c r="X155" s="52" t="str">
        <f>IF(ISBLANK(Tableau!$AQ$155), "LIBRE", "OCCUPÉ")</f>
        <v>LIBRE</v>
      </c>
      <c r="Y155" s="54" t="str">
        <f>IF(ISBLANK(Tableau!$AS$155), "LIBRE", "OCCUPÉ")</f>
        <v>OCCUPÉ</v>
      </c>
      <c r="Z155" s="52" t="str">
        <f>IF(ISBLANK(Tableau!$AU$155), "LIBRE", "OCCUPÉ")</f>
        <v>LIBRE</v>
      </c>
      <c r="AA155" s="54" t="str">
        <f>IF(ISBLANK(Tableau!$AW$155), "LIBRE", "OCCUPÉ")</f>
        <v>OCCUPÉ</v>
      </c>
      <c r="AB155" s="76" t="str">
        <f>IF(ISBLANK(Tableau!$AY155), "LIBRE", "OCCUPÉ")</f>
        <v>LIBRE</v>
      </c>
      <c r="AC155" s="70" t="s">
        <v>17</v>
      </c>
    </row>
    <row r="156" ht="21.75" customHeight="1">
      <c r="A156" s="72" t="str">
        <f>Tableau!A156</f>
        <v/>
      </c>
      <c r="B156" s="73" t="str">
        <f>VLOOKUP($A156,LocalisationRemorque,2,0)</f>
        <v> Remorque non listée</v>
      </c>
      <c r="C156" s="74" t="str">
        <f>VLOOKUP($A156,LocalisationRemorque,3,0)</f>
        <v/>
      </c>
      <c r="D156" s="75" t="str">
        <f>CONCATENATE(VLOOKUP($A156,LocalisationRemorque,6,0)," ► ",VLOOKUP($A156,LocalisationRemorque,5,0))</f>
        <v> ► </v>
      </c>
      <c r="E156" s="54" t="str">
        <f>IF(ISBLANK(Tableau!$E$156), "LIBRE", "OCCUPÉ")</f>
        <v>OCCUPÉ</v>
      </c>
      <c r="F156" s="52" t="str">
        <f>IF(ISBLANK(Tableau!$G$156), "LIBRE", "OCCUPÉ")</f>
        <v>OCCUPÉ</v>
      </c>
      <c r="G156" s="52" t="str">
        <f>IF(ISBLANK(Tableau!$I$156), "LIBRE", "OCCUPÉ")</f>
        <v>OCCUPÉ</v>
      </c>
      <c r="H156" s="52" t="str">
        <f>IF(ISBLANK(Tableau!$K$156), "LIBRE", "OCCUPÉ")</f>
        <v>OCCUPÉ</v>
      </c>
      <c r="I156" s="54" t="str">
        <f>IF(ISBLANK(Tableau!$M$156), "LIBRE", "OCCUPÉ")</f>
        <v>OCCUPÉ</v>
      </c>
      <c r="J156" s="52" t="str">
        <f>IF(ISBLANK(Tableau!$O$156), "LIBRE", "OCCUPÉ")</f>
        <v>OCCUPÉ</v>
      </c>
      <c r="K156" s="54" t="str">
        <f>IF(ISBLANK(Tableau!$Q$156), "LIBRE", "OCCUPÉ")</f>
        <v>OCCUPÉ</v>
      </c>
      <c r="L156" s="54" t="str">
        <f>IF(ISBLANK(Tableau!$S$156), "LIBRE", "OCCUPÉ")</f>
        <v>OCCUPÉ</v>
      </c>
      <c r="M156" s="54" t="str">
        <f>IF(ISBLANK(Tableau!$U$156), "LIBRE", "OCCUPÉ")</f>
        <v>OCCUPÉ</v>
      </c>
      <c r="N156" s="52" t="str">
        <f>IF(ISBLANK(Tableau!$W$156), "LIBRE", "OCCUPÉ")</f>
        <v>OCCUPÉ</v>
      </c>
      <c r="O156" s="52" t="str">
        <f>IF(ISBLANK(Tableau!$Y$156), "LIBRE", "OCCUPÉ")</f>
        <v>OCCUPÉ</v>
      </c>
      <c r="P156" s="52" t="str">
        <f>IF(ISBLANK(Tableau!$AA$156), "LIBRE", "OCCUPÉ")</f>
        <v>OCCUPÉ</v>
      </c>
      <c r="Q156" s="52" t="str">
        <f>IF(ISBLANK(Tableau!$AC$156), "LIBRE", "OCCUPÉ")</f>
        <v>LIBRE</v>
      </c>
      <c r="R156" s="52" t="str">
        <f>IF(ISBLANK(Tableau!$AE$156), "LIBRE", "OCCUPÉ")</f>
        <v>LIBRE</v>
      </c>
      <c r="S156" s="52" t="str">
        <f>IF(ISBLANK(Tableau!$AG$156), "LIBRE", "OCCUPÉ")</f>
        <v>LIBRE</v>
      </c>
      <c r="T156" s="52" t="str">
        <f>IF(ISBLANK(Tableau!$AI$156), "LIBRE", "OCCUPÉ")</f>
        <v>LIBRE</v>
      </c>
      <c r="U156" s="52" t="str">
        <f>IF(ISBLANK(Tableau!$AK$156), "LIBRE", "OCCUPÉ")</f>
        <v>LIBRE</v>
      </c>
      <c r="V156" s="52" t="str">
        <f>IF(ISBLANK(Tableau!$AM$156), "LIBRE", "OCCUPÉ")</f>
        <v>LIBRE</v>
      </c>
      <c r="W156" s="52" t="str">
        <f>IF(ISBLANK(Tableau!$AO$156), "LIBRE", "OCCUPÉ")</f>
        <v>LIBRE</v>
      </c>
      <c r="X156" s="52" t="str">
        <f>IF(ISBLANK(Tableau!$AQ$156), "LIBRE", "OCCUPÉ")</f>
        <v>LIBRE</v>
      </c>
      <c r="Y156" s="52" t="str">
        <f>IF(ISBLANK(Tableau!$AS$156), "LIBRE", "OCCUPÉ")</f>
        <v>LIBRE</v>
      </c>
      <c r="Z156" s="52" t="str">
        <f>IF(ISBLANK(Tableau!$AU$156), "LIBRE", "OCCUPÉ")</f>
        <v>LIBRE</v>
      </c>
      <c r="AA156" s="52" t="str">
        <f>IF(ISBLANK(Tableau!$AW$156), "LIBRE", "OCCUPÉ")</f>
        <v>LIBRE</v>
      </c>
      <c r="AB156" s="76" t="str">
        <f>IF(ISBLANK(Tableau!$AY156), "LIBRE", "OCCUPÉ")</f>
        <v>LIBRE</v>
      </c>
      <c r="AC156" s="77" t="s">
        <v>17</v>
      </c>
    </row>
    <row r="157" ht="21.75" customHeight="1">
      <c r="A157" s="40" t="str">
        <f>Tableau!A157</f>
        <v/>
      </c>
      <c r="B157" s="46" t="str">
        <f>VLOOKUP($A157,LocalisationRemorque,2,0)</f>
        <v> Remorque non listée</v>
      </c>
      <c r="C157" s="47" t="str">
        <f>VLOOKUP($A157,LocalisationRemorque,3,0)</f>
        <v/>
      </c>
      <c r="D157" s="49" t="str">
        <f>CONCATENATE(VLOOKUP($A157,LocalisationRemorque,6,0)," ► ",VLOOKUP($A157,LocalisationRemorque,5,0))</f>
        <v> ► </v>
      </c>
      <c r="E157" s="52" t="str">
        <f>IF(ISBLANK(Tableau!$E$157), "LIBRE", "OCCUPÉ")</f>
        <v>OCCUPÉ</v>
      </c>
      <c r="F157" s="52" t="str">
        <f>IF(ISBLANK(Tableau!$G$157), "LIBRE", "OCCUPÉ")</f>
        <v>OCCUPÉ</v>
      </c>
      <c r="G157" s="52" t="str">
        <f>IF(ISBLANK(Tableau!$I$157), "LIBRE", "OCCUPÉ")</f>
        <v>OCCUPÉ</v>
      </c>
      <c r="H157" s="52" t="str">
        <f>IF(ISBLANK(Tableau!$K$157), "LIBRE", "OCCUPÉ")</f>
        <v>OCCUPÉ</v>
      </c>
      <c r="I157" s="54" t="str">
        <f>IF(ISBLANK(Tableau!$M$157), "LIBRE", "OCCUPÉ")</f>
        <v>OCCUPÉ</v>
      </c>
      <c r="J157" s="54" t="str">
        <f>IF(ISBLANK(Tableau!$O$157), "LIBRE", "OCCUPÉ")</f>
        <v>OCCUPÉ</v>
      </c>
      <c r="K157" s="54" t="str">
        <f>IF(ISBLANK(Tableau!$Q$157), "LIBRE", "OCCUPÉ")</f>
        <v>OCCUPÉ</v>
      </c>
      <c r="L157" s="52" t="str">
        <f>IF(ISBLANK(Tableau!$S$157), "LIBRE", "OCCUPÉ")</f>
        <v>OCCUPÉ</v>
      </c>
      <c r="M157" s="52" t="str">
        <f>IF(ISBLANK(Tableau!$U$157), "LIBRE", "OCCUPÉ")</f>
        <v>OCCUPÉ</v>
      </c>
      <c r="N157" s="52" t="str">
        <f>IF(ISBLANK(Tableau!$W$157), "LIBRE", "OCCUPÉ")</f>
        <v>OCCUPÉ</v>
      </c>
      <c r="O157" s="54" t="str">
        <f>IF(ISBLANK(Tableau!$Y$157), "LIBRE", "OCCUPÉ")</f>
        <v>OCCUPÉ</v>
      </c>
      <c r="P157" s="52" t="str">
        <f>IF(ISBLANK(Tableau!$AA$157), "LIBRE", "OCCUPÉ")</f>
        <v>OCCUPÉ</v>
      </c>
      <c r="Q157" s="52" t="str">
        <f>IF(ISBLANK(Tableau!$AC$157), "LIBRE", "OCCUPÉ")</f>
        <v>LIBRE</v>
      </c>
      <c r="R157" s="52" t="str">
        <f>IF(ISBLANK(Tableau!$AE$157), "LIBRE", "OCCUPÉ")</f>
        <v>LIBRE</v>
      </c>
      <c r="S157" s="52" t="str">
        <f>IF(ISBLANK(Tableau!$AG$157), "LIBRE", "OCCUPÉ")</f>
        <v>LIBRE</v>
      </c>
      <c r="T157" s="52" t="str">
        <f>IF(ISBLANK(Tableau!$AI$157), "LIBRE", "OCCUPÉ")</f>
        <v>LIBRE</v>
      </c>
      <c r="U157" s="52" t="str">
        <f>IF(ISBLANK(Tableau!$AK$157), "LIBRE", "OCCUPÉ")</f>
        <v>LIBRE</v>
      </c>
      <c r="V157" s="52" t="str">
        <f>IF(ISBLANK(Tableau!$AM$157), "LIBRE", "OCCUPÉ")</f>
        <v>LIBRE</v>
      </c>
      <c r="W157" s="52" t="str">
        <f>IF(ISBLANK(Tableau!$AO$157), "LIBRE", "OCCUPÉ")</f>
        <v>LIBRE</v>
      </c>
      <c r="X157" s="52" t="str">
        <f>IF(ISBLANK(Tableau!$AQ$157), "LIBRE", "OCCUPÉ")</f>
        <v>LIBRE</v>
      </c>
      <c r="Y157" s="52" t="str">
        <f>IF(ISBLANK(Tableau!$AS$157), "LIBRE", "OCCUPÉ")</f>
        <v>LIBRE</v>
      </c>
      <c r="Z157" s="52" t="str">
        <f>IF(ISBLANK(Tableau!$AU$157), "LIBRE", "OCCUPÉ")</f>
        <v>LIBRE</v>
      </c>
      <c r="AA157" s="52" t="str">
        <f>IF(ISBLANK(Tableau!$AW$157), "LIBRE", "OCCUPÉ")</f>
        <v>LIBRE</v>
      </c>
      <c r="AB157" s="76" t="str">
        <f>IF(ISBLANK(Tableau!$AY157), "LIBRE", "OCCUPÉ")</f>
        <v>LIBRE</v>
      </c>
      <c r="AC157" s="70" t="s">
        <v>17</v>
      </c>
    </row>
    <row r="158" ht="21.75" customHeight="1">
      <c r="A158" s="72">
        <f>Tableau!A158</f>
        <v>505</v>
      </c>
      <c r="B158" s="73" t="str">
        <f>VLOOKUP($A158,LocalisationRemorque,2,0)</f>
        <v>Bastogne</v>
      </c>
      <c r="C158" s="74" t="str">
        <f>VLOOKUP($A158,LocalisationRemorque,3,0)</f>
        <v>Neffe</v>
      </c>
      <c r="D158" s="75" t="str">
        <f>CONCATENATE(VLOOKUP($A158,LocalisationRemorque,6,0)," ► ",VLOOKUP($A158,LocalisationRemorque,5,0))</f>
        <v>Bastogne ► Clervaux</v>
      </c>
      <c r="E158" s="54" t="str">
        <f>IF(ISBLANK(Tableau!$E$158), "LIBRE", "OCCUPÉ")</f>
        <v>OCCUPÉ</v>
      </c>
      <c r="F158" s="52" t="str">
        <f>IF(ISBLANK(Tableau!$G$158), "LIBRE", "OCCUPÉ")</f>
        <v>OCCUPÉ</v>
      </c>
      <c r="G158" s="54" t="str">
        <f>IF(ISBLANK(Tableau!$I$158), "LIBRE", "OCCUPÉ")</f>
        <v>OCCUPÉ</v>
      </c>
      <c r="H158" s="52" t="str">
        <f>IF(ISBLANK(Tableau!$K$158), "LIBRE", "OCCUPÉ")</f>
        <v>OCCUPÉ</v>
      </c>
      <c r="I158" s="54" t="str">
        <f>IF(ISBLANK(Tableau!$M$158), "LIBRE", "OCCUPÉ")</f>
        <v>OCCUPÉ</v>
      </c>
      <c r="J158" s="54" t="str">
        <f>IF(ISBLANK(Tableau!$M$159), "LIBRE", "OCCUPÉ")</f>
        <v>LIBRE</v>
      </c>
      <c r="K158" s="54" t="str">
        <f>IF(ISBLANK(Tableau!$Q$158), "LIBRE", "OCCUPÉ")</f>
        <v>OCCUPÉ</v>
      </c>
      <c r="L158" s="52" t="str">
        <f>IF(ISBLANK(Tableau!$S$158), "LIBRE", "OCCUPÉ")</f>
        <v>OCCUPÉ</v>
      </c>
      <c r="M158" s="54" t="str">
        <f>IF(ISBLANK(Tableau!$U$158), "LIBRE", "OCCUPÉ")</f>
        <v>OCCUPÉ</v>
      </c>
      <c r="N158" s="52" t="str">
        <f>IF(ISBLANK(Tableau!$W$158), "LIBRE", "OCCUPÉ")</f>
        <v>OCCUPÉ</v>
      </c>
      <c r="O158" s="54" t="str">
        <f>IF(ISBLANK(Tableau!$Y$158), "LIBRE", "OCCUPÉ")</f>
        <v>OCCUPÉ</v>
      </c>
      <c r="P158" s="52" t="str">
        <f>IF(ISBLANK(Tableau!$AA$158), "LIBRE", "OCCUPÉ")</f>
        <v>OCCUPÉ</v>
      </c>
      <c r="Q158" s="54" t="str">
        <f>IF(ISBLANK(Tableau!$AC$158), "LIBRE", "OCCUPÉ")</f>
        <v>OCCUPÉ</v>
      </c>
      <c r="R158" s="52" t="str">
        <f>IF(ISBLANK(Tableau!$AE$158), "LIBRE", "OCCUPÉ")</f>
        <v>LIBRE</v>
      </c>
      <c r="S158" s="54" t="str">
        <f>IF(ISBLANK(Tableau!$AG$158), "LIBRE", "OCCUPÉ")</f>
        <v>OCCUPÉ</v>
      </c>
      <c r="T158" s="52" t="str">
        <f>IF(ISBLANK(Tableau!$AI$158), "LIBRE", "OCCUPÉ")</f>
        <v>LIBRE</v>
      </c>
      <c r="U158" s="54" t="str">
        <f>IF(ISBLANK(Tableau!$AK$158), "LIBRE", "OCCUPÉ")</f>
        <v>OCCUPÉ</v>
      </c>
      <c r="V158" s="52" t="str">
        <f>IF(ISBLANK(Tableau!$AM$158), "LIBRE", "OCCUPÉ")</f>
        <v>LIBRE</v>
      </c>
      <c r="W158" s="54" t="str">
        <f>IF(ISBLANK(Tableau!$AO$158), "LIBRE", "OCCUPÉ")</f>
        <v>OCCUPÉ</v>
      </c>
      <c r="X158" s="52" t="str">
        <f>IF(ISBLANK(Tableau!$AQ$158), "LIBRE", "OCCUPÉ")</f>
        <v>LIBRE</v>
      </c>
      <c r="Y158" s="54" t="str">
        <f>IF(ISBLANK(Tableau!$AS$158), "LIBRE", "OCCUPÉ")</f>
        <v>OCCUPÉ</v>
      </c>
      <c r="Z158" s="52" t="str">
        <f>IF(ISBLANK(Tableau!$AU$158), "LIBRE", "OCCUPÉ")</f>
        <v>LIBRE</v>
      </c>
      <c r="AA158" s="54" t="str">
        <f>IF(ISBLANK(Tableau!$AW$158), "LIBRE", "OCCUPÉ")</f>
        <v>OCCUPÉ</v>
      </c>
      <c r="AB158" s="76" t="str">
        <f>IF(ISBLANK(Tableau!$AY158), "LIBRE", "OCCUPÉ")</f>
        <v>LIBRE</v>
      </c>
      <c r="AC158" s="77" t="s">
        <v>17</v>
      </c>
    </row>
    <row r="159" ht="21.75" hidden="1" customHeight="1">
      <c r="A159" s="40">
        <f>Tableau!A159</f>
        <v>506</v>
      </c>
      <c r="B159" s="46" t="str">
        <f>VLOOKUP($A159,LocalisationRemorque,2,0)</f>
        <v>Bouillon</v>
      </c>
      <c r="C159" s="47" t="str">
        <f>VLOOKUP($A159,LocalisationRemorque,3,0)</f>
        <v>Noirefontaine</v>
      </c>
      <c r="D159" s="49" t="str">
        <f>CONCATENATE(VLOOKUP($A159,LocalisationRemorque,6,0)," ► ",VLOOKUP($A159,LocalisationRemorque,5,0))</f>
        <v>Libramont ► Bouillon</v>
      </c>
      <c r="E159" s="52" t="str">
        <f>IF(ISBLANK(Tableau!$E$159), "LIBRE", "OCCUPÉ")</f>
        <v>LIBRE</v>
      </c>
      <c r="F159" s="54" t="str">
        <f>IF(ISBLANK(Tableau!$G$159), "LIBRE", "OCCUPÉ")</f>
        <v>OCCUPÉ</v>
      </c>
      <c r="G159" s="52" t="str">
        <f>IF(ISBLANK(Tableau!$I$159), "LIBRE", "OCCUPÉ")</f>
        <v>LIBRE</v>
      </c>
      <c r="H159" s="54" t="str">
        <f>IF(ISBLANK(Tableau!$K$159), "LIBRE", "OCCUPÉ")</f>
        <v>OCCUPÉ</v>
      </c>
      <c r="I159" s="54" t="str">
        <f>IF(ISBLANK(Tableau!$M$159), "LIBRE", "OCCUPÉ")</f>
        <v>LIBRE</v>
      </c>
      <c r="J159" s="54" t="str">
        <f>IF(ISBLANK(Tableau!$O$159), "LIBRE", "OCCUPÉ")</f>
        <v>OCCUPÉ</v>
      </c>
      <c r="K159" s="54" t="str">
        <f>IF(ISBLANK(Tableau!$Q$159), "LIBRE", "OCCUPÉ")</f>
        <v>LIBRE</v>
      </c>
      <c r="L159" s="54" t="str">
        <f>IF(ISBLANK(Tableau!$S$159), "LIBRE", "OCCUPÉ")</f>
        <v>OCCUPÉ</v>
      </c>
      <c r="M159" s="54" t="str">
        <f>IF(ISBLANK(Tableau!$U$159), "LIBRE", "OCCUPÉ")</f>
        <v>LIBRE</v>
      </c>
      <c r="N159" s="54" t="str">
        <f>IF(ISBLANK(Tableau!$W$159), "LIBRE", "OCCUPÉ")</f>
        <v>OCCUPÉ</v>
      </c>
      <c r="O159" s="54" t="str">
        <f>IF(ISBLANK(Tableau!$Y$159), "LIBRE", "OCCUPÉ")</f>
        <v>LIBRE</v>
      </c>
      <c r="P159" s="54" t="str">
        <f>IF(ISBLANK(Tableau!$AA$159), "LIBRE", "OCCUPÉ")</f>
        <v>OCCUPÉ</v>
      </c>
      <c r="Q159" s="54" t="str">
        <f>IF(ISBLANK(Tableau!$AC$159), "LIBRE", "OCCUPÉ")</f>
        <v>LIBRE</v>
      </c>
      <c r="R159" s="54" t="str">
        <f>IF(ISBLANK(Tableau!$AE$159), "LIBRE", "OCCUPÉ")</f>
        <v>OCCUPÉ</v>
      </c>
      <c r="S159" s="54" t="str">
        <f>IF(ISBLANK(Tableau!$AG$159), "LIBRE", "OCCUPÉ")</f>
        <v>LIBRE</v>
      </c>
      <c r="T159" s="54" t="str">
        <f>IF(ISBLANK(Tableau!$AI$159), "LIBRE", "OCCUPÉ")</f>
        <v>OCCUPÉ</v>
      </c>
      <c r="U159" s="54" t="str">
        <f>IF(ISBLANK(Tableau!$AK$159), "LIBRE", "OCCUPÉ")</f>
        <v>LIBRE</v>
      </c>
      <c r="V159" s="54" t="str">
        <f>IF(ISBLANK(Tableau!$AM$159), "LIBRE", "OCCUPÉ")</f>
        <v>OCCUPÉ</v>
      </c>
      <c r="W159" s="54" t="str">
        <f>IF(ISBLANK(Tableau!$AO$159), "LIBRE", "OCCUPÉ")</f>
        <v>LIBRE</v>
      </c>
      <c r="X159" s="54" t="str">
        <f>IF(ISBLANK(Tableau!$AQ$159), "LIBRE", "OCCUPÉ")</f>
        <v>OCCUPÉ</v>
      </c>
      <c r="Y159" s="52" t="str">
        <f>IF(ISBLANK(Tableau!$AS$159), "LIBRE", "OCCUPÉ")</f>
        <v>LIBRE</v>
      </c>
      <c r="Z159" s="54" t="str">
        <f>IF(ISBLANK(Tableau!$AU$159), "LIBRE", "OCCUPÉ")</f>
        <v>OCCUPÉ</v>
      </c>
      <c r="AA159" s="52" t="str">
        <f>IF(ISBLANK(Tableau!$AW$159), "LIBRE", "OCCUPÉ")</f>
        <v>LIBRE</v>
      </c>
      <c r="AB159" s="69" t="str">
        <f>IF(ISBLANK(Tableau!$AY159), "LIBRE", "OCCUPÉ")</f>
        <v>OCCUPÉ</v>
      </c>
      <c r="AC159" s="88"/>
    </row>
    <row r="160" ht="21.75" customHeight="1">
      <c r="A160" s="72">
        <f>Tableau!A160</f>
        <v>507</v>
      </c>
      <c r="B160" s="73" t="str">
        <f>VLOOKUP($A160,LocalisationRemorque,2,0)</f>
        <v>La Roche en Ardenne</v>
      </c>
      <c r="C160" s="74" t="str">
        <f>VLOOKUP($A160,LocalisationRemorque,3,0)</f>
        <v>Vecmont</v>
      </c>
      <c r="D160" s="75" t="str">
        <f>CONCATENATE(VLOOKUP($A160,LocalisationRemorque,6,0)," ► ",VLOOKUP($A160,LocalisationRemorque,5,0))</f>
        <v>La Roche en Ardenne ► Saint-Hubert</v>
      </c>
      <c r="E160" s="54" t="str">
        <f>IF(ISBLANK(Tableau!$E$160), "LIBRE", "OCCUPÉ")</f>
        <v>OCCUPÉ</v>
      </c>
      <c r="F160" s="52" t="str">
        <f>IF(ISBLANK(Tableau!$G$160), "LIBRE", "OCCUPÉ")</f>
        <v>LIBRE</v>
      </c>
      <c r="G160" s="54" t="str">
        <f>IF(ISBLANK(Tableau!$I$160), "LIBRE", "OCCUPÉ")</f>
        <v>OCCUPÉ</v>
      </c>
      <c r="H160" s="52" t="str">
        <f>IF(ISBLANK(Tableau!$K$160), "LIBRE", "OCCUPÉ")</f>
        <v>LIBRE</v>
      </c>
      <c r="I160" s="54" t="str">
        <f>IF(ISBLANK(Tableau!$M$160), "LIBRE", "OCCUPÉ")</f>
        <v>OCCUPÉ</v>
      </c>
      <c r="J160" s="52" t="str">
        <f>IF(ISBLANK(Tableau!$O$160), "LIBRE", "OCCUPÉ")</f>
        <v>LIBRE</v>
      </c>
      <c r="K160" s="54" t="str">
        <f>IF(ISBLANK(Tableau!$Q$160), "LIBRE", "OCCUPÉ")</f>
        <v>OCCUPÉ</v>
      </c>
      <c r="L160" s="52" t="str">
        <f>IF(ISBLANK(Tableau!$S$160), "LIBRE", "OCCUPÉ")</f>
        <v>LIBRE</v>
      </c>
      <c r="M160" s="54" t="str">
        <f>IF(ISBLANK(Tableau!$U$160), "LIBRE", "OCCUPÉ")</f>
        <v>OCCUPÉ</v>
      </c>
      <c r="N160" s="52" t="str">
        <f>IF(ISBLANK(Tableau!$W$160), "LIBRE", "OCCUPÉ")</f>
        <v>LIBRE</v>
      </c>
      <c r="O160" s="54" t="str">
        <f>IF(ISBLANK(Tableau!$Y$160), "LIBRE", "OCCUPÉ")</f>
        <v>OCCUPÉ</v>
      </c>
      <c r="P160" s="52" t="str">
        <f>IF(ISBLANK(Tableau!$AA$160), "LIBRE", "OCCUPÉ")</f>
        <v>LIBRE</v>
      </c>
      <c r="Q160" s="54" t="str">
        <f>IF(ISBLANK(Tableau!$AC$160), "LIBRE", "OCCUPÉ")</f>
        <v>OCCUPÉ</v>
      </c>
      <c r="R160" s="54" t="str">
        <f>IF(ISBLANK(Tableau!$AE$160), "LIBRE", "OCCUPÉ")</f>
        <v>LIBRE</v>
      </c>
      <c r="S160" s="54" t="str">
        <f>IF(ISBLANK(Tableau!$AG$160), "LIBRE", "OCCUPÉ")</f>
        <v>OCCUPÉ</v>
      </c>
      <c r="T160" s="54" t="str">
        <f>IF(ISBLANK(Tableau!$AI$160), "LIBRE", "OCCUPÉ")</f>
        <v>LIBRE</v>
      </c>
      <c r="U160" s="54" t="str">
        <f>IF(ISBLANK(Tableau!$AK$160), "LIBRE", "OCCUPÉ")</f>
        <v>OCCUPÉ</v>
      </c>
      <c r="V160" s="52" t="str">
        <f>IF(ISBLANK(Tableau!$AM$160), "LIBRE", "OCCUPÉ")</f>
        <v>LIBRE</v>
      </c>
      <c r="W160" s="54" t="str">
        <f>IF(ISBLANK(Tableau!$AO$160), "LIBRE", "OCCUPÉ")</f>
        <v>OCCUPÉ</v>
      </c>
      <c r="X160" s="54" t="str">
        <f>IF(ISBLANK(Tableau!$AQ$160), "LIBRE", "OCCUPÉ")</f>
        <v>LIBRE</v>
      </c>
      <c r="Y160" s="54" t="str">
        <f>IF(ISBLANK(Tableau!$AS$160), "LIBRE", "OCCUPÉ")</f>
        <v>OCCUPÉ</v>
      </c>
      <c r="Z160" s="52" t="str">
        <f>IF(ISBLANK(Tableau!$AU$160), "LIBRE", "OCCUPÉ")</f>
        <v>LIBRE</v>
      </c>
      <c r="AA160" s="54" t="str">
        <f>IF(ISBLANK(Tableau!$AW$160), "LIBRE", "OCCUPÉ")</f>
        <v>OCCUPÉ</v>
      </c>
      <c r="AB160" s="76" t="str">
        <f>IF(ISBLANK(Tableau!$AY160), "LIBRE", "OCCUPÉ")</f>
        <v>LIBRE</v>
      </c>
      <c r="AC160" s="77" t="s">
        <v>17</v>
      </c>
    </row>
    <row r="161" ht="21.75" hidden="1" customHeight="1">
      <c r="A161" s="40">
        <f>Tableau!A161</f>
        <v>508</v>
      </c>
      <c r="B161" s="46" t="str">
        <f>VLOOKUP($A161,LocalisationRemorque,2,0)</f>
        <v>Etalle</v>
      </c>
      <c r="C161" s="47" t="str">
        <f>VLOOKUP($A161,LocalisationRemorque,3,0)</f>
        <v>Vance</v>
      </c>
      <c r="D161" s="49" t="str">
        <f>CONCATENATE(VLOOKUP($A161,LocalisationRemorque,6,0)," ► ",VLOOKUP($A161,LocalisationRemorque,5,0))</f>
        <v>Arlon ► Étalle</v>
      </c>
      <c r="E161" s="52" t="str">
        <f>IF(ISBLANK(Tableau!$E$161), "LIBRE", "OCCUPÉ")</f>
        <v>LIBRE</v>
      </c>
      <c r="F161" s="54" t="str">
        <f>IF(ISBLANK(Tableau!$G$161), "LIBRE", "OCCUPÉ")</f>
        <v>OCCUPÉ</v>
      </c>
      <c r="G161" s="52" t="str">
        <f>IF(ISBLANK(Tableau!$I$161), "LIBRE", "OCCUPÉ")</f>
        <v>LIBRE</v>
      </c>
      <c r="H161" s="54" t="str">
        <f>IF(ISBLANK(Tableau!$K$161), "LIBRE", "OCCUPÉ")</f>
        <v>OCCUPÉ</v>
      </c>
      <c r="I161" s="54" t="str">
        <f>IF(ISBLANK(Tableau!$M$161), "LIBRE", "OCCUPÉ")</f>
        <v>LIBRE</v>
      </c>
      <c r="J161" s="54" t="str">
        <f>IF(ISBLANK(Tableau!$O$161), "LIBRE", "OCCUPÉ")</f>
        <v>OCCUPÉ</v>
      </c>
      <c r="K161" s="52" t="str">
        <f>IF(ISBLANK(Tableau!$Q$161), "LIBRE", "OCCUPÉ")</f>
        <v>LIBRE</v>
      </c>
      <c r="L161" s="54" t="str">
        <f>IF(ISBLANK(Tableau!$S$161), "LIBRE", "OCCUPÉ")</f>
        <v>OCCUPÉ</v>
      </c>
      <c r="M161" s="54" t="str">
        <f>IF(ISBLANK(Tableau!$U$161), "LIBRE", "OCCUPÉ")</f>
        <v>LIBRE</v>
      </c>
      <c r="N161" s="54" t="str">
        <f>IF(ISBLANK(Tableau!$W$161), "LIBRE", "OCCUPÉ")</f>
        <v>OCCUPÉ</v>
      </c>
      <c r="O161" s="54" t="str">
        <f>IF(ISBLANK(Tableau!$Y$161), "LIBRE", "OCCUPÉ")</f>
        <v>LIBRE</v>
      </c>
      <c r="P161" s="54" t="str">
        <f>IF(ISBLANK(Tableau!$AA$161), "LIBRE", "OCCUPÉ")</f>
        <v>OCCUPÉ</v>
      </c>
      <c r="Q161" s="54" t="str">
        <f>IF(ISBLANK(Tableau!$AC$161), "LIBRE", "OCCUPÉ")</f>
        <v>LIBRE</v>
      </c>
      <c r="R161" s="54" t="str">
        <f>IF(ISBLANK(Tableau!$AE$161), "LIBRE", "OCCUPÉ")</f>
        <v>OCCUPÉ</v>
      </c>
      <c r="S161" s="52" t="str">
        <f>IF(ISBLANK(Tableau!$AG$161), "LIBRE", "OCCUPÉ")</f>
        <v>LIBRE</v>
      </c>
      <c r="T161" s="54" t="str">
        <f>IF(ISBLANK(Tableau!$AI$161), "LIBRE", "OCCUPÉ")</f>
        <v>OCCUPÉ</v>
      </c>
      <c r="U161" s="54" t="str">
        <f>IF(ISBLANK(Tableau!$AK$161), "LIBRE", "OCCUPÉ")</f>
        <v>LIBRE</v>
      </c>
      <c r="V161" s="54" t="str">
        <f>IF(ISBLANK(Tableau!$AM$161), "LIBRE", "OCCUPÉ")</f>
        <v>OCCUPÉ</v>
      </c>
      <c r="W161" s="52" t="str">
        <f>IF(ISBLANK(Tableau!$AO$161), "LIBRE", "OCCUPÉ")</f>
        <v>LIBRE</v>
      </c>
      <c r="X161" s="54" t="str">
        <f>IF(ISBLANK(Tableau!$AQ$161), "LIBRE", "OCCUPÉ")</f>
        <v>OCCUPÉ</v>
      </c>
      <c r="Y161" s="52" t="str">
        <f>IF(ISBLANK(Tableau!$AS$161), "LIBRE", "OCCUPÉ")</f>
        <v>LIBRE</v>
      </c>
      <c r="Z161" s="54" t="str">
        <f>IF(ISBLANK(Tableau!$AU$161), "LIBRE", "OCCUPÉ")</f>
        <v>OCCUPÉ</v>
      </c>
      <c r="AA161" s="52" t="str">
        <f>IF(ISBLANK(Tableau!$AW$161), "LIBRE", "OCCUPÉ")</f>
        <v>LIBRE</v>
      </c>
      <c r="AB161" s="69" t="str">
        <f>IF(ISBLANK(Tableau!$AY161), "LIBRE", "OCCUPÉ")</f>
        <v>OCCUPÉ</v>
      </c>
      <c r="AC161" s="88"/>
    </row>
    <row r="162" ht="21.75" customHeight="1">
      <c r="A162" s="72">
        <f>Tableau!A162</f>
        <v>509</v>
      </c>
      <c r="B162" s="73" t="str">
        <f>VLOOKUP($A162,LocalisationRemorque,2,0)</f>
        <v>Gouvy</v>
      </c>
      <c r="C162" s="74" t="str">
        <f>VLOOKUP($A162,LocalisationRemorque,3,0)</f>
        <v>Cherain</v>
      </c>
      <c r="D162" s="75" t="str">
        <f>CONCATENATE(VLOOKUP($A162,LocalisationRemorque,6,0)," ► ",VLOOKUP($A162,LocalisationRemorque,5,0))</f>
        <v>Houffalize ► Gouvy</v>
      </c>
      <c r="E162" s="52" t="str">
        <f>IF(ISBLANK(Tableau!$E$162), "LIBRE", "OCCUPÉ")</f>
        <v>LIBRE</v>
      </c>
      <c r="F162" s="52" t="str">
        <f>IF(ISBLANK(Tableau!$G$162), "LIBRE", "OCCUPÉ")</f>
        <v>LIBRE</v>
      </c>
      <c r="G162" s="54" t="str">
        <f>IF(ISBLANK(Tableau!$I$162), "LIBRE", "OCCUPÉ")</f>
        <v>LIBRE</v>
      </c>
      <c r="H162" s="52" t="str">
        <f>IF(ISBLANK(Tableau!$K$162), "LIBRE", "OCCUPÉ")</f>
        <v>LIBRE</v>
      </c>
      <c r="I162" s="52" t="str">
        <f>IF(ISBLANK(Tableau!$M$162), "LIBRE", "OCCUPÉ")</f>
        <v>LIBRE</v>
      </c>
      <c r="J162" s="52" t="str">
        <f>IF(ISBLANK(Tableau!$O$162), "LIBRE", "OCCUPÉ")</f>
        <v>LIBRE</v>
      </c>
      <c r="K162" s="54" t="str">
        <f>IF(ISBLANK(Tableau!$Q$162), "LIBRE", "OCCUPÉ")</f>
        <v>LIBRE</v>
      </c>
      <c r="L162" s="52" t="str">
        <f>IF(ISBLANK(Tableau!$S$162), "LIBRE", "OCCUPÉ")</f>
        <v>LIBRE</v>
      </c>
      <c r="M162" s="54" t="str">
        <f>IF(ISBLANK(Tableau!$U$162), "LIBRE", "OCCUPÉ")</f>
        <v>LIBRE</v>
      </c>
      <c r="N162" s="52" t="str">
        <f>IF(ISBLANK(Tableau!$W$162), "LIBRE", "OCCUPÉ")</f>
        <v>LIBRE</v>
      </c>
      <c r="O162" s="54" t="str">
        <f>IF(ISBLANK(Tableau!$Y$162), "LIBRE", "OCCUPÉ")</f>
        <v>LIBRE</v>
      </c>
      <c r="P162" s="52" t="str">
        <f>IF(ISBLANK(Tableau!$AA$162), "LIBRE", "OCCUPÉ")</f>
        <v>LIBRE</v>
      </c>
      <c r="Q162" s="52" t="str">
        <f>IF(ISBLANK(Tableau!$AC$162), "LIBRE", "OCCUPÉ")</f>
        <v>LIBRE</v>
      </c>
      <c r="R162" s="52" t="str">
        <f>IF(ISBLANK(Tableau!$AE$162), "LIBRE", "OCCUPÉ")</f>
        <v>LIBRE</v>
      </c>
      <c r="S162" s="52" t="str">
        <f>IF(ISBLANK(Tableau!$AG$162), "LIBRE", "OCCUPÉ")</f>
        <v>LIBRE</v>
      </c>
      <c r="T162" s="52" t="str">
        <f>IF(ISBLANK(Tableau!$AI$162), "LIBRE", "OCCUPÉ")</f>
        <v>LIBRE</v>
      </c>
      <c r="U162" s="54" t="str">
        <f>IF(ISBLANK(Tableau!$AK$162), "LIBRE", "OCCUPÉ")</f>
        <v>LIBRE</v>
      </c>
      <c r="V162" s="52" t="str">
        <f>IF(ISBLANK(Tableau!$AM$162), "LIBRE", "OCCUPÉ")</f>
        <v>LIBRE</v>
      </c>
      <c r="W162" s="52" t="str">
        <f>IF(ISBLANK(Tableau!$AO$162), "LIBRE", "OCCUPÉ")</f>
        <v>LIBRE</v>
      </c>
      <c r="X162" s="52" t="str">
        <f>IF(ISBLANK(Tableau!$AQ$162), "LIBRE", "OCCUPÉ")</f>
        <v>LIBRE</v>
      </c>
      <c r="Y162" s="52" t="str">
        <f>IF(ISBLANK(Tableau!$AS$162), "LIBRE", "OCCUPÉ")</f>
        <v>LIBRE</v>
      </c>
      <c r="Z162" s="52" t="str">
        <f>IF(ISBLANK(Tableau!$AU$162), "LIBRE", "OCCUPÉ")</f>
        <v>LIBRE</v>
      </c>
      <c r="AA162" s="52" t="str">
        <f>IF(ISBLANK(Tableau!$AW$162), "LIBRE", "OCCUPÉ")</f>
        <v>LIBRE</v>
      </c>
      <c r="AB162" s="76" t="str">
        <f>IF(ISBLANK(Tableau!$AY162), "LIBRE", "OCCUPÉ")</f>
        <v>LIBRE</v>
      </c>
      <c r="AC162" s="77" t="s">
        <v>17</v>
      </c>
    </row>
    <row r="163" ht="21.75" customHeight="1">
      <c r="A163" s="40">
        <f>Tableau!A163</f>
        <v>510</v>
      </c>
      <c r="B163" s="46" t="str">
        <f>VLOOKUP($A163,LocalisationRemorque,2,0)</f>
        <v>Libramont</v>
      </c>
      <c r="C163" s="47" t="str">
        <f>VLOOKUP($A163,LocalisationRemorque,3,0)</f>
        <v>Verlaine</v>
      </c>
      <c r="D163" s="49" t="str">
        <f>CONCATENATE(VLOOKUP($A163,LocalisationRemorque,6,0)," ► ",VLOOKUP($A163,LocalisationRemorque,5,0))</f>
        <v>Libramont ► Neufchateau</v>
      </c>
      <c r="E163" s="54" t="str">
        <f>IF(ISBLANK(Tableau!$E$163), "LIBRE", "OCCUPÉ")</f>
        <v>OCCUPÉ</v>
      </c>
      <c r="F163" s="54" t="str">
        <f>IF(ISBLANK(Tableau!$G$163), "LIBRE", "OCCUPÉ")</f>
        <v>LIBRE</v>
      </c>
      <c r="G163" s="54" t="str">
        <f>IF(ISBLANK(Tableau!$I$163), "LIBRE", "OCCUPÉ")</f>
        <v>OCCUPÉ</v>
      </c>
      <c r="H163" s="54" t="str">
        <f>IF(ISBLANK(Tableau!$K$163), "LIBRE", "OCCUPÉ")</f>
        <v>LIBRE</v>
      </c>
      <c r="I163" s="54" t="str">
        <f>IF(ISBLANK(Tableau!$M$163), "LIBRE", "OCCUPÉ")</f>
        <v>OCCUPÉ</v>
      </c>
      <c r="J163" s="54" t="str">
        <f>IF(ISBLANK(Tableau!$O$163), "LIBRE", "OCCUPÉ")</f>
        <v>LIBRE</v>
      </c>
      <c r="K163" s="54" t="str">
        <f>IF(ISBLANK(Tableau!$Q$163), "LIBRE", "OCCUPÉ")</f>
        <v>OCCUPÉ</v>
      </c>
      <c r="L163" s="54" t="str">
        <f>IF(ISBLANK(Tableau!$S$163), "LIBRE", "OCCUPÉ")</f>
        <v>LIBRE</v>
      </c>
      <c r="M163" s="54" t="str">
        <f>IF(ISBLANK(Tableau!$U$163), "LIBRE", "OCCUPÉ")</f>
        <v>OCCUPÉ</v>
      </c>
      <c r="N163" s="54" t="str">
        <f>IF(ISBLANK(Tableau!$W$163), "LIBRE", "OCCUPÉ")</f>
        <v>LIBRE</v>
      </c>
      <c r="O163" s="54" t="str">
        <f>IF(ISBLANK(Tableau!$Y$163), "LIBRE", "OCCUPÉ")</f>
        <v>OCCUPÉ</v>
      </c>
      <c r="P163" s="54" t="str">
        <f>IF(ISBLANK(Tableau!$AA$163), "LIBRE", "OCCUPÉ")</f>
        <v>LIBRE</v>
      </c>
      <c r="Q163" s="54" t="str">
        <f>IF(ISBLANK(Tableau!$AC$163), "LIBRE", "OCCUPÉ")</f>
        <v>OCCUPÉ</v>
      </c>
      <c r="R163" s="54" t="str">
        <f>IF(ISBLANK(Tableau!$AE$163), "LIBRE", "OCCUPÉ")</f>
        <v>LIBRE</v>
      </c>
      <c r="S163" s="54" t="str">
        <f>IF(ISBLANK(Tableau!$AG$163), "LIBRE", "OCCUPÉ")</f>
        <v>OCCUPÉ</v>
      </c>
      <c r="T163" s="54" t="str">
        <f>IF(ISBLANK(Tableau!$AI$163), "LIBRE", "OCCUPÉ")</f>
        <v>LIBRE</v>
      </c>
      <c r="U163" s="54" t="str">
        <f>IF(ISBLANK(Tableau!$AK$163), "LIBRE", "OCCUPÉ")</f>
        <v>OCCUPÉ</v>
      </c>
      <c r="V163" s="54" t="str">
        <f>IF(ISBLANK(Tableau!$AM$163), "LIBRE", "OCCUPÉ")</f>
        <v>LIBRE</v>
      </c>
      <c r="W163" s="54" t="str">
        <f>IF(ISBLANK(Tableau!$AO$163), "LIBRE", "OCCUPÉ")</f>
        <v>OCCUPÉ</v>
      </c>
      <c r="X163" s="54" t="str">
        <f>IF(ISBLANK(Tableau!$AQ$163), "LIBRE", "OCCUPÉ")</f>
        <v>LIBRE</v>
      </c>
      <c r="Y163" s="54" t="str">
        <f>IF(ISBLANK(Tableau!$AS$163), "LIBRE", "OCCUPÉ")</f>
        <v>OCCUPÉ</v>
      </c>
      <c r="Z163" s="54" t="str">
        <f>IF(ISBLANK(Tableau!$AU$163), "LIBRE", "OCCUPÉ")</f>
        <v>LIBRE</v>
      </c>
      <c r="AA163" s="54" t="str">
        <f>IF(ISBLANK(Tableau!$AW$163), "LIBRE", "OCCUPÉ")</f>
        <v>OCCUPÉ</v>
      </c>
      <c r="AB163" s="69" t="str">
        <f>IF(ISBLANK(Tableau!$AY163), "LIBRE", "OCCUPÉ")</f>
        <v>LIBRE</v>
      </c>
      <c r="AC163" s="70" t="s">
        <v>17</v>
      </c>
    </row>
    <row r="164" ht="21.75" hidden="1" customHeight="1">
      <c r="A164" s="72" t="str">
        <f>Tableau!A164</f>
        <v/>
      </c>
      <c r="B164" s="73" t="str">
        <f>VLOOKUP($A164,LocalisationRemorque,2,0)</f>
        <v> Remorque non listée</v>
      </c>
      <c r="C164" s="74" t="str">
        <f>VLOOKUP($A164,LocalisationRemorque,3,0)</f>
        <v/>
      </c>
      <c r="D164" s="75" t="str">
        <f>CONCATENATE(VLOOKUP($A164,LocalisationRemorque,6,0)," ► ",VLOOKUP($A164,LocalisationRemorque,5,0))</f>
        <v> ► </v>
      </c>
      <c r="E164" s="52" t="str">
        <f>IF(ISBLANK(Tableau!$E$164), "LIBRE", "OCCUPÉ")</f>
        <v>LIBRE</v>
      </c>
      <c r="F164" s="52" t="str">
        <f>IF(ISBLANK(Tableau!$G$164), "LIBRE", "OCCUPÉ")</f>
        <v>LIBRE</v>
      </c>
      <c r="G164" s="52" t="str">
        <f>IF(ISBLANK(Tableau!$I$164), "LIBRE", "OCCUPÉ")</f>
        <v>LIBRE</v>
      </c>
      <c r="H164" s="52" t="str">
        <f>IF(ISBLANK(Tableau!$K$164), "LIBRE", "OCCUPÉ")</f>
        <v>LIBRE</v>
      </c>
      <c r="I164" s="54" t="str">
        <f>IF(ISBLANK(Tableau!$M$164), "LIBRE", "OCCUPÉ")</f>
        <v>LIBRE</v>
      </c>
      <c r="J164" s="54" t="str">
        <f>IF(ISBLANK(Tableau!$O$164), "LIBRE", "OCCUPÉ")</f>
        <v>LIBRE</v>
      </c>
      <c r="K164" s="54" t="str">
        <f>IF(ISBLANK(Tableau!$Q$164), "LIBRE", "OCCUPÉ")</f>
        <v>LIBRE</v>
      </c>
      <c r="L164" s="54" t="str">
        <f>IF(ISBLANK(Tableau!$S$164), "LIBRE", "OCCUPÉ")</f>
        <v>LIBRE</v>
      </c>
      <c r="M164" s="54" t="str">
        <f>IF(ISBLANK(Tableau!$U$164), "LIBRE", "OCCUPÉ")</f>
        <v>LIBRE</v>
      </c>
      <c r="N164" s="52" t="str">
        <f>IF(ISBLANK(Tableau!$W$164), "LIBRE", "OCCUPÉ")</f>
        <v>LIBRE</v>
      </c>
      <c r="O164" s="54" t="str">
        <f>IF(ISBLANK(Tableau!$Y$164), "LIBRE", "OCCUPÉ")</f>
        <v>LIBRE</v>
      </c>
      <c r="P164" s="52" t="str">
        <f>IF(ISBLANK(Tableau!$AA$164), "LIBRE", "OCCUPÉ")</f>
        <v>LIBRE</v>
      </c>
      <c r="Q164" s="52" t="str">
        <f>IF(ISBLANK(Tableau!$AC$164), "LIBRE", "OCCUPÉ")</f>
        <v>LIBRE</v>
      </c>
      <c r="R164" s="52" t="str">
        <f>IF(ISBLANK(Tableau!$AE$164), "LIBRE", "OCCUPÉ")</f>
        <v>LIBRE</v>
      </c>
      <c r="S164" s="52" t="str">
        <f>IF(ISBLANK(Tableau!$AG$164), "LIBRE", "OCCUPÉ")</f>
        <v>LIBRE</v>
      </c>
      <c r="T164" s="52" t="str">
        <f>IF(ISBLANK(Tableau!$AI$164), "LIBRE", "OCCUPÉ")</f>
        <v>LIBRE</v>
      </c>
      <c r="U164" s="54" t="str">
        <f>IF(ISBLANK(Tableau!$AK$164), "LIBRE", "OCCUPÉ")</f>
        <v>LIBRE</v>
      </c>
      <c r="V164" s="52" t="str">
        <f>IF(ISBLANK(Tableau!$AM$164), "LIBRE", "OCCUPÉ")</f>
        <v>LIBRE</v>
      </c>
      <c r="W164" s="54" t="str">
        <f>IF(ISBLANK(Tableau!$AO$164), "LIBRE", "OCCUPÉ")</f>
        <v>LIBRE</v>
      </c>
      <c r="X164" s="52" t="str">
        <f>IF(ISBLANK(Tableau!$AQ$164), "LIBRE", "OCCUPÉ")</f>
        <v>LIBRE</v>
      </c>
      <c r="Y164" s="52" t="str">
        <f>IF(ISBLANK(Tableau!$AS$164), "LIBRE", "OCCUPÉ")</f>
        <v>LIBRE</v>
      </c>
      <c r="Z164" s="52" t="str">
        <f>IF(ISBLANK(Tableau!$AU$164), "LIBRE", "OCCUPÉ")</f>
        <v>LIBRE</v>
      </c>
      <c r="AA164" s="54" t="str">
        <f>IF(ISBLANK(Tableau!$AW$164), "LIBRE", "OCCUPÉ")</f>
        <v>LIBRE</v>
      </c>
      <c r="AB164" s="76" t="str">
        <f>IF(ISBLANK(Tableau!$AY164), "LIBRE", "OCCUPÉ")</f>
        <v>LIBRE</v>
      </c>
      <c r="AC164" s="155"/>
    </row>
    <row r="165" ht="21.75" customHeight="1">
      <c r="A165" s="40" t="str">
        <f>Tableau!A165</f>
        <v/>
      </c>
      <c r="B165" s="46" t="str">
        <f>VLOOKUP($A165,LocalisationRemorque,2,0)</f>
        <v> Remorque non listée</v>
      </c>
      <c r="C165" s="47" t="str">
        <f>VLOOKUP($A165,LocalisationRemorque,3,0)</f>
        <v/>
      </c>
      <c r="D165" s="49" t="str">
        <f>CONCATENATE(VLOOKUP($A165,LocalisationRemorque,6,0)," ► ",VLOOKUP($A165,LocalisationRemorque,5,0))</f>
        <v> ► </v>
      </c>
      <c r="E165" s="54" t="str">
        <f>IF(ISBLANK(Tableau!$E$165), "LIBRE", "OCCUPÉ")</f>
        <v>LIBRE</v>
      </c>
      <c r="F165" s="54" t="str">
        <f>IF(ISBLANK(Tableau!$G$165), "LIBRE", "OCCUPÉ")</f>
        <v>LIBRE</v>
      </c>
      <c r="G165" s="52" t="str">
        <f>IF(ISBLANK(Tableau!$I$165), "LIBRE", "OCCUPÉ")</f>
        <v>LIBRE</v>
      </c>
      <c r="H165" s="52" t="str">
        <f>IF(ISBLANK(Tableau!$K$165), "LIBRE", "OCCUPÉ")</f>
        <v>LIBRE</v>
      </c>
      <c r="I165" s="54" t="str">
        <f>IF(ISBLANK(Tableau!$M$165), "LIBRE", "OCCUPÉ")</f>
        <v>LIBRE</v>
      </c>
      <c r="J165" s="52" t="str">
        <f>IF(ISBLANK(Tableau!$O$165), "LIBRE", "OCCUPÉ")</f>
        <v>LIBRE</v>
      </c>
      <c r="K165" s="54" t="str">
        <f>IF(ISBLANK(Tableau!$Q$165), "LIBRE", "OCCUPÉ")</f>
        <v>LIBRE</v>
      </c>
      <c r="L165" s="52" t="str">
        <f>IF(ISBLANK(Tableau!$S$165), "LIBRE", "OCCUPÉ")</f>
        <v>LIBRE</v>
      </c>
      <c r="M165" s="54" t="str">
        <f>IF(ISBLANK(Tableau!$U$165), "LIBRE", "OCCUPÉ")</f>
        <v>LIBRE</v>
      </c>
      <c r="N165" s="52" t="str">
        <f>IF(ISBLANK(Tableau!$W$165), "LIBRE", "OCCUPÉ")</f>
        <v>LIBRE</v>
      </c>
      <c r="O165" s="54" t="str">
        <f>IF(ISBLANK(Tableau!$Y$165), "LIBRE", "OCCUPÉ")</f>
        <v>LIBRE</v>
      </c>
      <c r="P165" s="52" t="str">
        <f>IF(ISBLANK(Tableau!$AA$165), "LIBRE", "OCCUPÉ")</f>
        <v>LIBRE</v>
      </c>
      <c r="Q165" s="52" t="str">
        <f>IF(ISBLANK(Tableau!$AC$165), "LIBRE", "OCCUPÉ")</f>
        <v>LIBRE</v>
      </c>
      <c r="R165" s="52" t="str">
        <f>IF(ISBLANK(Tableau!$AE$165), "LIBRE", "OCCUPÉ")</f>
        <v>LIBRE</v>
      </c>
      <c r="S165" s="52" t="str">
        <f>IF(ISBLANK(Tableau!$AG$165), "LIBRE", "OCCUPÉ")</f>
        <v>LIBRE</v>
      </c>
      <c r="T165" s="52" t="str">
        <f>IF(ISBLANK(Tableau!$AI$165), "LIBRE", "OCCUPÉ")</f>
        <v>LIBRE</v>
      </c>
      <c r="U165" s="54" t="str">
        <f>IF(ISBLANK(Tableau!$AK$165), "LIBRE", "OCCUPÉ")</f>
        <v>LIBRE</v>
      </c>
      <c r="V165" s="52" t="str">
        <f>IF(ISBLANK(Tableau!$AM$165), "LIBRE", "OCCUPÉ")</f>
        <v>LIBRE</v>
      </c>
      <c r="W165" s="52" t="str">
        <f>IF(ISBLANK(Tableau!$AO$165), "LIBRE", "OCCUPÉ")</f>
        <v>LIBRE</v>
      </c>
      <c r="X165" s="52" t="str">
        <f>IF(ISBLANK(Tableau!$AQ$165), "LIBRE", "OCCUPÉ")</f>
        <v>LIBRE</v>
      </c>
      <c r="Y165" s="54" t="str">
        <f>IF(ISBLANK(Tableau!$AS$165), "LIBRE", "OCCUPÉ")</f>
        <v>LIBRE</v>
      </c>
      <c r="Z165" s="52" t="str">
        <f>IF(ISBLANK(Tableau!$AU$165), "LIBRE", "OCCUPÉ")</f>
        <v>LIBRE</v>
      </c>
      <c r="AA165" s="52" t="str">
        <f>IF(ISBLANK(Tableau!$AW$165), "LIBRE", "OCCUPÉ")</f>
        <v>LIBRE</v>
      </c>
      <c r="AB165" s="76" t="str">
        <f>IF(ISBLANK(Tableau!$AY165), "LIBRE", "OCCUPÉ")</f>
        <v>LIBRE</v>
      </c>
      <c r="AC165" s="70" t="s">
        <v>17</v>
      </c>
    </row>
    <row r="166" ht="21.75" customHeight="1">
      <c r="A166" s="72">
        <f>Tableau!A166</f>
        <v>527</v>
      </c>
      <c r="B166" s="73" t="str">
        <f>VLOOKUP($A166,LocalisationRemorque,2,0)</f>
        <v>Tenneville</v>
      </c>
      <c r="C166" s="74" t="str">
        <f>VLOOKUP($A166,LocalisationRemorque,3,0)</f>
        <v>Moriville</v>
      </c>
      <c r="D166" s="75" t="str">
        <f>CONCATENATE(VLOOKUP($A166,LocalisationRemorque,6,0)," ► ",VLOOKUP($A166,LocalisationRemorque,5,0))</f>
        <v>Barrière Hinck ► Tenneville</v>
      </c>
      <c r="E166" s="52" t="str">
        <f>IF(ISBLANK(Tableau!$E$166), "LIBRE", "OCCUPÉ")</f>
        <v>LIBRE</v>
      </c>
      <c r="F166" s="52" t="str">
        <f>IF(ISBLANK(Tableau!$G$166), "LIBRE", "OCCUPÉ")</f>
        <v>LIBRE</v>
      </c>
      <c r="G166" s="54" t="str">
        <f>IF(ISBLANK(Tableau!$I$166), "LIBRE", "OCCUPÉ")</f>
        <v>LIBRE</v>
      </c>
      <c r="H166" s="52" t="str">
        <f>IF(ISBLANK(Tableau!$K$166), "LIBRE", "OCCUPÉ")</f>
        <v>LIBRE</v>
      </c>
      <c r="I166" s="54" t="str">
        <f>IF(ISBLANK(Tableau!$M$166), "LIBRE", "OCCUPÉ")</f>
        <v>LIBRE</v>
      </c>
      <c r="J166" s="54" t="str">
        <f>IF(ISBLANK(Tableau!$O$166), "LIBRE", "OCCUPÉ")</f>
        <v>LIBRE</v>
      </c>
      <c r="K166" s="54" t="str">
        <f>IF(ISBLANK(Tableau!$Q$166), "LIBRE", "OCCUPÉ")</f>
        <v>LIBRE</v>
      </c>
      <c r="L166" s="52" t="str">
        <f>IF(ISBLANK(Tableau!$S$166), "LIBRE", "OCCUPÉ")</f>
        <v>LIBRE</v>
      </c>
      <c r="M166" s="54" t="str">
        <f>IF(ISBLANK(Tableau!$U$166), "LIBRE", "OCCUPÉ")</f>
        <v>LIBRE</v>
      </c>
      <c r="N166" s="54" t="str">
        <f>IF(ISBLANK(Tableau!$W$166), "LIBRE", "OCCUPÉ")</f>
        <v>LIBRE</v>
      </c>
      <c r="O166" s="52" t="str">
        <f>IF(ISBLANK(Tableau!$Y$166), "LIBRE", "OCCUPÉ")</f>
        <v>LIBRE</v>
      </c>
      <c r="P166" s="54" t="str">
        <f>IF(ISBLANK(Tableau!$AA$166), "LIBRE", "OCCUPÉ")</f>
        <v>LIBRE</v>
      </c>
      <c r="Q166" s="54" t="str">
        <f>IF(ISBLANK(Tableau!$AC$166), "LIBRE", "OCCUPÉ")</f>
        <v>LIBRE</v>
      </c>
      <c r="R166" s="54" t="str">
        <f>IF(ISBLANK(Tableau!$AE$166), "LIBRE", "OCCUPÉ")</f>
        <v>LIBRE</v>
      </c>
      <c r="S166" s="54" t="str">
        <f>IF(ISBLANK(Tableau!$AG$166), "LIBRE", "OCCUPÉ")</f>
        <v>LIBRE</v>
      </c>
      <c r="T166" s="52" t="str">
        <f>IF(ISBLANK(Tableau!$AI$166), "LIBRE", "OCCUPÉ")</f>
        <v>LIBRE</v>
      </c>
      <c r="U166" s="52" t="str">
        <f>IF(ISBLANK(Tableau!$AK$166), "LIBRE", "OCCUPÉ")</f>
        <v>LIBRE</v>
      </c>
      <c r="V166" s="52" t="str">
        <f>IF(ISBLANK(Tableau!$AM$166), "LIBRE", "OCCUPÉ")</f>
        <v>LIBRE</v>
      </c>
      <c r="W166" s="54" t="str">
        <f>IF(ISBLANK(Tableau!$AO$166), "LIBRE", "OCCUPÉ")</f>
        <v>LIBRE</v>
      </c>
      <c r="X166" s="54" t="str">
        <f>IF(ISBLANK(Tableau!$AQ$166), "LIBRE", "OCCUPÉ")</f>
        <v>LIBRE</v>
      </c>
      <c r="Y166" s="52" t="str">
        <f>IF(ISBLANK(Tableau!$AS$166), "LIBRE", "OCCUPÉ")</f>
        <v>LIBRE</v>
      </c>
      <c r="Z166" s="52" t="str">
        <f>IF(ISBLANK(Tableau!$AU$166), "LIBRE", "OCCUPÉ")</f>
        <v>LIBRE</v>
      </c>
      <c r="AA166" s="52" t="str">
        <f>IF(ISBLANK(Tableau!$AW$166), "LIBRE", "OCCUPÉ")</f>
        <v>LIBRE</v>
      </c>
      <c r="AB166" s="76" t="str">
        <f>IF(ISBLANK(Tableau!$AY166), "LIBRE", "OCCUPÉ")</f>
        <v>LIBRE</v>
      </c>
      <c r="AC166" s="77" t="s">
        <v>17</v>
      </c>
    </row>
    <row r="167" ht="21.75" customHeight="1">
      <c r="A167" s="40">
        <f>Tableau!A167</f>
        <v>512</v>
      </c>
      <c r="B167" s="46" t="str">
        <f>VLOOKUP($A167,LocalisationRemorque,2,0)</f>
        <v>Tenneville</v>
      </c>
      <c r="C167" s="47" t="str">
        <f>VLOOKUP($A167,LocalisationRemorque,3,0)</f>
        <v>Tenneville</v>
      </c>
      <c r="D167" s="49" t="str">
        <f>CONCATENATE(VLOOKUP($A167,LocalisationRemorque,6,0)," ► ",VLOOKUP($A167,LocalisationRemorque,5,0))</f>
        <v>Marche-en-Famenne ► Bastogne</v>
      </c>
      <c r="E167" s="54" t="str">
        <f>IF(ISBLANK(Tableau!$E$167), "LIBRE", "OCCUPÉ")</f>
        <v>OCCUPÉ</v>
      </c>
      <c r="F167" s="54" t="str">
        <f>IF(ISBLANK(Tableau!$G$167), "LIBRE", "OCCUPÉ")</f>
        <v>LIBRE</v>
      </c>
      <c r="G167" s="54" t="str">
        <f>IF(ISBLANK(Tableau!$I$167), "LIBRE", "OCCUPÉ")</f>
        <v>OCCUPÉ</v>
      </c>
      <c r="H167" s="52" t="str">
        <f>IF(ISBLANK(Tableau!$K$167), "LIBRE", "OCCUPÉ")</f>
        <v>LIBRE</v>
      </c>
      <c r="I167" s="54" t="str">
        <f>IF(ISBLANK(Tableau!$M$167), "LIBRE", "OCCUPÉ")</f>
        <v>OCCUPÉ</v>
      </c>
      <c r="J167" s="54" t="str">
        <f>IF(ISBLANK(Tableau!$O$167), "LIBRE", "OCCUPÉ")</f>
        <v>LIBRE</v>
      </c>
      <c r="K167" s="54" t="str">
        <f>IF(ISBLANK(Tableau!$Q$167), "LIBRE", "OCCUPÉ")</f>
        <v>OCCUPÉ</v>
      </c>
      <c r="L167" s="54" t="str">
        <f>IF(ISBLANK(Tableau!$S$167), "LIBRE", "OCCUPÉ")</f>
        <v>LIBRE</v>
      </c>
      <c r="M167" s="54" t="str">
        <f>IF(ISBLANK(Tableau!$U$167), "LIBRE", "OCCUPÉ")</f>
        <v>OCCUPÉ</v>
      </c>
      <c r="N167" s="54" t="str">
        <f>IF(ISBLANK(Tableau!$W$167), "LIBRE", "OCCUPÉ")</f>
        <v>LIBRE</v>
      </c>
      <c r="O167" s="54" t="str">
        <f>IF(ISBLANK(Tableau!$Y$167), "LIBRE", "OCCUPÉ")</f>
        <v>OCCUPÉ</v>
      </c>
      <c r="P167" s="52" t="str">
        <f>IF(ISBLANK(Tableau!$AA$167), "LIBRE", "OCCUPÉ")</f>
        <v>LIBRE</v>
      </c>
      <c r="Q167" s="54" t="str">
        <f>IF(ISBLANK(Tableau!$AC$167), "LIBRE", "OCCUPÉ")</f>
        <v>OCCUPÉ</v>
      </c>
      <c r="R167" s="52" t="str">
        <f>IF(ISBLANK(Tableau!$AE$167), "LIBRE", "OCCUPÉ")</f>
        <v>OCCUPÉ</v>
      </c>
      <c r="S167" s="54" t="str">
        <f>IF(ISBLANK(Tableau!$AG$167), "LIBRE", "OCCUPÉ")</f>
        <v>OCCUPÉ</v>
      </c>
      <c r="T167" s="52" t="str">
        <f>IF(ISBLANK(Tableau!$AI$167), "LIBRE", "OCCUPÉ")</f>
        <v>OCCUPÉ</v>
      </c>
      <c r="U167" s="54" t="str">
        <f>IF(ISBLANK(Tableau!$AK$167), "LIBRE", "OCCUPÉ")</f>
        <v>LIBRE</v>
      </c>
      <c r="V167" s="52" t="str">
        <f>IF(ISBLANK(Tableau!$AM$167), "LIBRE", "OCCUPÉ")</f>
        <v>OCCUPÉ</v>
      </c>
      <c r="W167" s="54" t="str">
        <f>IF(ISBLANK(Tableau!$AO$167), "LIBRE", "OCCUPÉ")</f>
        <v>OCCUPÉ</v>
      </c>
      <c r="X167" s="54" t="str">
        <f>IF(ISBLANK(Tableau!$AQ$167), "LIBRE", "OCCUPÉ")</f>
        <v>OCCUPÉ</v>
      </c>
      <c r="Y167" s="54" t="str">
        <f>IF(ISBLANK(Tableau!$AS$167), "LIBRE", "OCCUPÉ")</f>
        <v>OCCUPÉ</v>
      </c>
      <c r="Z167" s="52" t="str">
        <f>IF(ISBLANK(Tableau!$AU$167), "LIBRE", "OCCUPÉ")</f>
        <v>LIBRE</v>
      </c>
      <c r="AA167" s="54" t="str">
        <f>IF(ISBLANK(Tableau!$AW$167), "LIBRE", "OCCUPÉ")</f>
        <v>OCCUPÉ</v>
      </c>
      <c r="AB167" s="69" t="str">
        <f>IF(ISBLANK(Tableau!$AY167), "LIBRE", "OCCUPÉ")</f>
        <v>LIBRE</v>
      </c>
      <c r="AC167" s="70" t="s">
        <v>17</v>
      </c>
    </row>
    <row r="168" ht="21.75" customHeight="1">
      <c r="A168" s="72">
        <f>Tableau!A168</f>
        <v>513</v>
      </c>
      <c r="B168" s="73" t="str">
        <f>VLOOKUP($A168,LocalisationRemorque,2,0)</f>
        <v>Saint Vith</v>
      </c>
      <c r="C168" s="74" t="str">
        <f>VLOOKUP($A168,LocalisationRemorque,3,0)</f>
        <v>Hotel Furellenhof </v>
      </c>
      <c r="D168" s="75" t="str">
        <f>CONCATENATE(VLOOKUP($A168,LocalisationRemorque,6,0)," ► ",VLOOKUP($A168,LocalisationRemorque,5,0))</f>
        <v>Saint-Vith ► Luxembourg</v>
      </c>
      <c r="E168" s="52" t="str">
        <f>IF(ISBLANK(Tableau!$E$168), "LIBRE", "OCCUPÉ")</f>
        <v>LIBRE</v>
      </c>
      <c r="F168" s="52" t="str">
        <f>IF(ISBLANK(Tableau!$G$168), "LIBRE", "OCCUPÉ")</f>
        <v>LIBRE</v>
      </c>
      <c r="G168" s="52" t="str">
        <f>IF(ISBLANK(Tableau!$I$168), "LIBRE", "OCCUPÉ")</f>
        <v>LIBRE</v>
      </c>
      <c r="H168" s="52" t="str">
        <f>IF(ISBLANK(Tableau!$K$168), "LIBRE", "OCCUPÉ")</f>
        <v>LIBRE</v>
      </c>
      <c r="I168" s="54" t="str">
        <f>IF(ISBLANK(Tableau!$M$168), "LIBRE", "OCCUPÉ")</f>
        <v>LIBRE</v>
      </c>
      <c r="J168" s="54" t="str">
        <f>IF(ISBLANK(Tableau!$O$168), "LIBRE", "OCCUPÉ")</f>
        <v>LIBRE</v>
      </c>
      <c r="K168" s="54" t="str">
        <f>IF(ISBLANK(Tableau!$Q$168), "LIBRE", "OCCUPÉ")</f>
        <v>LIBRE</v>
      </c>
      <c r="L168" s="52" t="str">
        <f>IF(ISBLANK(Tableau!$S$168), "LIBRE", "OCCUPÉ")</f>
        <v>LIBRE</v>
      </c>
      <c r="M168" s="54" t="str">
        <f>IF(ISBLANK(Tableau!$U$168), "LIBRE", "OCCUPÉ")</f>
        <v>LIBRE</v>
      </c>
      <c r="N168" s="52" t="str">
        <f>IF(ISBLANK(Tableau!$W$168), "LIBRE", "OCCUPÉ")</f>
        <v>LIBRE</v>
      </c>
      <c r="O168" s="54" t="str">
        <f>IF(ISBLANK(Tableau!$Y$168), "LIBRE", "OCCUPÉ")</f>
        <v>LIBRE</v>
      </c>
      <c r="P168" s="52" t="str">
        <f>IF(ISBLANK(Tableau!$AA$168), "LIBRE", "OCCUPÉ")</f>
        <v>LIBRE</v>
      </c>
      <c r="Q168" s="54" t="str">
        <f>IF(ISBLANK(Tableau!$AC$168), "LIBRE", "OCCUPÉ")</f>
        <v>LIBRE</v>
      </c>
      <c r="R168" s="54" t="str">
        <f>IF(ISBLANK(Tableau!$AE$168), "LIBRE", "OCCUPÉ")</f>
        <v>LIBRE</v>
      </c>
      <c r="S168" s="52" t="str">
        <f>IF(ISBLANK(Tableau!$AG$168), "LIBRE", "OCCUPÉ")</f>
        <v>LIBRE</v>
      </c>
      <c r="T168" s="52" t="str">
        <f>IF(ISBLANK(Tableau!$AI$168), "LIBRE", "OCCUPÉ")</f>
        <v>LIBRE</v>
      </c>
      <c r="U168" s="52" t="str">
        <f>IF(ISBLANK(Tableau!$AK$168), "LIBRE", "OCCUPÉ")</f>
        <v>LIBRE</v>
      </c>
      <c r="V168" s="52" t="str">
        <f>IF(ISBLANK(Tableau!$AM$168), "LIBRE", "OCCUPÉ")</f>
        <v>LIBRE</v>
      </c>
      <c r="W168" s="52" t="str">
        <f>IF(ISBLANK(Tableau!$AO$168), "LIBRE", "OCCUPÉ")</f>
        <v>LIBRE</v>
      </c>
      <c r="X168" s="52" t="str">
        <f>IF(ISBLANK(Tableau!$AQ$168), "LIBRE", "OCCUPÉ")</f>
        <v>LIBRE</v>
      </c>
      <c r="Y168" s="52" t="str">
        <f>IF(ISBLANK(Tableau!$AS$168), "LIBRE", "OCCUPÉ")</f>
        <v>LIBRE</v>
      </c>
      <c r="Z168" s="52" t="str">
        <f>IF(ISBLANK(Tableau!$AU$168), "LIBRE", "OCCUPÉ")</f>
        <v>LIBRE</v>
      </c>
      <c r="AA168" s="52" t="str">
        <f>IF(ISBLANK(Tableau!$AW$168), "LIBRE", "OCCUPÉ")</f>
        <v>LIBRE</v>
      </c>
      <c r="AB168" s="76" t="str">
        <f>IF(ISBLANK(Tableau!$AY168), "LIBRE", "OCCUPÉ")</f>
        <v>LIBRE</v>
      </c>
      <c r="AC168" s="77" t="s">
        <v>17</v>
      </c>
    </row>
    <row r="169" ht="21.75" customHeight="1">
      <c r="A169" s="40">
        <f>Tableau!A169</f>
        <v>514</v>
      </c>
      <c r="B169" s="46" t="str">
        <f>VLOOKUP($A169,LocalisationRemorque,2,0)</f>
        <v>Burg Reuland</v>
      </c>
      <c r="C169" s="47" t="str">
        <f>VLOOKUP($A169,LocalisationRemorque,3,0)</f>
        <v>East Karting </v>
      </c>
      <c r="D169" s="49" t="str">
        <f>CONCATENATE(VLOOKUP($A169,LocalisationRemorque,6,0)," ► ",VLOOKUP($A169,LocalisationRemorque,5,0))</f>
        <v>Luxembourg ► Saint Vith</v>
      </c>
      <c r="E169" s="54" t="str">
        <f>IF(ISBLANK(Tableau!$E$169), "LIBRE", "OCCUPÉ")</f>
        <v>LIBRE</v>
      </c>
      <c r="F169" s="54" t="str">
        <f>IF(ISBLANK(Tableau!$G$169), "LIBRE", "OCCUPÉ")</f>
        <v>LIBRE</v>
      </c>
      <c r="G169" s="52" t="str">
        <f>IF(ISBLANK(Tableau!$I$169), "LIBRE", "OCCUPÉ")</f>
        <v>LIBRE</v>
      </c>
      <c r="H169" s="54" t="str">
        <f>IF(ISBLANK(Tableau!$K$169), "LIBRE", "OCCUPÉ")</f>
        <v>LIBRE</v>
      </c>
      <c r="I169" s="52" t="str">
        <f>IF(ISBLANK(Tableau!$M$169), "LIBRE", "OCCUPÉ")</f>
        <v>LIBRE</v>
      </c>
      <c r="J169" s="54" t="str">
        <f>IF(ISBLANK(Tableau!$O$169), "LIBRE", "OCCUPÉ")</f>
        <v>LIBRE</v>
      </c>
      <c r="K169" s="52" t="str">
        <f>IF(ISBLANK(Tableau!$Q$169), "LIBRE", "OCCUPÉ")</f>
        <v>LIBRE</v>
      </c>
      <c r="L169" s="54" t="str">
        <f>IF(ISBLANK(Tableau!$S$169), "LIBRE", "OCCUPÉ")</f>
        <v>LIBRE</v>
      </c>
      <c r="M169" s="54" t="str">
        <f>IF(ISBLANK(Tableau!$U$169), "LIBRE", "OCCUPÉ")</f>
        <v>LIBRE</v>
      </c>
      <c r="N169" s="52" t="str">
        <f>IF(ISBLANK(Tableau!$W$169), "LIBRE", "OCCUPÉ")</f>
        <v>LIBRE</v>
      </c>
      <c r="O169" s="54" t="str">
        <f>IF(ISBLANK(Tableau!$Y$169), "LIBRE", "OCCUPÉ")</f>
        <v>LIBRE</v>
      </c>
      <c r="P169" s="54" t="str">
        <f>IF(ISBLANK(Tableau!$AA$169), "LIBRE", "OCCUPÉ")</f>
        <v>LIBRE</v>
      </c>
      <c r="Q169" s="54" t="str">
        <f>IF(ISBLANK(Tableau!$AC$169), "LIBRE", "OCCUPÉ")</f>
        <v>LIBRE</v>
      </c>
      <c r="R169" s="54" t="str">
        <f>IF(ISBLANK(Tableau!$AE$169), "LIBRE", "OCCUPÉ")</f>
        <v>LIBRE</v>
      </c>
      <c r="S169" s="54" t="str">
        <f>IF(ISBLANK(Tableau!$AG$169), "LIBRE", "OCCUPÉ")</f>
        <v>LIBRE</v>
      </c>
      <c r="T169" s="54" t="str">
        <f>IF(ISBLANK(Tableau!$AI$169), "LIBRE", "OCCUPÉ")</f>
        <v>LIBRE</v>
      </c>
      <c r="U169" s="54" t="str">
        <f>IF(ISBLANK(Tableau!$AK$169), "LIBRE", "OCCUPÉ")</f>
        <v>LIBRE</v>
      </c>
      <c r="V169" s="54" t="str">
        <f>IF(ISBLANK(Tableau!$AM$169), "LIBRE", "OCCUPÉ")</f>
        <v>LIBRE</v>
      </c>
      <c r="W169" s="52" t="str">
        <f>IF(ISBLANK(Tableau!$AO$169), "LIBRE", "OCCUPÉ")</f>
        <v>LIBRE</v>
      </c>
      <c r="X169" s="54" t="str">
        <f>IF(ISBLANK(Tableau!$AQ$169), "LIBRE", "OCCUPÉ")</f>
        <v>LIBRE</v>
      </c>
      <c r="Y169" s="54" t="str">
        <f>IF(ISBLANK(Tableau!$AS$169), "LIBRE", "OCCUPÉ")</f>
        <v>LIBRE</v>
      </c>
      <c r="Z169" s="54" t="str">
        <f>IF(ISBLANK(Tableau!$AU$169), "LIBRE", "OCCUPÉ")</f>
        <v>LIBRE</v>
      </c>
      <c r="AA169" s="52" t="str">
        <f>IF(ISBLANK(Tableau!$AW$169), "LIBRE", "OCCUPÉ")</f>
        <v>LIBRE</v>
      </c>
      <c r="AB169" s="69" t="str">
        <f>IF(ISBLANK(Tableau!$AY169), "LIBRE", "OCCUPÉ")</f>
        <v>LIBRE</v>
      </c>
      <c r="AC169" s="70" t="s">
        <v>17</v>
      </c>
    </row>
    <row r="170" ht="21.75" customHeight="1">
      <c r="A170" s="72">
        <f>Tableau!A170</f>
        <v>515</v>
      </c>
      <c r="B170" s="73" t="str">
        <f>VLOOKUP($A170,LocalisationRemorque,2,0)</f>
        <v>Burg Reuland</v>
      </c>
      <c r="C170" s="74" t="str">
        <f>VLOOKUP($A170,LocalisationRemorque,3,0)</f>
        <v>Durler </v>
      </c>
      <c r="D170" s="75" t="str">
        <f>CONCATENATE(VLOOKUP($A170,LocalisationRemorque,6,0)," ► ",VLOOKUP($A170,LocalisationRemorque,5,0))</f>
        <v>Luxembourg ► Saint Vith</v>
      </c>
      <c r="E170" s="52" t="str">
        <f>IF(ISBLANK(Tableau!$E$170), "LIBRE", "OCCUPÉ")</f>
        <v>LIBRE</v>
      </c>
      <c r="F170" s="54" t="str">
        <f>IF(ISBLANK(Tableau!$G$170), "LIBRE", "OCCUPÉ")</f>
        <v>LIBRE</v>
      </c>
      <c r="G170" s="52" t="str">
        <f>IF(ISBLANK(Tableau!$I$170), "LIBRE", "OCCUPÉ")</f>
        <v>LIBRE</v>
      </c>
      <c r="H170" s="52" t="str">
        <f>IF(ISBLANK(Tableau!$K$170), "LIBRE", "OCCUPÉ")</f>
        <v>LIBRE</v>
      </c>
      <c r="I170" s="52" t="str">
        <f>IF(ISBLANK(Tableau!$M$170), "LIBRE", "OCCUPÉ")</f>
        <v>LIBRE</v>
      </c>
      <c r="J170" s="54" t="str">
        <f>IF(ISBLANK(Tableau!$O$170), "LIBRE", "OCCUPÉ")</f>
        <v>LIBRE</v>
      </c>
      <c r="K170" s="54" t="str">
        <f>IF(ISBLANK(Tableau!$Q$170), "LIBRE", "OCCUPÉ")</f>
        <v>LIBRE</v>
      </c>
      <c r="L170" s="54" t="str">
        <f>IF(ISBLANK(Tableau!$S$170), "LIBRE", "OCCUPÉ")</f>
        <v>LIBRE</v>
      </c>
      <c r="M170" s="54" t="str">
        <f>IF(ISBLANK(Tableau!$U$170), "LIBRE", "OCCUPÉ")</f>
        <v>LIBRE</v>
      </c>
      <c r="N170" s="54" t="str">
        <f>IF(ISBLANK(Tableau!$W$170), "LIBRE", "OCCUPÉ")</f>
        <v>LIBRE</v>
      </c>
      <c r="O170" s="52" t="str">
        <f>IF(ISBLANK(Tableau!$Y$170), "LIBRE", "OCCUPÉ")</f>
        <v>LIBRE</v>
      </c>
      <c r="P170" s="52" t="str">
        <f>IF(ISBLANK(Tableau!$AA$170), "LIBRE", "OCCUPÉ")</f>
        <v>LIBRE</v>
      </c>
      <c r="Q170" s="52" t="str">
        <f>IF(ISBLANK(Tableau!$AC$170), "LIBRE", "OCCUPÉ")</f>
        <v>LIBRE</v>
      </c>
      <c r="R170" s="54" t="str">
        <f>IF(ISBLANK(Tableau!$AE$170), "LIBRE", "OCCUPÉ")</f>
        <v>LIBRE</v>
      </c>
      <c r="S170" s="52" t="str">
        <f>IF(ISBLANK(Tableau!$AG$170), "LIBRE", "OCCUPÉ")</f>
        <v>LIBRE</v>
      </c>
      <c r="T170" s="52" t="str">
        <f>IF(ISBLANK(Tableau!$AI$170), "LIBRE", "OCCUPÉ")</f>
        <v>LIBRE</v>
      </c>
      <c r="U170" s="54" t="str">
        <f>IF(ISBLANK(Tableau!$AK$170), "LIBRE", "OCCUPÉ")</f>
        <v>LIBRE</v>
      </c>
      <c r="V170" s="52" t="str">
        <f>IF(ISBLANK(Tableau!$AM$170), "LIBRE", "OCCUPÉ")</f>
        <v>LIBRE</v>
      </c>
      <c r="W170" s="52" t="str">
        <f>IF(ISBLANK(Tableau!$AO$170), "LIBRE", "OCCUPÉ")</f>
        <v>LIBRE</v>
      </c>
      <c r="X170" s="54" t="str">
        <f>IF(ISBLANK(Tableau!$AQ$170), "LIBRE", "OCCUPÉ")</f>
        <v>LIBRE</v>
      </c>
      <c r="Y170" s="52" t="str">
        <f>IF(ISBLANK(Tableau!$AS$170), "LIBRE", "OCCUPÉ")</f>
        <v>LIBRE</v>
      </c>
      <c r="Z170" s="54" t="str">
        <f>IF(ISBLANK(Tableau!$AU$170), "LIBRE", "OCCUPÉ")</f>
        <v>LIBRE</v>
      </c>
      <c r="AA170" s="52" t="str">
        <f>IF(ISBLANK(Tableau!$AW$170), "LIBRE", "OCCUPÉ")</f>
        <v>LIBRE</v>
      </c>
      <c r="AB170" s="69" t="str">
        <f>IF(ISBLANK(Tableau!$AY170), "LIBRE", "OCCUPÉ")</f>
        <v>LIBRE</v>
      </c>
      <c r="AC170" s="77" t="s">
        <v>17</v>
      </c>
    </row>
    <row r="171" ht="21.75" customHeight="1">
      <c r="A171" s="40">
        <f>Tableau!A171</f>
        <v>517</v>
      </c>
      <c r="B171" s="46" t="str">
        <f>VLOOKUP($A171,LocalisationRemorque,2,0)</f>
        <v>Beho</v>
      </c>
      <c r="C171" s="47" t="str">
        <f>VLOOKUP($A171,LocalisationRemorque,3,0)</f>
        <v>Silot 1</v>
      </c>
      <c r="D171" s="49" t="str">
        <f>CONCATENATE(VLOOKUP($A171,LocalisationRemorque,6,0)," ► ",VLOOKUP($A171,LocalisationRemorque,5,0))</f>
        <v>Salm Château ► Luxembourg</v>
      </c>
      <c r="E171" s="52" t="str">
        <f>IF(ISBLANK(Tableau!$E$171), "LIBRE", "OCCUPÉ")</f>
        <v>LIBRE</v>
      </c>
      <c r="F171" s="52" t="str">
        <f>IF(ISBLANK(Tableau!$G$171), "LIBRE", "OCCUPÉ")</f>
        <v>LIBRE</v>
      </c>
      <c r="G171" s="52" t="str">
        <f>IF(ISBLANK(Tableau!$I$171), "LIBRE", "OCCUPÉ")</f>
        <v>LIBRE</v>
      </c>
      <c r="H171" s="52" t="str">
        <f>IF(ISBLANK(Tableau!$K$171), "LIBRE", "OCCUPÉ")</f>
        <v>LIBRE</v>
      </c>
      <c r="I171" s="52" t="str">
        <f>IF(ISBLANK(Tableau!$M$171), "LIBRE", "OCCUPÉ")</f>
        <v>LIBRE</v>
      </c>
      <c r="J171" s="52" t="str">
        <f>IF(ISBLANK(Tableau!$O$171), "LIBRE", "OCCUPÉ")</f>
        <v>LIBRE</v>
      </c>
      <c r="K171" s="52" t="str">
        <f>IF(ISBLANK(Tableau!$Q$171), "LIBRE", "OCCUPÉ")</f>
        <v>LIBRE</v>
      </c>
      <c r="L171" s="52" t="str">
        <f>IF(ISBLANK(Tableau!$S$171), "LIBRE", "OCCUPÉ")</f>
        <v>LIBRE</v>
      </c>
      <c r="M171" s="54" t="str">
        <f>IF(ISBLANK(Tableau!$U$171), "LIBRE", "OCCUPÉ")</f>
        <v>LIBRE</v>
      </c>
      <c r="N171" s="54" t="str">
        <f>IF(ISBLANK(Tableau!$W$171), "LIBRE", "OCCUPÉ")</f>
        <v>LIBRE</v>
      </c>
      <c r="O171" s="54" t="str">
        <f>IF(ISBLANK(Tableau!$Y$171), "LIBRE", "OCCUPÉ")</f>
        <v>LIBRE</v>
      </c>
      <c r="P171" s="52" t="str">
        <f>IF(ISBLANK(Tableau!$AA$171), "LIBRE", "OCCUPÉ")</f>
        <v>LIBRE</v>
      </c>
      <c r="Q171" s="54" t="str">
        <f>IF(ISBLANK(Tableau!$AC$171), "LIBRE", "OCCUPÉ")</f>
        <v>LIBRE</v>
      </c>
      <c r="R171" s="52" t="str">
        <f>IF(ISBLANK(Tableau!$AE$171), "LIBRE", "OCCUPÉ")</f>
        <v>LIBRE</v>
      </c>
      <c r="S171" s="52" t="str">
        <f>IF(ISBLANK(Tableau!$AG$171), "LIBRE", "OCCUPÉ")</f>
        <v>LIBRE</v>
      </c>
      <c r="T171" s="52" t="str">
        <f>IF(ISBLANK(Tableau!$AI$171), "LIBRE", "OCCUPÉ")</f>
        <v>LIBRE</v>
      </c>
      <c r="U171" s="54" t="str">
        <f>IF(ISBLANK(Tableau!$AK$171), "LIBRE", "OCCUPÉ")</f>
        <v>LIBRE</v>
      </c>
      <c r="V171" s="52" t="str">
        <f>IF(ISBLANK(Tableau!$AM$171), "LIBRE", "OCCUPÉ")</f>
        <v>LIBRE</v>
      </c>
      <c r="W171" s="52" t="str">
        <f>IF(ISBLANK(Tableau!$AO$171), "LIBRE", "OCCUPÉ")</f>
        <v>LIBRE</v>
      </c>
      <c r="X171" s="52" t="str">
        <f>IF(ISBLANK(Tableau!$AQ$171), "LIBRE", "OCCUPÉ")</f>
        <v>LIBRE</v>
      </c>
      <c r="Y171" s="54" t="str">
        <f>IF(ISBLANK(Tableau!$AS$171), "LIBRE", "OCCUPÉ")</f>
        <v>LIBRE</v>
      </c>
      <c r="Z171" s="52" t="str">
        <f>IF(ISBLANK(Tableau!$AU$171), "LIBRE", "OCCUPÉ")</f>
        <v>LIBRE</v>
      </c>
      <c r="AA171" s="54" t="str">
        <f>IF(ISBLANK(Tableau!$AW$171), "LIBRE", "OCCUPÉ")</f>
        <v>LIBRE</v>
      </c>
      <c r="AB171" s="76" t="str">
        <f>IF(ISBLANK(Tableau!$AY171), "LIBRE", "OCCUPÉ")</f>
        <v>LIBRE</v>
      </c>
      <c r="AC171" s="70" t="s">
        <v>17</v>
      </c>
    </row>
    <row r="172" ht="21.75" customHeight="1">
      <c r="A172" s="72">
        <f>Tableau!A172</f>
        <v>518</v>
      </c>
      <c r="B172" s="73" t="str">
        <f>VLOOKUP($A172,LocalisationRemorque,2,0)</f>
        <v>Beho</v>
      </c>
      <c r="C172" s="74" t="str">
        <f>VLOOKUP($A172,LocalisationRemorque,3,0)</f>
        <v>Silot 2</v>
      </c>
      <c r="D172" s="75" t="str">
        <f>CONCATENATE(VLOOKUP($A172,LocalisationRemorque,6,0)," ► ",VLOOKUP($A172,LocalisationRemorque,5,0))</f>
        <v>Luxembourg ► Salm Château</v>
      </c>
      <c r="E172" s="52" t="str">
        <f>IF(ISBLANK(Tableau!$E$172), "LIBRE", "OCCUPÉ")</f>
        <v>LIBRE</v>
      </c>
      <c r="F172" s="54" t="str">
        <f>IF(ISBLANK(Tableau!$G$172), "LIBRE", "OCCUPÉ")</f>
        <v>LIBRE</v>
      </c>
      <c r="G172" s="54" t="str">
        <f>IF(ISBLANK(Tableau!$I$172), "LIBRE", "OCCUPÉ")</f>
        <v>LIBRE</v>
      </c>
      <c r="H172" s="54" t="str">
        <f>IF(ISBLANK(Tableau!$K$172), "LIBRE", "OCCUPÉ")</f>
        <v>LIBRE</v>
      </c>
      <c r="I172" s="52" t="str">
        <f>IF(ISBLANK(Tableau!$M$172), "LIBRE", "OCCUPÉ")</f>
        <v>LIBRE</v>
      </c>
      <c r="J172" s="54" t="str">
        <f>IF(ISBLANK(Tableau!$O$172), "LIBRE", "OCCUPÉ")</f>
        <v>LIBRE</v>
      </c>
      <c r="K172" s="54" t="str">
        <f>IF(ISBLANK(Tableau!$Q$172), "LIBRE", "OCCUPÉ")</f>
        <v>LIBRE</v>
      </c>
      <c r="L172" s="54" t="str">
        <f>IF(ISBLANK(Tableau!$S$172), "LIBRE", "OCCUPÉ")</f>
        <v>LIBRE</v>
      </c>
      <c r="M172" s="54" t="str">
        <f>IF(ISBLANK(Tableau!$U$172), "LIBRE", "OCCUPÉ")</f>
        <v>LIBRE</v>
      </c>
      <c r="N172" s="54" t="str">
        <f>IF(ISBLANK(Tableau!$W$172), "LIBRE", "OCCUPÉ")</f>
        <v>LIBRE</v>
      </c>
      <c r="O172" s="54" t="str">
        <f>IF(ISBLANK(Tableau!$Y$172), "LIBRE", "OCCUPÉ")</f>
        <v>LIBRE</v>
      </c>
      <c r="P172" s="54" t="str">
        <f>IF(ISBLANK(Tableau!$AA$172), "LIBRE", "OCCUPÉ")</f>
        <v>LIBRE</v>
      </c>
      <c r="Q172" s="52" t="str">
        <f>IF(ISBLANK(Tableau!$AC$172), "LIBRE", "OCCUPÉ")</f>
        <v>LIBRE</v>
      </c>
      <c r="R172" s="54" t="str">
        <f>IF(ISBLANK(Tableau!$AE$172), "LIBRE", "OCCUPÉ")</f>
        <v>LIBRE</v>
      </c>
      <c r="S172" s="54" t="str">
        <f>IF(ISBLANK(Tableau!$AG$172), "LIBRE", "OCCUPÉ")</f>
        <v>LIBRE</v>
      </c>
      <c r="T172" s="54" t="str">
        <f>IF(ISBLANK(Tableau!$AI$172), "LIBRE", "OCCUPÉ")</f>
        <v>LIBRE</v>
      </c>
      <c r="U172" s="52" t="str">
        <f>IF(ISBLANK(Tableau!$AK$172), "LIBRE", "OCCUPÉ")</f>
        <v>LIBRE</v>
      </c>
      <c r="V172" s="54" t="str">
        <f>IF(ISBLANK(Tableau!$AM$172), "LIBRE", "OCCUPÉ")</f>
        <v>LIBRE</v>
      </c>
      <c r="W172" s="52" t="str">
        <f>IF(ISBLANK(Tableau!$AO$172), "LIBRE", "OCCUPÉ")</f>
        <v>LIBRE</v>
      </c>
      <c r="X172" s="54" t="str">
        <f>IF(ISBLANK(Tableau!$AQ$172), "LIBRE", "OCCUPÉ")</f>
        <v>LIBRE</v>
      </c>
      <c r="Y172" s="52" t="str">
        <f>IF(ISBLANK(Tableau!$AS$172), "LIBRE", "OCCUPÉ")</f>
        <v>LIBRE</v>
      </c>
      <c r="Z172" s="54" t="str">
        <f>IF(ISBLANK(Tableau!$AU$172), "LIBRE", "OCCUPÉ")</f>
        <v>LIBRE</v>
      </c>
      <c r="AA172" s="52" t="str">
        <f>IF(ISBLANK(Tableau!$AW$172), "LIBRE", "OCCUPÉ")</f>
        <v>LIBRE</v>
      </c>
      <c r="AB172" s="69" t="str">
        <f>IF(ISBLANK(Tableau!$AY172), "LIBRE", "OCCUPÉ")</f>
        <v>LIBRE</v>
      </c>
      <c r="AC172" s="77" t="s">
        <v>17</v>
      </c>
    </row>
    <row r="173" ht="21.75" hidden="1" customHeight="1">
      <c r="A173" s="40" t="str">
        <f>Tableau!A173</f>
        <v/>
      </c>
      <c r="B173" s="46" t="str">
        <f>VLOOKUP($A173,LocalisationRemorque,2,0)</f>
        <v> Remorque non listée</v>
      </c>
      <c r="C173" s="47" t="str">
        <f>VLOOKUP($A173,LocalisationRemorque,3,0)</f>
        <v/>
      </c>
      <c r="D173" s="49" t="str">
        <f>CONCATENATE(VLOOKUP($A173,LocalisationRemorque,6,0)," ► ",VLOOKUP($A173,LocalisationRemorque,5,0))</f>
        <v> ► </v>
      </c>
      <c r="E173" s="54" t="str">
        <f>IF(ISBLANK(Tableau!$E$173), "LIBRE", "OCCUPÉ")</f>
        <v>LIBRE</v>
      </c>
      <c r="F173" s="52" t="str">
        <f>IF(ISBLANK(Tableau!$G$173), "LIBRE", "OCCUPÉ")</f>
        <v>LIBRE</v>
      </c>
      <c r="G173" s="54" t="str">
        <f>IF(ISBLANK(Tableau!$I$173), "LIBRE", "OCCUPÉ")</f>
        <v>LIBRE</v>
      </c>
      <c r="H173" s="52" t="str">
        <f>IF(ISBLANK(Tableau!$K$173), "LIBRE", "OCCUPÉ")</f>
        <v>LIBRE</v>
      </c>
      <c r="I173" s="54" t="str">
        <f>IF(ISBLANK(Tableau!$M$173), "LIBRE", "OCCUPÉ")</f>
        <v>LIBRE</v>
      </c>
      <c r="J173" s="54" t="str">
        <f>IF(ISBLANK(Tableau!$O$173), "LIBRE", "OCCUPÉ")</f>
        <v>LIBRE</v>
      </c>
      <c r="K173" s="54" t="str">
        <f>IF(ISBLANK(Tableau!$Q$173), "LIBRE", "OCCUPÉ")</f>
        <v>LIBRE</v>
      </c>
      <c r="L173" s="52" t="str">
        <f>IF(ISBLANK(Tableau!$S$173), "LIBRE", "OCCUPÉ")</f>
        <v>LIBRE</v>
      </c>
      <c r="M173" s="54" t="str">
        <f>IF(ISBLANK(Tableau!$U$173), "LIBRE", "OCCUPÉ")</f>
        <v>LIBRE</v>
      </c>
      <c r="N173" s="52" t="str">
        <f>IF(ISBLANK(Tableau!$W$173), "LIBRE", "OCCUPÉ")</f>
        <v>LIBRE</v>
      </c>
      <c r="O173" s="52" t="str">
        <f>IF(ISBLANK(Tableau!$Y$173), "LIBRE", "OCCUPÉ")</f>
        <v>LIBRE</v>
      </c>
      <c r="P173" s="52" t="str">
        <f>IF(ISBLANK(Tableau!$AA$173), "LIBRE", "OCCUPÉ")</f>
        <v>LIBRE</v>
      </c>
      <c r="Q173" s="52" t="str">
        <f>IF(ISBLANK(Tableau!$AC$173), "LIBRE", "OCCUPÉ")</f>
        <v>LIBRE</v>
      </c>
      <c r="R173" s="52" t="str">
        <f>IF(ISBLANK(Tableau!$AE$173), "LIBRE", "OCCUPÉ")</f>
        <v>LIBRE</v>
      </c>
      <c r="S173" s="52" t="str">
        <f>IF(ISBLANK(Tableau!$AG$173), "LIBRE", "OCCUPÉ")</f>
        <v>LIBRE</v>
      </c>
      <c r="T173" s="52" t="str">
        <f>IF(ISBLANK(Tableau!$AI$173), "LIBRE", "OCCUPÉ")</f>
        <v>LIBRE</v>
      </c>
      <c r="U173" s="52" t="str">
        <f>IF(ISBLANK(Tableau!$AK$173), "LIBRE", "OCCUPÉ")</f>
        <v>LIBRE</v>
      </c>
      <c r="V173" s="52" t="str">
        <f>IF(ISBLANK(Tableau!$AM$173), "LIBRE", "OCCUPÉ")</f>
        <v>LIBRE</v>
      </c>
      <c r="W173" s="52" t="str">
        <f>IF(ISBLANK(Tableau!$AO$173), "LIBRE", "OCCUPÉ")</f>
        <v>LIBRE</v>
      </c>
      <c r="X173" s="52" t="str">
        <f>IF(ISBLANK(Tableau!$AQ$173), "LIBRE", "OCCUPÉ")</f>
        <v>LIBRE</v>
      </c>
      <c r="Y173" s="52" t="str">
        <f>IF(ISBLANK(Tableau!$AS$173), "LIBRE", "OCCUPÉ")</f>
        <v>LIBRE</v>
      </c>
      <c r="Z173" s="52" t="str">
        <f>IF(ISBLANK(Tableau!$AU$173), "LIBRE", "OCCUPÉ")</f>
        <v>LIBRE</v>
      </c>
      <c r="AA173" s="52" t="str">
        <f>IF(ISBLANK(Tableau!$AW$173), "LIBRE", "OCCUPÉ")</f>
        <v>LIBRE</v>
      </c>
      <c r="AB173" s="76" t="str">
        <f>IF(ISBLANK(Tableau!$AY173), "LIBRE", "OCCUPÉ")</f>
        <v>LIBRE</v>
      </c>
      <c r="AC173" s="88"/>
    </row>
    <row r="174" ht="21.75" customHeight="1">
      <c r="A174" s="72">
        <f>Tableau!A174</f>
        <v>520</v>
      </c>
      <c r="B174" s="73" t="str">
        <f>VLOOKUP($A174,LocalisationRemorque,2,0)</f>
        <v>Vielsam</v>
      </c>
      <c r="C174" s="74" t="str">
        <f>VLOOKUP($A174,LocalisationRemorque,3,0)</f>
        <v>Regné</v>
      </c>
      <c r="D174" s="75" t="str">
        <f>CONCATENATE(VLOOKUP($A174,LocalisationRemorque,6,0)," ► ",VLOOKUP($A174,LocalisationRemorque,5,0))</f>
        <v>Baraque de Fraiture ► Vielsam</v>
      </c>
      <c r="E174" s="52" t="str">
        <f>IF(ISBLANK(Tableau!$E$174), "LIBRE", "OCCUPÉ")</f>
        <v>LIBRE</v>
      </c>
      <c r="F174" s="52" t="str">
        <f>IF(ISBLANK(Tableau!$G$174), "LIBRE", "OCCUPÉ")</f>
        <v>LIBRE</v>
      </c>
      <c r="G174" s="54" t="str">
        <f>IF(ISBLANK(Tableau!$I$174), "LIBRE", "OCCUPÉ")</f>
        <v>LIBRE</v>
      </c>
      <c r="H174" s="52" t="str">
        <f>IF(ISBLANK(Tableau!$K$174), "LIBRE", "OCCUPÉ")</f>
        <v>LIBRE</v>
      </c>
      <c r="I174" s="52" t="str">
        <f>IF(ISBLANK(Tableau!$M$174), "LIBRE", "OCCUPÉ")</f>
        <v>LIBRE</v>
      </c>
      <c r="J174" s="52" t="str">
        <f>IF(ISBLANK(Tableau!$O$174), "LIBRE", "OCCUPÉ")</f>
        <v>LIBRE</v>
      </c>
      <c r="K174" s="52" t="str">
        <f>IF(ISBLANK(Tableau!$Q$174), "LIBRE", "OCCUPÉ")</f>
        <v>LIBRE</v>
      </c>
      <c r="L174" s="52" t="str">
        <f>IF(ISBLANK(Tableau!$S$174), "LIBRE", "OCCUPÉ")</f>
        <v>LIBRE</v>
      </c>
      <c r="M174" s="54" t="str">
        <f>IF(ISBLANK(Tableau!$U$174), "LIBRE", "OCCUPÉ")</f>
        <v>LIBRE</v>
      </c>
      <c r="N174" s="54" t="str">
        <f>IF(ISBLANK(Tableau!$W$174), "LIBRE", "OCCUPÉ")</f>
        <v>LIBRE</v>
      </c>
      <c r="O174" s="54" t="str">
        <f>IF(ISBLANK(Tableau!$Y$174), "LIBRE", "OCCUPÉ")</f>
        <v>LIBRE</v>
      </c>
      <c r="P174" s="54" t="str">
        <f>IF(ISBLANK(Tableau!$AA$174), "LIBRE", "OCCUPÉ")</f>
        <v>LIBRE</v>
      </c>
      <c r="Q174" s="54" t="str">
        <f>IF(ISBLANK(Tableau!$AC$174), "LIBRE", "OCCUPÉ")</f>
        <v>LIBRE</v>
      </c>
      <c r="R174" s="52" t="str">
        <f>IF(ISBLANK(Tableau!$AE$174), "LIBRE", "OCCUPÉ")</f>
        <v>LIBRE</v>
      </c>
      <c r="S174" s="52" t="str">
        <f>IF(ISBLANK(Tableau!$AG$174), "LIBRE", "OCCUPÉ")</f>
        <v>LIBRE</v>
      </c>
      <c r="T174" s="52" t="str">
        <f>IF(ISBLANK(Tableau!$AI$174), "LIBRE", "OCCUPÉ")</f>
        <v>LIBRE</v>
      </c>
      <c r="U174" s="54" t="str">
        <f>IF(ISBLANK(Tableau!$AK$174), "LIBRE", "OCCUPÉ")</f>
        <v>LIBRE</v>
      </c>
      <c r="V174" s="52" t="str">
        <f>IF(ISBLANK(Tableau!$AM$174), "LIBRE", "OCCUPÉ")</f>
        <v>LIBRE</v>
      </c>
      <c r="W174" s="52" t="str">
        <f>IF(ISBLANK(Tableau!$AO$174), "LIBRE", "OCCUPÉ")</f>
        <v>LIBRE</v>
      </c>
      <c r="X174" s="52" t="str">
        <f>IF(ISBLANK(Tableau!$AQ$174), "LIBRE", "OCCUPÉ")</f>
        <v>LIBRE</v>
      </c>
      <c r="Y174" s="54" t="str">
        <f>IF(ISBLANK(Tableau!$AS$174), "LIBRE", "OCCUPÉ")</f>
        <v>LIBRE</v>
      </c>
      <c r="Z174" s="54" t="str">
        <f>IF(ISBLANK(Tableau!$AU$174), "LIBRE", "OCCUPÉ")</f>
        <v>LIBRE</v>
      </c>
      <c r="AA174" s="52" t="str">
        <f>IF(ISBLANK(Tableau!$AW$174), "LIBRE", "OCCUPÉ")</f>
        <v>LIBRE</v>
      </c>
      <c r="AB174" s="76" t="str">
        <f>IF(ISBLANK(Tableau!$AY174), "LIBRE", "OCCUPÉ")</f>
        <v>LIBRE</v>
      </c>
      <c r="AC174" s="77" t="s">
        <v>17</v>
      </c>
    </row>
    <row r="175" ht="21.75" customHeight="1">
      <c r="A175" s="40">
        <f>Tableau!A175</f>
        <v>521</v>
      </c>
      <c r="B175" s="46" t="str">
        <f>VLOOKUP($A175,LocalisationRemorque,2,0)</f>
        <v>Vielsam</v>
      </c>
      <c r="C175" s="47" t="str">
        <f>VLOOKUP($A175,LocalisationRemorque,3,0)</f>
        <v>Fraiture</v>
      </c>
      <c r="D175" s="49" t="str">
        <f>CONCATENATE(VLOOKUP($A175,LocalisationRemorque,6,0)," ► ",VLOOKUP($A175,LocalisationRemorque,5,0))</f>
        <v>Vielsam ► Baraque Fraiture</v>
      </c>
      <c r="E175" s="54" t="str">
        <f>IF(ISBLANK(Tableau!$E$175), "LIBRE", "OCCUPÉ")</f>
        <v>LIBRE</v>
      </c>
      <c r="F175" s="52" t="str">
        <f>IF(ISBLANK(Tableau!$G$175), "LIBRE", "OCCUPÉ")</f>
        <v>LIBRE</v>
      </c>
      <c r="G175" s="54" t="str">
        <f>IF(ISBLANK(Tableau!$I$175), "LIBRE", "OCCUPÉ")</f>
        <v>LIBRE</v>
      </c>
      <c r="H175" s="52" t="str">
        <f>IF(ISBLANK(Tableau!$K$175), "LIBRE", "OCCUPÉ")</f>
        <v>LIBRE</v>
      </c>
      <c r="I175" s="54" t="str">
        <f>IF(ISBLANK(Tableau!$M$175), "LIBRE", "OCCUPÉ")</f>
        <v>LIBRE</v>
      </c>
      <c r="J175" s="52" t="str">
        <f>IF(ISBLANK(Tableau!$O$175), "LIBRE", "OCCUPÉ")</f>
        <v>LIBRE</v>
      </c>
      <c r="K175" s="54" t="str">
        <f>IF(ISBLANK(Tableau!$Q$175), "LIBRE", "OCCUPÉ")</f>
        <v>LIBRE</v>
      </c>
      <c r="L175" s="54" t="str">
        <f>IF(ISBLANK(Tableau!$S$175), "LIBRE", "OCCUPÉ")</f>
        <v>LIBRE</v>
      </c>
      <c r="M175" s="54" t="str">
        <f>IF(ISBLANK(Tableau!$U$175), "LIBRE", "OCCUPÉ")</f>
        <v>LIBRE</v>
      </c>
      <c r="N175" s="52" t="str">
        <f>IF(ISBLANK(Tableau!$W$175), "LIBRE", "OCCUPÉ")</f>
        <v>LIBRE</v>
      </c>
      <c r="O175" s="54" t="str">
        <f>IF(ISBLANK(Tableau!$Y$175), "LIBRE", "OCCUPÉ")</f>
        <v>LIBRE</v>
      </c>
      <c r="P175" s="52" t="str">
        <f>IF(ISBLANK(Tableau!$AA$175), "LIBRE", "OCCUPÉ")</f>
        <v>LIBRE</v>
      </c>
      <c r="Q175" s="54" t="str">
        <f>IF(ISBLANK(Tableau!$AC$175), "LIBRE", "OCCUPÉ")</f>
        <v>OCCUPÉ</v>
      </c>
      <c r="R175" s="52" t="str">
        <f>IF(ISBLANK(Tableau!$AE$175), "LIBRE", "OCCUPÉ")</f>
        <v>LIBRE</v>
      </c>
      <c r="S175" s="54" t="str">
        <f>IF(ISBLANK(Tableau!$AG$175), "LIBRE", "OCCUPÉ")</f>
        <v>OCCUPÉ</v>
      </c>
      <c r="T175" s="54" t="str">
        <f>IF(ISBLANK(Tableau!$AI$175), "LIBRE", "OCCUPÉ")</f>
        <v>LIBRE</v>
      </c>
      <c r="U175" s="54" t="str">
        <f>IF(ISBLANK(Tableau!$AK$175), "LIBRE", "OCCUPÉ")</f>
        <v>LIBRE</v>
      </c>
      <c r="V175" s="52" t="str">
        <f>IF(ISBLANK(Tableau!$AM$175), "LIBRE", "OCCUPÉ")</f>
        <v>LIBRE</v>
      </c>
      <c r="W175" s="54" t="str">
        <f>IF(ISBLANK(Tableau!$AO$175), "LIBRE", "OCCUPÉ")</f>
        <v>OCCUPÉ</v>
      </c>
      <c r="X175" s="52" t="str">
        <f>IF(ISBLANK(Tableau!$AQ$175), "LIBRE", "OCCUPÉ")</f>
        <v>LIBRE</v>
      </c>
      <c r="Y175" s="54" t="str">
        <f>IF(ISBLANK(Tableau!$AS$175), "LIBRE", "OCCUPÉ")</f>
        <v>LIBRE</v>
      </c>
      <c r="Z175" s="52" t="str">
        <f>IF(ISBLANK(Tableau!$AU$175), "LIBRE", "OCCUPÉ")</f>
        <v>LIBRE</v>
      </c>
      <c r="AA175" s="54" t="str">
        <f>IF(ISBLANK(Tableau!$AW$175), "LIBRE", "OCCUPÉ")</f>
        <v>LIBRE</v>
      </c>
      <c r="AB175" s="76" t="str">
        <f>IF(ISBLANK(Tableau!$AY175), "LIBRE", "OCCUPÉ")</f>
        <v>LIBRE</v>
      </c>
      <c r="AC175" s="70" t="s">
        <v>17</v>
      </c>
    </row>
    <row r="176" ht="21.75" customHeight="1">
      <c r="A176" s="72">
        <f>Tableau!A176</f>
        <v>525</v>
      </c>
      <c r="B176" s="73" t="str">
        <f>VLOOKUP($A176,LocalisationRemorque,2,0)</f>
        <v>Durbuy</v>
      </c>
      <c r="C176" s="74" t="str">
        <f>VLOOKUP($A176,LocalisationRemorque,3,0)</f>
        <v>Grandhan</v>
      </c>
      <c r="D176" s="75" t="str">
        <f>CONCATENATE(VLOOKUP($A176,LocalisationRemorque,6,0)," ► ",VLOOKUP($A176,LocalisationRemorque,5,0))</f>
        <v>Baillonville ► Durbuy</v>
      </c>
      <c r="E176" s="52" t="str">
        <f>IF(ISBLANK(Tableau!$E$176), "LIBRE", "OCCUPÉ")</f>
        <v>OCCUPÉ</v>
      </c>
      <c r="F176" s="52" t="str">
        <f>IF(ISBLANK(Tableau!$G$176), "LIBRE", "OCCUPÉ")</f>
        <v>LIBRE</v>
      </c>
      <c r="G176" s="54" t="str">
        <f>IF(ISBLANK(Tableau!$I$176), "LIBRE", "OCCUPÉ")</f>
        <v>LIBRE</v>
      </c>
      <c r="H176" s="52" t="str">
        <f>IF(ISBLANK(Tableau!$K$176), "LIBRE", "OCCUPÉ")</f>
        <v>LIBRE</v>
      </c>
      <c r="I176" s="54" t="str">
        <f>IF(ISBLANK(Tableau!$M$176), "LIBRE", "OCCUPÉ")</f>
        <v>LIBRE</v>
      </c>
      <c r="J176" s="52" t="str">
        <f>IF(ISBLANK(Tableau!$O$176), "LIBRE", "OCCUPÉ")</f>
        <v>OCCUPÉ</v>
      </c>
      <c r="K176" s="52" t="str">
        <f>IF(ISBLANK(Tableau!$Q$176), "LIBRE", "OCCUPÉ")</f>
        <v>LIBRE</v>
      </c>
      <c r="L176" s="52" t="str">
        <f>IF(ISBLANK(Tableau!$S$176), "LIBRE", "OCCUPÉ")</f>
        <v>OCCUPÉ</v>
      </c>
      <c r="M176" s="54" t="str">
        <f>IF(ISBLANK(Tableau!$U$176), "LIBRE", "OCCUPÉ")</f>
        <v>LIBRE</v>
      </c>
      <c r="N176" s="52" t="str">
        <f>IF(ISBLANK(Tableau!$W$176), "LIBRE", "OCCUPÉ")</f>
        <v>OCCUPÉ</v>
      </c>
      <c r="O176" s="52" t="str">
        <f>IF(ISBLANK(Tableau!$Y$176), "LIBRE", "OCCUPÉ")</f>
        <v>LIBRE</v>
      </c>
      <c r="P176" s="52" t="str">
        <f>IF(ISBLANK(Tableau!$AA$176), "LIBRE", "OCCUPÉ")</f>
        <v>OCCUPÉ</v>
      </c>
      <c r="Q176" s="54" t="str">
        <f>IF(ISBLANK(Tableau!$AC$176), "LIBRE", "OCCUPÉ")</f>
        <v>OCCUPÉ</v>
      </c>
      <c r="R176" s="54" t="str">
        <f>IF(ISBLANK(Tableau!$AE$176), "LIBRE", "OCCUPÉ")</f>
        <v>LIBRE</v>
      </c>
      <c r="S176" s="54" t="str">
        <f>IF(ISBLANK(Tableau!$AG$176), "LIBRE", "OCCUPÉ")</f>
        <v>OCCUPÉ</v>
      </c>
      <c r="T176" s="52" t="str">
        <f>IF(ISBLANK(Tableau!$AI$176), "LIBRE", "OCCUPÉ")</f>
        <v>LIBRE</v>
      </c>
      <c r="U176" s="54" t="str">
        <f>IF(ISBLANK(Tableau!$AK$176), "LIBRE", "OCCUPÉ")</f>
        <v>LIBRE</v>
      </c>
      <c r="V176" s="52" t="str">
        <f>IF(ISBLANK(Tableau!$AM$176), "LIBRE", "OCCUPÉ")</f>
        <v>LIBRE</v>
      </c>
      <c r="W176" s="54" t="str">
        <f>IF(ISBLANK(Tableau!$AO$176), "LIBRE", "OCCUPÉ")</f>
        <v>OCCUPÉ</v>
      </c>
      <c r="X176" s="52" t="str">
        <f>IF(ISBLANK(Tableau!$AQ$176), "LIBRE", "OCCUPÉ")</f>
        <v>LIBRE</v>
      </c>
      <c r="Y176" s="52" t="str">
        <f>IF(ISBLANK(Tableau!$AS$176), "LIBRE", "OCCUPÉ")</f>
        <v>LIBRE</v>
      </c>
      <c r="Z176" s="52" t="str">
        <f>IF(ISBLANK(Tableau!$AU$176), "LIBRE", "OCCUPÉ")</f>
        <v>OCCUPÉ</v>
      </c>
      <c r="AA176" s="52" t="str">
        <f>IF(ISBLANK(Tableau!$AW$176), "LIBRE", "OCCUPÉ")</f>
        <v>LIBRE</v>
      </c>
      <c r="AB176" s="76" t="str">
        <f>IF(ISBLANK(Tableau!$AY176), "LIBRE", "OCCUPÉ")</f>
        <v>OCCUPÉ</v>
      </c>
      <c r="AC176" s="77" t="s">
        <v>17</v>
      </c>
    </row>
    <row r="177" ht="21.75" customHeight="1">
      <c r="A177" s="40">
        <f>Tableau!A177</f>
        <v>530</v>
      </c>
      <c r="B177" s="46" t="str">
        <f>VLOOKUP($A177,LocalisationRemorque,2,0)</f>
        <v>Arlon</v>
      </c>
      <c r="C177" s="47" t="str">
        <f>VLOOKUP($A177,LocalisationRemorque,3,0)</f>
        <v>Wolberg</v>
      </c>
      <c r="D177" s="49" t="str">
        <f>CONCATENATE(VLOOKUP($A177,LocalisationRemorque,6,0)," ► ",VLOOKUP($A177,LocalisationRemorque,5,0))</f>
        <v>Stienfort ► Arlon</v>
      </c>
      <c r="E177" s="54" t="str">
        <f>IF(ISBLANK(Tableau!$E$177), "LIBRE", "OCCUPÉ")</f>
        <v>OCCUPÉ</v>
      </c>
      <c r="F177" s="54" t="str">
        <f>IF(ISBLANK(Tableau!$G$177), "LIBRE", "OCCUPÉ")</f>
        <v>LIBRE</v>
      </c>
      <c r="G177" s="52" t="str">
        <f>IF(ISBLANK(Tableau!$I$177), "LIBRE", "OCCUPÉ")</f>
        <v>OCCUPÉ</v>
      </c>
      <c r="H177" s="52" t="str">
        <f>IF(ISBLANK(Tableau!$K$177), "LIBRE", "OCCUPÉ")</f>
        <v>LIBRE</v>
      </c>
      <c r="I177" s="54" t="str">
        <f>IF(ISBLANK(Tableau!$M$177), "LIBRE", "OCCUPÉ")</f>
        <v>OCCUPÉ</v>
      </c>
      <c r="J177" s="52" t="str">
        <f>IF(ISBLANK(Tableau!$M$177), "LIBRE", "OCCUPÉ")</f>
        <v>OCCUPÉ</v>
      </c>
      <c r="K177" s="54" t="str">
        <f>IF(ISBLANK(Tableau!$Q$177), "LIBRE", "OCCUPÉ")</f>
        <v>OCCUPÉ</v>
      </c>
      <c r="L177" s="52" t="str">
        <f>IF(ISBLANK(Tableau!$S$177), "LIBRE", "OCCUPÉ")</f>
        <v>LIBRE</v>
      </c>
      <c r="M177" s="54" t="str">
        <f>IF(ISBLANK(Tableau!$U$177), "LIBRE", "OCCUPÉ")</f>
        <v>OCCUPÉ</v>
      </c>
      <c r="N177" s="52" t="str">
        <f>IF(ISBLANK(Tableau!$W$177), "LIBRE", "OCCUPÉ")</f>
        <v>LIBRE</v>
      </c>
      <c r="O177" s="52" t="str">
        <f>IF(ISBLANK(Tableau!$Y$177), "LIBRE", "OCCUPÉ")</f>
        <v>OCCUPÉ</v>
      </c>
      <c r="P177" s="52" t="str">
        <f>IF(ISBLANK(Tableau!$AA$177), "LIBRE", "OCCUPÉ")</f>
        <v>LIBRE</v>
      </c>
      <c r="Q177" s="54" t="str">
        <f>IF(ISBLANK(Tableau!$AC$177), "LIBRE", "OCCUPÉ")</f>
        <v>OCCUPÉ</v>
      </c>
      <c r="R177" s="54" t="str">
        <f>IF(ISBLANK(Tableau!$AE$177), "LIBRE", "OCCUPÉ")</f>
        <v>OCCUPÉ</v>
      </c>
      <c r="S177" s="54" t="str">
        <f>IF(ISBLANK(Tableau!$AG$177), "LIBRE", "OCCUPÉ")</f>
        <v>OCCUPÉ</v>
      </c>
      <c r="T177" s="52" t="str">
        <f>IF(ISBLANK(Tableau!$AI$177), "LIBRE", "OCCUPÉ")</f>
        <v>OCCUPÉ</v>
      </c>
      <c r="U177" s="54" t="str">
        <f>IF(ISBLANK(Tableau!$AK$177), "LIBRE", "OCCUPÉ")</f>
        <v>OCCUPÉ</v>
      </c>
      <c r="V177" s="52" t="str">
        <f>IF(ISBLANK(Tableau!$AM$177), "LIBRE", "OCCUPÉ")</f>
        <v>LIBRE</v>
      </c>
      <c r="W177" s="54" t="str">
        <f>IF(ISBLANK(Tableau!$AO$177), "LIBRE", "OCCUPÉ")</f>
        <v>OCCUPÉ</v>
      </c>
      <c r="X177" s="54" t="str">
        <f>IF(ISBLANK(Tableau!$AQ$177), "LIBRE", "OCCUPÉ")</f>
        <v>OCCUPÉ</v>
      </c>
      <c r="Y177" s="54" t="str">
        <f>IF(ISBLANK(Tableau!$AS$177), "LIBRE", "OCCUPÉ")</f>
        <v>OCCUPÉ</v>
      </c>
      <c r="Z177" s="52" t="str">
        <f>IF(ISBLANK(Tableau!$AU$177), "LIBRE", "OCCUPÉ")</f>
        <v>LIBRE</v>
      </c>
      <c r="AA177" s="52" t="str">
        <f>IF(ISBLANK(Tableau!$AW$177), "LIBRE", "OCCUPÉ")</f>
        <v>OCCUPÉ</v>
      </c>
      <c r="AB177" s="69" t="str">
        <f>IF(ISBLANK(Tableau!$AY177), "LIBRE", "OCCUPÉ")</f>
        <v>LIBRE</v>
      </c>
      <c r="AC177" s="70" t="s">
        <v>17</v>
      </c>
    </row>
    <row r="178" ht="21.75" hidden="1" customHeight="1">
      <c r="A178" s="72" t="str">
        <f>Tableau!A178</f>
        <v/>
      </c>
      <c r="B178" s="438"/>
      <c r="C178" s="438"/>
      <c r="D178" s="439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1"/>
      <c r="AC178" s="155"/>
    </row>
    <row r="179" ht="21.75" hidden="1" customHeight="1">
      <c r="A179" s="114" t="str">
        <f>Tableau!A179</f>
        <v/>
      </c>
      <c r="B179" s="442"/>
      <c r="C179" s="442"/>
      <c r="D179" s="443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21"/>
      <c r="AC179" s="120"/>
    </row>
    <row r="180" ht="21.75" hidden="1" customHeight="1">
      <c r="A180" s="114" t="str">
        <f>Tableau!A180</f>
        <v/>
      </c>
      <c r="B180" s="442"/>
      <c r="C180" s="442"/>
      <c r="D180" s="443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21"/>
      <c r="AC180" s="120"/>
    </row>
    <row r="181" ht="21.75" hidden="1" customHeight="1">
      <c r="A181" s="114" t="str">
        <f>Tableau!A181</f>
        <v/>
      </c>
      <c r="B181" s="442"/>
      <c r="C181" s="442"/>
      <c r="D181" s="443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21"/>
      <c r="AC181" s="120"/>
    </row>
    <row r="182" ht="21.75" hidden="1" customHeight="1">
      <c r="A182" s="114" t="str">
        <f>Tableau!A182</f>
        <v/>
      </c>
      <c r="B182" s="442"/>
      <c r="C182" s="442"/>
      <c r="D182" s="443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21"/>
      <c r="AC182" s="120"/>
    </row>
    <row r="183" ht="21.75" hidden="1" customHeight="1">
      <c r="A183" s="114" t="str">
        <f>Tableau!A183</f>
        <v/>
      </c>
      <c r="B183" s="442"/>
      <c r="C183" s="442"/>
      <c r="D183" s="443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21"/>
      <c r="AC183" s="120"/>
    </row>
    <row r="184" ht="21.75" hidden="1" customHeight="1">
      <c r="A184" s="114" t="str">
        <f>Tableau!A184</f>
        <v/>
      </c>
      <c r="B184" s="442"/>
      <c r="C184" s="442"/>
      <c r="D184" s="443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21"/>
      <c r="AC184" s="120"/>
    </row>
    <row r="185" ht="21.75" hidden="1" customHeight="1">
      <c r="A185" s="114" t="str">
        <f>Tableau!A185</f>
        <v/>
      </c>
      <c r="B185" s="442"/>
      <c r="C185" s="442"/>
      <c r="D185" s="443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21"/>
      <c r="AC185" s="120"/>
    </row>
    <row r="186" ht="21.75" hidden="1" customHeight="1">
      <c r="A186" s="114" t="str">
        <f>Tableau!A186</f>
        <v/>
      </c>
      <c r="B186" s="442"/>
      <c r="C186" s="442"/>
      <c r="D186" s="443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21"/>
      <c r="AC186" s="120"/>
    </row>
    <row r="187" ht="21.75" hidden="1" customHeight="1">
      <c r="A187" s="114" t="str">
        <f>Tableau!A187</f>
        <v/>
      </c>
      <c r="B187" s="442"/>
      <c r="C187" s="442"/>
      <c r="D187" s="443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21"/>
      <c r="AC187" s="120"/>
    </row>
    <row r="188" ht="21.75" hidden="1" customHeight="1">
      <c r="A188" s="114" t="str">
        <f>Tableau!A188</f>
        <v/>
      </c>
      <c r="B188" s="442"/>
      <c r="C188" s="442"/>
      <c r="D188" s="443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21"/>
      <c r="AC188" s="120"/>
    </row>
    <row r="189" ht="21.75" hidden="1" customHeight="1">
      <c r="A189" s="114" t="str">
        <f>Tableau!A189</f>
        <v/>
      </c>
      <c r="B189" s="442"/>
      <c r="C189" s="442"/>
      <c r="D189" s="443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21"/>
      <c r="AC189" s="120"/>
    </row>
    <row r="190" ht="21.75" hidden="1" customHeight="1">
      <c r="A190" s="114" t="str">
        <f>Tableau!A190</f>
        <v/>
      </c>
      <c r="B190" s="442"/>
      <c r="C190" s="442"/>
      <c r="D190" s="443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21"/>
      <c r="AC190" s="120"/>
    </row>
    <row r="191" hidden="1">
      <c r="A191" s="444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  <c r="AA191" s="442"/>
      <c r="AB191" s="442"/>
      <c r="AC191" s="442"/>
    </row>
    <row r="192" hidden="1">
      <c r="A192" s="444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  <c r="AA192" s="442"/>
      <c r="AB192" s="442"/>
      <c r="AC192" s="442"/>
    </row>
    <row r="193" hidden="1">
      <c r="A193" s="444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  <c r="AA193" s="442"/>
      <c r="AB193" s="442"/>
      <c r="AC193" s="442"/>
    </row>
    <row r="194" hidden="1">
      <c r="A194" s="444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  <c r="AA194" s="442"/>
      <c r="AB194" s="442"/>
      <c r="AC194" s="442"/>
    </row>
    <row r="195" hidden="1">
      <c r="A195" s="444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  <c r="AA195" s="442"/>
      <c r="AB195" s="442"/>
      <c r="AC195" s="442"/>
    </row>
    <row r="196" hidden="1">
      <c r="A196" s="444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  <c r="AA196" s="442"/>
      <c r="AB196" s="442"/>
      <c r="AC196" s="442"/>
    </row>
    <row r="197" hidden="1">
      <c r="A197" s="444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  <c r="AA197" s="442"/>
      <c r="AB197" s="442"/>
      <c r="AC197" s="442"/>
    </row>
    <row r="198" hidden="1">
      <c r="A198" s="444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  <c r="AA198" s="442"/>
      <c r="AB198" s="442"/>
      <c r="AC198" s="442"/>
    </row>
    <row r="199" hidden="1">
      <c r="A199" s="444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  <c r="AA199" s="442"/>
      <c r="AB199" s="442"/>
      <c r="AC199" s="442"/>
    </row>
    <row r="200" hidden="1">
      <c r="A200" s="444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  <c r="AA200" s="442"/>
      <c r="AB200" s="442"/>
      <c r="AC200" s="442"/>
    </row>
    <row r="201" hidden="1">
      <c r="A201" s="444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  <c r="AA201" s="442"/>
      <c r="AB201" s="442"/>
      <c r="AC201" s="442"/>
    </row>
    <row r="202" hidden="1">
      <c r="A202" s="444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  <c r="AA202" s="442"/>
      <c r="AB202" s="442"/>
      <c r="AC202" s="442"/>
    </row>
    <row r="203" hidden="1">
      <c r="A203" s="444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  <c r="AA203" s="442"/>
      <c r="AB203" s="442"/>
      <c r="AC203" s="442"/>
    </row>
    <row r="204" hidden="1">
      <c r="A204" s="444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  <c r="AA204" s="442"/>
      <c r="AB204" s="442"/>
      <c r="AC204" s="442"/>
    </row>
    <row r="205" hidden="1">
      <c r="A205" s="444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  <c r="AA205" s="442"/>
      <c r="AB205" s="442"/>
      <c r="AC205" s="442"/>
    </row>
    <row r="206" hidden="1">
      <c r="A206" s="444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  <c r="AA206" s="442"/>
      <c r="AB206" s="442"/>
      <c r="AC206" s="442"/>
    </row>
    <row r="207" hidden="1">
      <c r="A207" s="444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  <c r="AA207" s="442"/>
      <c r="AB207" s="442"/>
      <c r="AC207" s="442"/>
    </row>
    <row r="208" hidden="1">
      <c r="A208" s="444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  <c r="AA208" s="442"/>
      <c r="AB208" s="442"/>
      <c r="AC208" s="442"/>
    </row>
    <row r="209" hidden="1">
      <c r="A209" s="444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  <c r="AA209" s="442"/>
      <c r="AB209" s="442"/>
      <c r="AC209" s="442"/>
    </row>
    <row r="210" hidden="1">
      <c r="A210" s="444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  <c r="AA210" s="442"/>
      <c r="AB210" s="442"/>
      <c r="AC210" s="442"/>
    </row>
    <row r="211" hidden="1">
      <c r="A211" s="444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  <c r="AA211" s="442"/>
      <c r="AB211" s="442"/>
      <c r="AC211" s="442"/>
    </row>
    <row r="212" hidden="1">
      <c r="A212" s="444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  <c r="AA212" s="442"/>
      <c r="AB212" s="442"/>
      <c r="AC212" s="442"/>
    </row>
    <row r="213" hidden="1">
      <c r="A213" s="444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  <c r="AA213" s="442"/>
      <c r="AB213" s="442"/>
      <c r="AC213" s="442"/>
    </row>
    <row r="214" hidden="1">
      <c r="A214" s="444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  <c r="AA214" s="442"/>
      <c r="AB214" s="442"/>
      <c r="AC214" s="442"/>
    </row>
    <row r="215" hidden="1">
      <c r="A215" s="444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  <c r="AA215" s="442"/>
      <c r="AB215" s="442"/>
      <c r="AC215" s="442"/>
    </row>
    <row r="216" hidden="1">
      <c r="A216" s="444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  <c r="AA216" s="442"/>
      <c r="AB216" s="442"/>
      <c r="AC216" s="442"/>
    </row>
    <row r="217" hidden="1">
      <c r="A217" s="444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  <c r="AA217" s="442"/>
      <c r="AB217" s="442"/>
      <c r="AC217" s="442"/>
    </row>
    <row r="218" hidden="1">
      <c r="A218" s="444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  <c r="AA218" s="442"/>
      <c r="AB218" s="442"/>
      <c r="AC218" s="442"/>
    </row>
    <row r="219" hidden="1">
      <c r="A219" s="444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  <c r="AA219" s="442"/>
      <c r="AB219" s="442"/>
      <c r="AC219" s="442"/>
    </row>
    <row r="220" hidden="1">
      <c r="A220" s="444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  <c r="AA220" s="442"/>
      <c r="AB220" s="442"/>
      <c r="AC220" s="442"/>
    </row>
    <row r="221" hidden="1">
      <c r="A221" s="444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  <c r="AA221" s="442"/>
      <c r="AB221" s="442"/>
      <c r="AC221" s="442"/>
    </row>
    <row r="222" hidden="1">
      <c r="A222" s="444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  <c r="AA222" s="442"/>
      <c r="AB222" s="442"/>
      <c r="AC222" s="442"/>
    </row>
    <row r="223" hidden="1">
      <c r="A223" s="444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  <c r="AA223" s="442"/>
      <c r="AB223" s="442"/>
      <c r="AC223" s="442"/>
    </row>
    <row r="224" hidden="1">
      <c r="A224" s="444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  <c r="AA224" s="442"/>
      <c r="AB224" s="442"/>
      <c r="AC224" s="442"/>
    </row>
    <row r="225" hidden="1">
      <c r="A225" s="444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  <c r="AA225" s="442"/>
      <c r="AB225" s="442"/>
      <c r="AC225" s="442"/>
    </row>
    <row r="226" hidden="1">
      <c r="A226" s="444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  <c r="AA226" s="442"/>
      <c r="AB226" s="442"/>
      <c r="AC226" s="442"/>
    </row>
    <row r="227" hidden="1">
      <c r="A227" s="444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  <c r="AA227" s="442"/>
      <c r="AB227" s="442"/>
      <c r="AC227" s="442"/>
    </row>
    <row r="228" hidden="1">
      <c r="A228" s="444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  <c r="AA228" s="442"/>
      <c r="AB228" s="442"/>
      <c r="AC228" s="442"/>
    </row>
    <row r="229" hidden="1">
      <c r="A229" s="444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  <c r="AA229" s="442"/>
      <c r="AB229" s="442"/>
      <c r="AC229" s="442"/>
    </row>
    <row r="230" hidden="1">
      <c r="A230" s="444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  <c r="AA230" s="442"/>
      <c r="AB230" s="442"/>
      <c r="AC230" s="442"/>
    </row>
    <row r="231" hidden="1">
      <c r="A231" s="444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  <c r="AA231" s="442"/>
      <c r="AB231" s="442"/>
      <c r="AC231" s="442"/>
    </row>
    <row r="232" hidden="1">
      <c r="A232" s="444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  <c r="AA232" s="442"/>
      <c r="AB232" s="442"/>
      <c r="AC232" s="442"/>
    </row>
    <row r="233" hidden="1">
      <c r="A233" s="444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  <c r="AA233" s="442"/>
      <c r="AB233" s="442"/>
      <c r="AC233" s="442"/>
    </row>
    <row r="234" hidden="1">
      <c r="A234" s="444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  <c r="AA234" s="442"/>
      <c r="AB234" s="442"/>
      <c r="AC234" s="442"/>
    </row>
    <row r="235" hidden="1">
      <c r="A235" s="444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  <c r="AA235" s="442"/>
      <c r="AB235" s="442"/>
      <c r="AC235" s="442"/>
    </row>
    <row r="236" hidden="1">
      <c r="A236" s="444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  <c r="AA236" s="442"/>
      <c r="AB236" s="442"/>
      <c r="AC236" s="442"/>
    </row>
    <row r="237" hidden="1">
      <c r="A237" s="444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  <c r="AA237" s="442"/>
      <c r="AB237" s="442"/>
      <c r="AC237" s="442"/>
    </row>
    <row r="238" hidden="1">
      <c r="A238" s="444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  <c r="AA238" s="442"/>
      <c r="AB238" s="442"/>
      <c r="AC238" s="442"/>
    </row>
    <row r="239" hidden="1">
      <c r="A239" s="444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  <c r="AA239" s="442"/>
      <c r="AB239" s="442"/>
      <c r="AC239" s="442"/>
    </row>
    <row r="240" hidden="1">
      <c r="A240" s="444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  <c r="AA240" s="442"/>
      <c r="AB240" s="442"/>
      <c r="AC240" s="442"/>
    </row>
    <row r="241" hidden="1">
      <c r="A241" s="444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  <c r="AA241" s="442"/>
      <c r="AB241" s="442"/>
      <c r="AC241" s="442"/>
    </row>
    <row r="242" hidden="1">
      <c r="A242" s="444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  <c r="AA242" s="442"/>
      <c r="AB242" s="442"/>
      <c r="AC242" s="442"/>
    </row>
    <row r="243" hidden="1">
      <c r="A243" s="444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  <c r="AA243" s="442"/>
      <c r="AB243" s="442"/>
      <c r="AC243" s="442"/>
    </row>
    <row r="244" hidden="1">
      <c r="A244" s="444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  <c r="AA244" s="442"/>
      <c r="AB244" s="442"/>
      <c r="AC244" s="442"/>
    </row>
    <row r="245" hidden="1">
      <c r="A245" s="444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  <c r="AA245" s="442"/>
      <c r="AB245" s="442"/>
      <c r="AC245" s="442"/>
    </row>
    <row r="246" hidden="1">
      <c r="A246" s="444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  <c r="AA246" s="442"/>
      <c r="AB246" s="442"/>
      <c r="AC246" s="442"/>
    </row>
    <row r="247" hidden="1">
      <c r="A247" s="444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  <c r="AA247" s="442"/>
      <c r="AB247" s="442"/>
      <c r="AC247" s="442"/>
    </row>
    <row r="248" hidden="1">
      <c r="A248" s="444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  <c r="AA248" s="442"/>
      <c r="AB248" s="442"/>
      <c r="AC248" s="442"/>
    </row>
    <row r="249" hidden="1">
      <c r="A249" s="444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  <c r="AA249" s="442"/>
      <c r="AB249" s="442"/>
      <c r="AC249" s="442"/>
    </row>
    <row r="250" hidden="1">
      <c r="A250" s="444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  <c r="AA250" s="442"/>
      <c r="AB250" s="442"/>
      <c r="AC250" s="442"/>
    </row>
    <row r="251" hidden="1">
      <c r="A251" s="444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  <c r="AA251" s="442"/>
      <c r="AB251" s="442"/>
      <c r="AC251" s="442"/>
    </row>
    <row r="252" hidden="1">
      <c r="A252" s="444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  <c r="AA252" s="442"/>
      <c r="AB252" s="442"/>
      <c r="AC252" s="442"/>
    </row>
    <row r="253" hidden="1">
      <c r="A253" s="444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  <c r="AA253" s="442"/>
      <c r="AB253" s="442"/>
      <c r="AC253" s="442"/>
    </row>
    <row r="254" hidden="1">
      <c r="A254" s="444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  <c r="AA254" s="442"/>
      <c r="AB254" s="442"/>
      <c r="AC254" s="442"/>
    </row>
    <row r="255" hidden="1">
      <c r="A255" s="444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  <c r="AA255" s="442"/>
      <c r="AB255" s="442"/>
      <c r="AC255" s="442"/>
    </row>
    <row r="256" hidden="1">
      <c r="A256" s="444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  <c r="AA256" s="442"/>
      <c r="AB256" s="442"/>
      <c r="AC256" s="442"/>
    </row>
    <row r="257" hidden="1">
      <c r="A257" s="444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  <c r="AA257" s="442"/>
      <c r="AB257" s="442"/>
      <c r="AC257" s="442"/>
    </row>
    <row r="258" hidden="1">
      <c r="A258" s="444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  <c r="AA258" s="442"/>
      <c r="AB258" s="442"/>
      <c r="AC258" s="442"/>
    </row>
    <row r="259" hidden="1">
      <c r="A259" s="444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  <c r="AA259" s="442"/>
      <c r="AB259" s="442"/>
      <c r="AC259" s="442"/>
    </row>
    <row r="260" hidden="1">
      <c r="A260" s="444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  <c r="AA260" s="442"/>
      <c r="AB260" s="442"/>
      <c r="AC260" s="442"/>
    </row>
    <row r="261" hidden="1">
      <c r="A261" s="444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  <c r="AA261" s="442"/>
      <c r="AB261" s="442"/>
      <c r="AC261" s="442"/>
    </row>
    <row r="262" hidden="1">
      <c r="A262" s="444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  <c r="AA262" s="442"/>
      <c r="AB262" s="442"/>
      <c r="AC262" s="442"/>
    </row>
    <row r="263" hidden="1">
      <c r="A263" s="444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  <c r="AA263" s="442"/>
      <c r="AB263" s="442"/>
      <c r="AC263" s="442"/>
    </row>
    <row r="264" hidden="1">
      <c r="A264" s="444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  <c r="AA264" s="442"/>
      <c r="AB264" s="442"/>
      <c r="AC264" s="442"/>
    </row>
    <row r="265" hidden="1">
      <c r="A265" s="444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  <c r="AA265" s="442"/>
      <c r="AB265" s="442"/>
      <c r="AC265" s="442"/>
    </row>
    <row r="266" hidden="1">
      <c r="A266" s="444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  <c r="AA266" s="442"/>
      <c r="AB266" s="442"/>
      <c r="AC266" s="442"/>
    </row>
    <row r="267" hidden="1">
      <c r="A267" s="444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  <c r="AA267" s="442"/>
      <c r="AB267" s="442"/>
      <c r="AC267" s="442"/>
    </row>
    <row r="268" hidden="1">
      <c r="A268" s="444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  <c r="AA268" s="442"/>
      <c r="AB268" s="442"/>
      <c r="AC268" s="442"/>
    </row>
    <row r="269" hidden="1">
      <c r="A269" s="444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  <c r="AA269" s="442"/>
      <c r="AB269" s="442"/>
      <c r="AC269" s="442"/>
    </row>
    <row r="270" hidden="1">
      <c r="A270" s="444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  <c r="AA270" s="442"/>
      <c r="AB270" s="442"/>
      <c r="AC270" s="442"/>
    </row>
    <row r="271" hidden="1">
      <c r="A271" s="444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  <c r="AA271" s="442"/>
      <c r="AB271" s="442"/>
      <c r="AC271" s="442"/>
    </row>
    <row r="272" hidden="1">
      <c r="A272" s="444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  <c r="AA272" s="442"/>
      <c r="AB272" s="442"/>
      <c r="AC272" s="442"/>
    </row>
    <row r="273" hidden="1">
      <c r="A273" s="444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  <c r="AA273" s="442"/>
      <c r="AB273" s="442"/>
      <c r="AC273" s="442"/>
    </row>
    <row r="274" hidden="1">
      <c r="A274" s="444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  <c r="AA274" s="442"/>
      <c r="AB274" s="442"/>
      <c r="AC274" s="442"/>
    </row>
    <row r="275" hidden="1">
      <c r="A275" s="444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  <c r="AA275" s="442"/>
      <c r="AB275" s="442"/>
      <c r="AC275" s="442"/>
    </row>
    <row r="276" hidden="1">
      <c r="A276" s="444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  <c r="AA276" s="442"/>
      <c r="AB276" s="442"/>
      <c r="AC276" s="442"/>
    </row>
    <row r="277" hidden="1">
      <c r="A277" s="444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  <c r="AA277" s="442"/>
      <c r="AB277" s="442"/>
      <c r="AC277" s="442"/>
    </row>
    <row r="278" hidden="1">
      <c r="A278" s="444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  <c r="AA278" s="442"/>
      <c r="AB278" s="442"/>
      <c r="AC278" s="442"/>
    </row>
    <row r="279" hidden="1">
      <c r="A279" s="444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  <c r="AA279" s="442"/>
      <c r="AB279" s="442"/>
      <c r="AC279" s="442"/>
    </row>
    <row r="280" hidden="1">
      <c r="A280" s="444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  <c r="AA280" s="442"/>
      <c r="AB280" s="442"/>
      <c r="AC280" s="442"/>
    </row>
    <row r="281" hidden="1">
      <c r="A281" s="444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  <c r="AA281" s="442"/>
      <c r="AB281" s="442"/>
      <c r="AC281" s="442"/>
    </row>
    <row r="282" hidden="1">
      <c r="A282" s="444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  <c r="AA282" s="442"/>
      <c r="AB282" s="442"/>
      <c r="AC282" s="442"/>
    </row>
    <row r="283" hidden="1">
      <c r="A283" s="444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  <c r="AA283" s="442"/>
      <c r="AB283" s="442"/>
      <c r="AC283" s="442"/>
    </row>
    <row r="284" hidden="1">
      <c r="A284" s="444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  <c r="AA284" s="442"/>
      <c r="AB284" s="442"/>
      <c r="AC284" s="442"/>
    </row>
    <row r="285" hidden="1">
      <c r="A285" s="444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  <c r="AA285" s="442"/>
      <c r="AB285" s="442"/>
      <c r="AC285" s="442"/>
    </row>
    <row r="286" hidden="1">
      <c r="A286" s="444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  <c r="AA286" s="442"/>
      <c r="AB286" s="442"/>
      <c r="AC286" s="442"/>
    </row>
    <row r="287" hidden="1">
      <c r="A287" s="444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  <c r="AA287" s="442"/>
      <c r="AB287" s="442"/>
      <c r="AC287" s="442"/>
    </row>
    <row r="288" hidden="1">
      <c r="A288" s="444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  <c r="AA288" s="442"/>
      <c r="AB288" s="442"/>
      <c r="AC288" s="442"/>
    </row>
    <row r="289" hidden="1">
      <c r="A289" s="444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  <c r="AA289" s="442"/>
      <c r="AB289" s="442"/>
      <c r="AC289" s="442"/>
    </row>
    <row r="290" hidden="1">
      <c r="A290" s="444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  <c r="AA290" s="442"/>
      <c r="AB290" s="442"/>
      <c r="AC290" s="442"/>
    </row>
    <row r="291" hidden="1">
      <c r="A291" s="444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  <c r="AA291" s="442"/>
      <c r="AB291" s="442"/>
      <c r="AC291" s="442"/>
    </row>
    <row r="292" hidden="1">
      <c r="A292" s="444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  <c r="AA292" s="442"/>
      <c r="AB292" s="442"/>
      <c r="AC292" s="442"/>
    </row>
    <row r="293" hidden="1">
      <c r="A293" s="444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  <c r="AA293" s="442"/>
      <c r="AB293" s="442"/>
      <c r="AC293" s="442"/>
    </row>
    <row r="294" hidden="1">
      <c r="A294" s="444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  <c r="AA294" s="442"/>
      <c r="AB294" s="442"/>
      <c r="AC294" s="442"/>
    </row>
    <row r="295" hidden="1">
      <c r="A295" s="444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  <c r="AA295" s="442"/>
      <c r="AB295" s="442"/>
      <c r="AC295" s="442"/>
    </row>
    <row r="296" hidden="1">
      <c r="A296" s="444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  <c r="AA296" s="442"/>
      <c r="AB296" s="442"/>
      <c r="AC296" s="442"/>
    </row>
    <row r="297" hidden="1">
      <c r="A297" s="444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  <c r="AA297" s="442"/>
      <c r="AB297" s="442"/>
      <c r="AC297" s="442"/>
    </row>
    <row r="298" hidden="1">
      <c r="A298" s="444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  <c r="AA298" s="442"/>
      <c r="AB298" s="442"/>
      <c r="AC298" s="442"/>
    </row>
    <row r="299" hidden="1">
      <c r="A299" s="444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  <c r="AA299" s="442"/>
      <c r="AB299" s="442"/>
      <c r="AC299" s="442"/>
    </row>
    <row r="300" hidden="1">
      <c r="A300" s="444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  <c r="AA300" s="442"/>
      <c r="AB300" s="442"/>
      <c r="AC300" s="442"/>
    </row>
    <row r="301" hidden="1">
      <c r="A301" s="444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  <c r="AA301" s="442"/>
      <c r="AB301" s="442"/>
      <c r="AC301" s="442"/>
    </row>
    <row r="302" hidden="1">
      <c r="A302" s="444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  <c r="AA302" s="442"/>
      <c r="AB302" s="442"/>
      <c r="AC302" s="442"/>
    </row>
    <row r="303" hidden="1">
      <c r="A303" s="444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  <c r="AA303" s="442"/>
      <c r="AB303" s="442"/>
      <c r="AC303" s="442"/>
    </row>
    <row r="304" hidden="1">
      <c r="A304" s="444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  <c r="AA304" s="442"/>
      <c r="AB304" s="442"/>
      <c r="AC304" s="442"/>
    </row>
    <row r="305" hidden="1">
      <c r="A305" s="444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  <c r="AA305" s="442"/>
      <c r="AB305" s="442"/>
      <c r="AC305" s="442"/>
    </row>
    <row r="306" hidden="1">
      <c r="A306" s="444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  <c r="AA306" s="442"/>
      <c r="AB306" s="442"/>
      <c r="AC306" s="442"/>
    </row>
    <row r="307" hidden="1">
      <c r="A307" s="444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  <c r="AA307" s="442"/>
      <c r="AB307" s="442"/>
      <c r="AC307" s="442"/>
    </row>
    <row r="308" hidden="1">
      <c r="A308" s="444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  <c r="AA308" s="442"/>
      <c r="AB308" s="442"/>
      <c r="AC308" s="442"/>
    </row>
    <row r="309" hidden="1">
      <c r="A309" s="444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  <c r="AA309" s="442"/>
      <c r="AB309" s="442"/>
      <c r="AC309" s="442"/>
    </row>
    <row r="310" hidden="1">
      <c r="A310" s="444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  <c r="AA310" s="442"/>
      <c r="AB310" s="442"/>
      <c r="AC310" s="442"/>
    </row>
    <row r="311" hidden="1">
      <c r="A311" s="444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  <c r="AA311" s="442"/>
      <c r="AB311" s="442"/>
      <c r="AC311" s="442"/>
    </row>
    <row r="312" hidden="1">
      <c r="A312" s="444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  <c r="AA312" s="442"/>
      <c r="AB312" s="442"/>
      <c r="AC312" s="442"/>
    </row>
    <row r="313" hidden="1">
      <c r="A313" s="444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  <c r="AA313" s="442"/>
      <c r="AB313" s="442"/>
      <c r="AC313" s="442"/>
    </row>
    <row r="314" hidden="1">
      <c r="A314" s="444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  <c r="AA314" s="442"/>
      <c r="AB314" s="442"/>
      <c r="AC314" s="442"/>
    </row>
    <row r="315" hidden="1">
      <c r="A315" s="444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  <c r="AA315" s="442"/>
      <c r="AB315" s="442"/>
      <c r="AC315" s="442"/>
    </row>
    <row r="316" hidden="1">
      <c r="A316" s="444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  <c r="AA316" s="442"/>
      <c r="AB316" s="442"/>
      <c r="AC316" s="442"/>
    </row>
    <row r="317" hidden="1">
      <c r="A317" s="444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  <c r="AA317" s="442"/>
      <c r="AB317" s="442"/>
      <c r="AC317" s="442"/>
    </row>
    <row r="318" hidden="1">
      <c r="A318" s="444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  <c r="AA318" s="442"/>
      <c r="AB318" s="442"/>
      <c r="AC318" s="442"/>
    </row>
    <row r="319" hidden="1">
      <c r="A319" s="444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  <c r="AA319" s="442"/>
      <c r="AB319" s="442"/>
      <c r="AC319" s="442"/>
    </row>
    <row r="320" hidden="1">
      <c r="A320" s="444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  <c r="AA320" s="442"/>
      <c r="AB320" s="442"/>
      <c r="AC320" s="442"/>
    </row>
    <row r="321" hidden="1">
      <c r="A321" s="444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  <c r="AA321" s="442"/>
      <c r="AB321" s="442"/>
      <c r="AC321" s="442"/>
    </row>
    <row r="322" hidden="1">
      <c r="A322" s="444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  <c r="AA322" s="442"/>
      <c r="AB322" s="442"/>
      <c r="AC322" s="442"/>
    </row>
    <row r="323" hidden="1">
      <c r="A323" s="444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  <c r="AA323" s="442"/>
      <c r="AB323" s="442"/>
      <c r="AC323" s="442"/>
    </row>
    <row r="324" hidden="1">
      <c r="A324" s="444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  <c r="AA324" s="442"/>
      <c r="AB324" s="442"/>
      <c r="AC324" s="442"/>
    </row>
    <row r="325" hidden="1">
      <c r="A325" s="444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  <c r="AA325" s="442"/>
      <c r="AB325" s="442"/>
      <c r="AC325" s="442"/>
    </row>
    <row r="326" hidden="1">
      <c r="A326" s="444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  <c r="AA326" s="442"/>
      <c r="AB326" s="442"/>
      <c r="AC326" s="442"/>
    </row>
    <row r="327" hidden="1">
      <c r="A327" s="444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  <c r="AA327" s="442"/>
      <c r="AB327" s="442"/>
      <c r="AC327" s="442"/>
    </row>
    <row r="328" hidden="1">
      <c r="A328" s="444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  <c r="AA328" s="442"/>
      <c r="AB328" s="442"/>
      <c r="AC328" s="442"/>
    </row>
    <row r="329" hidden="1">
      <c r="A329" s="444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  <c r="AA329" s="442"/>
      <c r="AB329" s="442"/>
      <c r="AC329" s="442"/>
    </row>
    <row r="330" hidden="1">
      <c r="A330" s="444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  <c r="AA330" s="442"/>
      <c r="AB330" s="442"/>
      <c r="AC330" s="442"/>
    </row>
    <row r="331" hidden="1">
      <c r="A331" s="444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  <c r="AA331" s="442"/>
      <c r="AB331" s="442"/>
      <c r="AC331" s="442"/>
    </row>
    <row r="332" hidden="1">
      <c r="A332" s="444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  <c r="AA332" s="442"/>
      <c r="AB332" s="442"/>
      <c r="AC332" s="442"/>
    </row>
    <row r="333" hidden="1">
      <c r="A333" s="444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  <c r="AA333" s="442"/>
      <c r="AB333" s="442"/>
      <c r="AC333" s="442"/>
    </row>
    <row r="334" hidden="1">
      <c r="A334" s="444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  <c r="AA334" s="442"/>
      <c r="AB334" s="442"/>
      <c r="AC334" s="442"/>
    </row>
    <row r="335" hidden="1">
      <c r="A335" s="444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  <c r="AA335" s="442"/>
      <c r="AB335" s="442"/>
      <c r="AC335" s="442"/>
    </row>
    <row r="336" hidden="1">
      <c r="A336" s="444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  <c r="AA336" s="442"/>
      <c r="AB336" s="442"/>
      <c r="AC336" s="442"/>
    </row>
    <row r="337" hidden="1">
      <c r="A337" s="444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  <c r="AA337" s="442"/>
      <c r="AB337" s="442"/>
      <c r="AC337" s="442"/>
    </row>
    <row r="338" hidden="1">
      <c r="A338" s="444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  <c r="AA338" s="442"/>
      <c r="AB338" s="442"/>
      <c r="AC338" s="442"/>
    </row>
    <row r="339" hidden="1">
      <c r="A339" s="444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  <c r="AA339" s="442"/>
      <c r="AB339" s="442"/>
      <c r="AC339" s="442"/>
    </row>
    <row r="340" hidden="1">
      <c r="A340" s="444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  <c r="AA340" s="442"/>
      <c r="AB340" s="442"/>
      <c r="AC340" s="442"/>
    </row>
    <row r="341" hidden="1">
      <c r="A341" s="444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  <c r="AA341" s="442"/>
      <c r="AB341" s="442"/>
      <c r="AC341" s="442"/>
    </row>
    <row r="342" hidden="1">
      <c r="A342" s="444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  <c r="AA342" s="442"/>
      <c r="AB342" s="442"/>
      <c r="AC342" s="442"/>
    </row>
    <row r="343" hidden="1">
      <c r="A343" s="444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  <c r="AA343" s="442"/>
      <c r="AB343" s="442"/>
      <c r="AC343" s="442"/>
    </row>
    <row r="344" hidden="1">
      <c r="A344" s="444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  <c r="AA344" s="442"/>
      <c r="AB344" s="442"/>
      <c r="AC344" s="442"/>
    </row>
    <row r="345" hidden="1">
      <c r="A345" s="444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  <c r="AA345" s="442"/>
      <c r="AB345" s="442"/>
      <c r="AC345" s="442"/>
    </row>
    <row r="346" hidden="1">
      <c r="A346" s="444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  <c r="AA346" s="442"/>
      <c r="AB346" s="442"/>
      <c r="AC346" s="442"/>
    </row>
    <row r="347" hidden="1">
      <c r="A347" s="444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  <c r="AA347" s="442"/>
      <c r="AB347" s="442"/>
      <c r="AC347" s="442"/>
    </row>
    <row r="348" hidden="1">
      <c r="A348" s="444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  <c r="AA348" s="442"/>
      <c r="AB348" s="442"/>
      <c r="AC348" s="442"/>
    </row>
    <row r="349" hidden="1">
      <c r="A349" s="444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  <c r="AA349" s="442"/>
      <c r="AB349" s="442"/>
      <c r="AC349" s="442"/>
    </row>
    <row r="350" hidden="1">
      <c r="A350" s="444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  <c r="AA350" s="442"/>
      <c r="AB350" s="442"/>
      <c r="AC350" s="442"/>
    </row>
    <row r="351" hidden="1">
      <c r="A351" s="444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  <c r="AA351" s="442"/>
      <c r="AB351" s="442"/>
      <c r="AC351" s="442"/>
    </row>
    <row r="352" hidden="1">
      <c r="A352" s="444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  <c r="AA352" s="442"/>
      <c r="AB352" s="442"/>
      <c r="AC352" s="442"/>
    </row>
    <row r="353" hidden="1">
      <c r="A353" s="444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  <c r="AA353" s="442"/>
      <c r="AB353" s="442"/>
      <c r="AC353" s="442"/>
    </row>
    <row r="354" hidden="1">
      <c r="A354" s="444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  <c r="AA354" s="442"/>
      <c r="AB354" s="442"/>
      <c r="AC354" s="442"/>
    </row>
    <row r="355" hidden="1">
      <c r="A355" s="444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  <c r="AA355" s="442"/>
      <c r="AB355" s="442"/>
      <c r="AC355" s="442"/>
    </row>
    <row r="356" hidden="1">
      <c r="A356" s="444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  <c r="AA356" s="442"/>
      <c r="AB356" s="442"/>
      <c r="AC356" s="442"/>
    </row>
    <row r="357" hidden="1">
      <c r="A357" s="444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  <c r="AA357" s="442"/>
      <c r="AB357" s="442"/>
      <c r="AC357" s="442"/>
    </row>
    <row r="358" hidden="1">
      <c r="A358" s="444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  <c r="AA358" s="442"/>
      <c r="AB358" s="442"/>
      <c r="AC358" s="442"/>
    </row>
    <row r="359" hidden="1">
      <c r="A359" s="444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  <c r="AA359" s="442"/>
      <c r="AB359" s="442"/>
      <c r="AC359" s="442"/>
    </row>
    <row r="360" hidden="1">
      <c r="A360" s="444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  <c r="AA360" s="442"/>
      <c r="AB360" s="442"/>
      <c r="AC360" s="442"/>
    </row>
    <row r="361" hidden="1">
      <c r="A361" s="444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  <c r="AA361" s="442"/>
      <c r="AB361" s="442"/>
      <c r="AC361" s="442"/>
    </row>
    <row r="362" hidden="1">
      <c r="A362" s="444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  <c r="AA362" s="442"/>
      <c r="AB362" s="442"/>
      <c r="AC362" s="442"/>
    </row>
    <row r="363" hidden="1">
      <c r="A363" s="444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  <c r="AA363" s="442"/>
      <c r="AB363" s="442"/>
      <c r="AC363" s="442"/>
    </row>
    <row r="364" hidden="1">
      <c r="A364" s="444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  <c r="AA364" s="442"/>
      <c r="AB364" s="442"/>
      <c r="AC364" s="442"/>
    </row>
    <row r="365" hidden="1">
      <c r="A365" s="444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  <c r="AA365" s="442"/>
      <c r="AB365" s="442"/>
      <c r="AC365" s="442"/>
    </row>
    <row r="366" hidden="1">
      <c r="A366" s="444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  <c r="AA366" s="442"/>
      <c r="AB366" s="442"/>
      <c r="AC366" s="442"/>
    </row>
    <row r="367" hidden="1">
      <c r="A367" s="444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  <c r="AA367" s="442"/>
      <c r="AB367" s="442"/>
      <c r="AC367" s="442"/>
    </row>
    <row r="368" hidden="1">
      <c r="A368" s="444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  <c r="AA368" s="442"/>
      <c r="AB368" s="442"/>
      <c r="AC368" s="442"/>
    </row>
    <row r="369" hidden="1">
      <c r="A369" s="444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  <c r="AA369" s="442"/>
      <c r="AB369" s="442"/>
      <c r="AC369" s="442"/>
    </row>
    <row r="370" hidden="1">
      <c r="A370" s="444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  <c r="AA370" s="442"/>
      <c r="AB370" s="442"/>
      <c r="AC370" s="442"/>
    </row>
    <row r="371" hidden="1">
      <c r="A371" s="444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  <c r="AA371" s="442"/>
      <c r="AB371" s="442"/>
      <c r="AC371" s="442"/>
    </row>
    <row r="372" hidden="1">
      <c r="A372" s="444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  <c r="AA372" s="442"/>
      <c r="AB372" s="442"/>
      <c r="AC372" s="442"/>
    </row>
    <row r="373" hidden="1">
      <c r="A373" s="444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  <c r="AA373" s="442"/>
      <c r="AB373" s="442"/>
      <c r="AC373" s="442"/>
    </row>
    <row r="374" hidden="1">
      <c r="A374" s="444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  <c r="AA374" s="442"/>
      <c r="AB374" s="442"/>
      <c r="AC374" s="442"/>
    </row>
    <row r="375" hidden="1">
      <c r="A375" s="444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  <c r="AA375" s="442"/>
      <c r="AB375" s="442"/>
      <c r="AC375" s="442"/>
    </row>
    <row r="376" hidden="1">
      <c r="A376" s="444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  <c r="AA376" s="442"/>
      <c r="AB376" s="442"/>
      <c r="AC376" s="442"/>
    </row>
    <row r="377" hidden="1">
      <c r="A377" s="444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  <c r="AA377" s="442"/>
      <c r="AB377" s="442"/>
      <c r="AC377" s="442"/>
    </row>
    <row r="378" hidden="1">
      <c r="A378" s="444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  <c r="AA378" s="442"/>
      <c r="AB378" s="442"/>
      <c r="AC378" s="442"/>
    </row>
    <row r="379" hidden="1">
      <c r="A379" s="444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  <c r="AA379" s="442"/>
      <c r="AB379" s="442"/>
      <c r="AC379" s="442"/>
    </row>
    <row r="380" hidden="1">
      <c r="A380" s="444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  <c r="AA380" s="442"/>
      <c r="AB380" s="442"/>
      <c r="AC380" s="442"/>
    </row>
    <row r="381" hidden="1">
      <c r="A381" s="444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  <c r="AA381" s="442"/>
      <c r="AB381" s="442"/>
      <c r="AC381" s="442"/>
    </row>
    <row r="382" hidden="1">
      <c r="A382" s="444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  <c r="AA382" s="442"/>
      <c r="AB382" s="442"/>
      <c r="AC382" s="442"/>
    </row>
    <row r="383" hidden="1">
      <c r="A383" s="444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  <c r="AA383" s="442"/>
      <c r="AB383" s="442"/>
      <c r="AC383" s="442"/>
    </row>
    <row r="384" hidden="1">
      <c r="A384" s="444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  <c r="AA384" s="442"/>
      <c r="AB384" s="442"/>
      <c r="AC384" s="442"/>
    </row>
    <row r="385" hidden="1">
      <c r="A385" s="444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  <c r="AA385" s="442"/>
      <c r="AB385" s="442"/>
      <c r="AC385" s="442"/>
    </row>
    <row r="386" hidden="1">
      <c r="A386" s="444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  <c r="AA386" s="442"/>
      <c r="AB386" s="442"/>
      <c r="AC386" s="442"/>
    </row>
    <row r="387" hidden="1">
      <c r="A387" s="444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  <c r="AA387" s="442"/>
      <c r="AB387" s="442"/>
      <c r="AC387" s="442"/>
    </row>
    <row r="388" hidden="1">
      <c r="A388" s="444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  <c r="AA388" s="442"/>
      <c r="AB388" s="442"/>
      <c r="AC388" s="442"/>
    </row>
    <row r="389" hidden="1">
      <c r="A389" s="444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  <c r="AA389" s="442"/>
      <c r="AB389" s="442"/>
      <c r="AC389" s="442"/>
    </row>
    <row r="390" hidden="1">
      <c r="A390" s="444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  <c r="AA390" s="442"/>
      <c r="AB390" s="442"/>
      <c r="AC390" s="442"/>
    </row>
    <row r="391" hidden="1">
      <c r="A391" s="444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  <c r="AA391" s="442"/>
      <c r="AB391" s="442"/>
      <c r="AC391" s="442"/>
    </row>
    <row r="392" hidden="1">
      <c r="A392" s="444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  <c r="AA392" s="442"/>
      <c r="AB392" s="442"/>
      <c r="AC392" s="442"/>
    </row>
    <row r="393" hidden="1">
      <c r="A393" s="444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  <c r="AA393" s="442"/>
      <c r="AB393" s="442"/>
      <c r="AC393" s="442"/>
    </row>
    <row r="394" hidden="1">
      <c r="A394" s="444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  <c r="AA394" s="442"/>
      <c r="AB394" s="442"/>
      <c r="AC394" s="442"/>
    </row>
    <row r="395" hidden="1">
      <c r="A395" s="444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  <c r="AA395" s="442"/>
      <c r="AB395" s="442"/>
      <c r="AC395" s="442"/>
    </row>
    <row r="396" hidden="1">
      <c r="A396" s="444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  <c r="AA396" s="442"/>
      <c r="AB396" s="442"/>
      <c r="AC396" s="442"/>
    </row>
    <row r="397" hidden="1">
      <c r="A397" s="444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  <c r="AA397" s="442"/>
      <c r="AB397" s="442"/>
      <c r="AC397" s="442"/>
    </row>
    <row r="398" hidden="1">
      <c r="A398" s="444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  <c r="AA398" s="442"/>
      <c r="AB398" s="442"/>
      <c r="AC398" s="442"/>
    </row>
    <row r="399" hidden="1">
      <c r="A399" s="444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  <c r="AA399" s="442"/>
      <c r="AB399" s="442"/>
      <c r="AC399" s="442"/>
    </row>
    <row r="400" hidden="1">
      <c r="A400" s="444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  <c r="AA400" s="442"/>
      <c r="AB400" s="442"/>
      <c r="AC400" s="442"/>
    </row>
    <row r="401" hidden="1">
      <c r="A401" s="444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  <c r="AA401" s="442"/>
      <c r="AB401" s="442"/>
      <c r="AC401" s="442"/>
    </row>
    <row r="402" hidden="1">
      <c r="A402" s="444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  <c r="AA402" s="442"/>
      <c r="AB402" s="442"/>
      <c r="AC402" s="442"/>
    </row>
    <row r="403" hidden="1">
      <c r="A403" s="444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  <c r="AA403" s="442"/>
      <c r="AB403" s="442"/>
      <c r="AC403" s="442"/>
    </row>
    <row r="404" hidden="1">
      <c r="A404" s="444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  <c r="AA404" s="442"/>
      <c r="AB404" s="442"/>
      <c r="AC404" s="442"/>
    </row>
    <row r="405" hidden="1">
      <c r="A405" s="444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  <c r="AA405" s="442"/>
      <c r="AB405" s="442"/>
      <c r="AC405" s="442"/>
    </row>
    <row r="406" hidden="1">
      <c r="A406" s="444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  <c r="AA406" s="442"/>
      <c r="AB406" s="442"/>
      <c r="AC406" s="442"/>
    </row>
    <row r="407" hidden="1">
      <c r="A407" s="444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  <c r="AA407" s="442"/>
      <c r="AB407" s="442"/>
      <c r="AC407" s="442"/>
    </row>
    <row r="408" hidden="1">
      <c r="A408" s="444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  <c r="AA408" s="442"/>
      <c r="AB408" s="442"/>
      <c r="AC408" s="442"/>
    </row>
    <row r="409" hidden="1">
      <c r="A409" s="444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  <c r="AA409" s="442"/>
      <c r="AB409" s="442"/>
      <c r="AC409" s="442"/>
    </row>
    <row r="410" hidden="1">
      <c r="A410" s="444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  <c r="AA410" s="442"/>
      <c r="AB410" s="442"/>
      <c r="AC410" s="442"/>
    </row>
    <row r="411" hidden="1">
      <c r="A411" s="444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  <c r="AA411" s="442"/>
      <c r="AB411" s="442"/>
      <c r="AC411" s="442"/>
    </row>
    <row r="412" hidden="1">
      <c r="A412" s="444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  <c r="AA412" s="442"/>
      <c r="AB412" s="442"/>
      <c r="AC412" s="442"/>
    </row>
    <row r="413" hidden="1">
      <c r="A413" s="444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  <c r="AA413" s="442"/>
      <c r="AB413" s="442"/>
      <c r="AC413" s="442"/>
    </row>
    <row r="414" hidden="1">
      <c r="A414" s="444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  <c r="AA414" s="442"/>
      <c r="AB414" s="442"/>
      <c r="AC414" s="442"/>
    </row>
    <row r="415" hidden="1">
      <c r="A415" s="444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  <c r="AA415" s="442"/>
      <c r="AB415" s="442"/>
      <c r="AC415" s="442"/>
    </row>
    <row r="416" hidden="1">
      <c r="A416" s="444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  <c r="AA416" s="442"/>
      <c r="AB416" s="442"/>
      <c r="AC416" s="442"/>
    </row>
    <row r="417" hidden="1">
      <c r="A417" s="444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  <c r="AA417" s="442"/>
      <c r="AB417" s="442"/>
      <c r="AC417" s="442"/>
    </row>
    <row r="418" hidden="1">
      <c r="A418" s="444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  <c r="AA418" s="442"/>
      <c r="AB418" s="442"/>
      <c r="AC418" s="442"/>
    </row>
    <row r="419" hidden="1">
      <c r="A419" s="444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  <c r="AA419" s="442"/>
      <c r="AB419" s="442"/>
      <c r="AC419" s="442"/>
    </row>
    <row r="420" hidden="1">
      <c r="A420" s="444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  <c r="AA420" s="442"/>
      <c r="AB420" s="442"/>
      <c r="AC420" s="442"/>
    </row>
    <row r="421" hidden="1">
      <c r="A421" s="444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  <c r="AA421" s="442"/>
      <c r="AB421" s="442"/>
      <c r="AC421" s="442"/>
    </row>
    <row r="422" hidden="1">
      <c r="A422" s="444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  <c r="AA422" s="442"/>
      <c r="AB422" s="442"/>
      <c r="AC422" s="442"/>
    </row>
    <row r="423" hidden="1">
      <c r="A423" s="444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  <c r="AA423" s="442"/>
      <c r="AB423" s="442"/>
      <c r="AC423" s="442"/>
    </row>
    <row r="424" hidden="1">
      <c r="A424" s="444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  <c r="AA424" s="442"/>
      <c r="AB424" s="442"/>
      <c r="AC424" s="442"/>
    </row>
    <row r="425" hidden="1">
      <c r="A425" s="444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  <c r="AA425" s="442"/>
      <c r="AB425" s="442"/>
      <c r="AC425" s="442"/>
    </row>
    <row r="426" hidden="1">
      <c r="A426" s="444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  <c r="AA426" s="442"/>
      <c r="AB426" s="442"/>
      <c r="AC426" s="442"/>
    </row>
    <row r="427" hidden="1">
      <c r="A427" s="444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  <c r="AA427" s="442"/>
      <c r="AB427" s="442"/>
      <c r="AC427" s="442"/>
    </row>
    <row r="428" hidden="1">
      <c r="A428" s="444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  <c r="AA428" s="442"/>
      <c r="AB428" s="442"/>
      <c r="AC428" s="442"/>
    </row>
    <row r="429" hidden="1">
      <c r="A429" s="444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  <c r="AA429" s="442"/>
      <c r="AB429" s="442"/>
      <c r="AC429" s="442"/>
    </row>
    <row r="430" hidden="1">
      <c r="A430" s="444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  <c r="AA430" s="442"/>
      <c r="AB430" s="442"/>
      <c r="AC430" s="442"/>
    </row>
    <row r="431" hidden="1">
      <c r="A431" s="444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  <c r="AA431" s="442"/>
      <c r="AB431" s="442"/>
      <c r="AC431" s="442"/>
    </row>
    <row r="432" hidden="1">
      <c r="A432" s="444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  <c r="AA432" s="442"/>
      <c r="AB432" s="442"/>
      <c r="AC432" s="442"/>
    </row>
    <row r="433" hidden="1">
      <c r="A433" s="444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  <c r="AA433" s="442"/>
      <c r="AB433" s="442"/>
      <c r="AC433" s="442"/>
    </row>
    <row r="434" hidden="1">
      <c r="A434" s="444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  <c r="AA434" s="442"/>
      <c r="AB434" s="442"/>
      <c r="AC434" s="442"/>
    </row>
    <row r="435" hidden="1">
      <c r="A435" s="444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  <c r="AA435" s="442"/>
      <c r="AB435" s="442"/>
      <c r="AC435" s="442"/>
    </row>
    <row r="436" hidden="1">
      <c r="A436" s="444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  <c r="AA436" s="442"/>
      <c r="AB436" s="442"/>
      <c r="AC436" s="442"/>
    </row>
    <row r="437" hidden="1">
      <c r="A437" s="444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  <c r="AA437" s="442"/>
      <c r="AB437" s="442"/>
      <c r="AC437" s="442"/>
    </row>
    <row r="438" hidden="1">
      <c r="A438" s="444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  <c r="AA438" s="442"/>
      <c r="AB438" s="442"/>
      <c r="AC438" s="442"/>
    </row>
    <row r="439" hidden="1">
      <c r="A439" s="444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  <c r="AA439" s="442"/>
      <c r="AB439" s="442"/>
      <c r="AC439" s="442"/>
    </row>
    <row r="440" hidden="1">
      <c r="A440" s="444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  <c r="AA440" s="442"/>
      <c r="AB440" s="442"/>
      <c r="AC440" s="442"/>
    </row>
    <row r="441" hidden="1">
      <c r="A441" s="444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  <c r="AA441" s="442"/>
      <c r="AB441" s="442"/>
      <c r="AC441" s="442"/>
    </row>
    <row r="442" hidden="1">
      <c r="A442" s="444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  <c r="AA442" s="442"/>
      <c r="AB442" s="442"/>
      <c r="AC442" s="442"/>
    </row>
    <row r="443" hidden="1">
      <c r="A443" s="444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  <c r="AA443" s="442"/>
      <c r="AB443" s="442"/>
      <c r="AC443" s="442"/>
    </row>
    <row r="444" hidden="1">
      <c r="A444" s="444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  <c r="AA444" s="442"/>
      <c r="AB444" s="442"/>
      <c r="AC444" s="442"/>
    </row>
    <row r="445" hidden="1">
      <c r="A445" s="444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  <c r="AA445" s="442"/>
      <c r="AB445" s="442"/>
      <c r="AC445" s="442"/>
    </row>
    <row r="446" hidden="1">
      <c r="A446" s="444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  <c r="AA446" s="442"/>
      <c r="AB446" s="442"/>
      <c r="AC446" s="442"/>
    </row>
    <row r="447" hidden="1">
      <c r="A447" s="444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  <c r="AA447" s="442"/>
      <c r="AB447" s="442"/>
      <c r="AC447" s="442"/>
    </row>
    <row r="448" hidden="1">
      <c r="A448" s="444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  <c r="AA448" s="442"/>
      <c r="AB448" s="442"/>
      <c r="AC448" s="442"/>
    </row>
    <row r="449" hidden="1">
      <c r="A449" s="444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  <c r="AA449" s="442"/>
      <c r="AB449" s="442"/>
      <c r="AC449" s="442"/>
    </row>
    <row r="450" hidden="1">
      <c r="A450" s="444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  <c r="AA450" s="442"/>
      <c r="AB450" s="442"/>
      <c r="AC450" s="442"/>
    </row>
    <row r="451" hidden="1">
      <c r="A451" s="444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  <c r="AA451" s="442"/>
      <c r="AB451" s="442"/>
      <c r="AC451" s="442"/>
    </row>
    <row r="452" hidden="1">
      <c r="A452" s="444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  <c r="AA452" s="442"/>
      <c r="AB452" s="442"/>
      <c r="AC452" s="442"/>
    </row>
    <row r="453" hidden="1">
      <c r="A453" s="444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  <c r="AA453" s="442"/>
      <c r="AB453" s="442"/>
      <c r="AC453" s="442"/>
    </row>
    <row r="454" hidden="1">
      <c r="A454" s="444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  <c r="AA454" s="442"/>
      <c r="AB454" s="442"/>
      <c r="AC454" s="442"/>
    </row>
    <row r="455" hidden="1">
      <c r="A455" s="444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  <c r="AA455" s="442"/>
      <c r="AB455" s="442"/>
      <c r="AC455" s="442"/>
    </row>
    <row r="456" hidden="1">
      <c r="A456" s="444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  <c r="AA456" s="442"/>
      <c r="AB456" s="442"/>
      <c r="AC456" s="442"/>
    </row>
    <row r="457" hidden="1">
      <c r="A457" s="444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  <c r="AA457" s="442"/>
      <c r="AB457" s="442"/>
      <c r="AC457" s="442"/>
    </row>
    <row r="458" hidden="1">
      <c r="A458" s="444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  <c r="AA458" s="442"/>
      <c r="AB458" s="442"/>
      <c r="AC458" s="442"/>
    </row>
    <row r="459" hidden="1">
      <c r="A459" s="444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  <c r="AA459" s="442"/>
      <c r="AB459" s="442"/>
      <c r="AC459" s="442"/>
    </row>
    <row r="460" hidden="1">
      <c r="A460" s="444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  <c r="AA460" s="442"/>
      <c r="AB460" s="442"/>
      <c r="AC460" s="442"/>
    </row>
    <row r="461" hidden="1">
      <c r="A461" s="444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  <c r="AA461" s="442"/>
      <c r="AB461" s="442"/>
      <c r="AC461" s="442"/>
    </row>
    <row r="462" hidden="1">
      <c r="A462" s="444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  <c r="AA462" s="442"/>
      <c r="AB462" s="442"/>
      <c r="AC462" s="442"/>
    </row>
    <row r="463" hidden="1">
      <c r="A463" s="444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  <c r="AA463" s="442"/>
      <c r="AB463" s="442"/>
      <c r="AC463" s="442"/>
    </row>
    <row r="464" hidden="1">
      <c r="A464" s="444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  <c r="AA464" s="442"/>
      <c r="AB464" s="442"/>
      <c r="AC464" s="442"/>
    </row>
    <row r="465" hidden="1">
      <c r="A465" s="444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  <c r="AA465" s="442"/>
      <c r="AB465" s="442"/>
      <c r="AC465" s="442"/>
    </row>
    <row r="466" hidden="1">
      <c r="A466" s="444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  <c r="AA466" s="442"/>
      <c r="AB466" s="442"/>
      <c r="AC466" s="442"/>
    </row>
    <row r="467" hidden="1">
      <c r="A467" s="444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  <c r="AA467" s="442"/>
      <c r="AB467" s="442"/>
      <c r="AC467" s="442"/>
    </row>
    <row r="468" hidden="1">
      <c r="A468" s="444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  <c r="AA468" s="442"/>
      <c r="AB468" s="442"/>
      <c r="AC468" s="442"/>
    </row>
    <row r="469" hidden="1">
      <c r="A469" s="444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  <c r="AA469" s="442"/>
      <c r="AB469" s="442"/>
      <c r="AC469" s="442"/>
    </row>
    <row r="470" hidden="1">
      <c r="A470" s="444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  <c r="AA470" s="442"/>
      <c r="AB470" s="442"/>
      <c r="AC470" s="442"/>
    </row>
    <row r="471" hidden="1">
      <c r="A471" s="444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  <c r="AA471" s="442"/>
      <c r="AB471" s="442"/>
      <c r="AC471" s="442"/>
    </row>
    <row r="472" hidden="1">
      <c r="A472" s="444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  <c r="AA472" s="442"/>
      <c r="AB472" s="442"/>
      <c r="AC472" s="442"/>
    </row>
    <row r="473" hidden="1">
      <c r="A473" s="444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  <c r="AA473" s="442"/>
      <c r="AB473" s="442"/>
      <c r="AC473" s="442"/>
    </row>
    <row r="474" hidden="1">
      <c r="A474" s="444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  <c r="AA474" s="442"/>
      <c r="AB474" s="442"/>
      <c r="AC474" s="442"/>
    </row>
    <row r="475" hidden="1">
      <c r="A475" s="444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  <c r="AA475" s="442"/>
      <c r="AB475" s="442"/>
      <c r="AC475" s="442"/>
    </row>
    <row r="476" hidden="1">
      <c r="A476" s="444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  <c r="AA476" s="442"/>
      <c r="AB476" s="442"/>
      <c r="AC476" s="442"/>
    </row>
    <row r="477" hidden="1">
      <c r="A477" s="444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  <c r="AA477" s="442"/>
      <c r="AB477" s="442"/>
      <c r="AC477" s="442"/>
    </row>
    <row r="478" hidden="1">
      <c r="A478" s="444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  <c r="AA478" s="442"/>
      <c r="AB478" s="442"/>
      <c r="AC478" s="442"/>
    </row>
    <row r="479" hidden="1">
      <c r="A479" s="444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  <c r="AA479" s="442"/>
      <c r="AB479" s="442"/>
      <c r="AC479" s="442"/>
    </row>
    <row r="480" hidden="1">
      <c r="A480" s="444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  <c r="AA480" s="442"/>
      <c r="AB480" s="442"/>
      <c r="AC480" s="442"/>
    </row>
    <row r="481" hidden="1">
      <c r="A481" s="444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  <c r="AA481" s="442"/>
      <c r="AB481" s="442"/>
      <c r="AC481" s="442"/>
    </row>
    <row r="482" hidden="1">
      <c r="A482" s="444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  <c r="AA482" s="442"/>
      <c r="AB482" s="442"/>
      <c r="AC482" s="442"/>
    </row>
    <row r="483" hidden="1">
      <c r="A483" s="444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  <c r="AA483" s="442"/>
      <c r="AB483" s="442"/>
      <c r="AC483" s="442"/>
    </row>
    <row r="484" hidden="1">
      <c r="A484" s="444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  <c r="AA484" s="442"/>
      <c r="AB484" s="442"/>
      <c r="AC484" s="442"/>
    </row>
    <row r="485" hidden="1">
      <c r="A485" s="444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  <c r="AA485" s="442"/>
      <c r="AB485" s="442"/>
      <c r="AC485" s="442"/>
    </row>
    <row r="486" hidden="1">
      <c r="A486" s="444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  <c r="AA486" s="442"/>
      <c r="AB486" s="442"/>
      <c r="AC486" s="442"/>
    </row>
    <row r="487" hidden="1">
      <c r="A487" s="444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  <c r="AA487" s="442"/>
      <c r="AB487" s="442"/>
      <c r="AC487" s="442"/>
    </row>
    <row r="488" hidden="1">
      <c r="A488" s="444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  <c r="AA488" s="442"/>
      <c r="AB488" s="442"/>
      <c r="AC488" s="442"/>
    </row>
    <row r="489" hidden="1">
      <c r="A489" s="444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  <c r="AA489" s="442"/>
      <c r="AB489" s="442"/>
      <c r="AC489" s="442"/>
    </row>
    <row r="490" hidden="1">
      <c r="A490" s="444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  <c r="AA490" s="442"/>
      <c r="AB490" s="442"/>
      <c r="AC490" s="442"/>
    </row>
    <row r="491" hidden="1">
      <c r="A491" s="444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  <c r="AA491" s="442"/>
      <c r="AB491" s="442"/>
      <c r="AC491" s="442"/>
    </row>
    <row r="492" hidden="1">
      <c r="A492" s="444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  <c r="AA492" s="442"/>
      <c r="AB492" s="442"/>
      <c r="AC492" s="442"/>
    </row>
    <row r="493" hidden="1">
      <c r="A493" s="444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  <c r="AA493" s="442"/>
      <c r="AB493" s="442"/>
      <c r="AC493" s="442"/>
    </row>
    <row r="494" hidden="1">
      <c r="A494" s="444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  <c r="AA494" s="442"/>
      <c r="AB494" s="442"/>
      <c r="AC494" s="442"/>
    </row>
    <row r="495" hidden="1">
      <c r="A495" s="444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  <c r="AA495" s="442"/>
      <c r="AB495" s="442"/>
      <c r="AC495" s="442"/>
    </row>
    <row r="496" hidden="1">
      <c r="A496" s="444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  <c r="AA496" s="442"/>
      <c r="AB496" s="442"/>
      <c r="AC496" s="442"/>
    </row>
    <row r="497" hidden="1">
      <c r="A497" s="444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  <c r="AA497" s="442"/>
      <c r="AB497" s="442"/>
      <c r="AC497" s="442"/>
    </row>
    <row r="498" hidden="1">
      <c r="A498" s="444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  <c r="AA498" s="442"/>
      <c r="AB498" s="442"/>
      <c r="AC498" s="442"/>
    </row>
    <row r="499" hidden="1">
      <c r="A499" s="444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  <c r="AA499" s="442"/>
      <c r="AB499" s="442"/>
      <c r="AC499" s="442"/>
    </row>
    <row r="500" hidden="1">
      <c r="A500" s="444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  <c r="AA500" s="442"/>
      <c r="AB500" s="442"/>
      <c r="AC500" s="442"/>
    </row>
    <row r="501" hidden="1">
      <c r="A501" s="444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  <c r="AA501" s="442"/>
      <c r="AB501" s="442"/>
      <c r="AC501" s="442"/>
    </row>
    <row r="502" hidden="1">
      <c r="A502" s="444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  <c r="AA502" s="442"/>
      <c r="AB502" s="442"/>
      <c r="AC502" s="442"/>
    </row>
    <row r="503" hidden="1">
      <c r="A503" s="444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  <c r="AA503" s="442"/>
      <c r="AB503" s="442"/>
      <c r="AC503" s="442"/>
    </row>
    <row r="504" hidden="1">
      <c r="A504" s="444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  <c r="AA504" s="442"/>
      <c r="AB504" s="442"/>
      <c r="AC504" s="442"/>
    </row>
    <row r="505" hidden="1">
      <c r="A505" s="444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  <c r="AA505" s="442"/>
      <c r="AB505" s="442"/>
      <c r="AC505" s="442"/>
    </row>
    <row r="506" hidden="1">
      <c r="A506" s="444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  <c r="AA506" s="442"/>
      <c r="AB506" s="442"/>
      <c r="AC506" s="442"/>
    </row>
    <row r="507" hidden="1">
      <c r="A507" s="444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  <c r="AA507" s="442"/>
      <c r="AB507" s="442"/>
      <c r="AC507" s="442"/>
    </row>
    <row r="508" hidden="1">
      <c r="A508" s="444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  <c r="AA508" s="442"/>
      <c r="AB508" s="442"/>
      <c r="AC508" s="442"/>
    </row>
    <row r="509" hidden="1">
      <c r="A509" s="444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  <c r="AA509" s="442"/>
      <c r="AB509" s="442"/>
      <c r="AC509" s="442"/>
    </row>
    <row r="510" hidden="1">
      <c r="A510" s="444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  <c r="AA510" s="442"/>
      <c r="AB510" s="442"/>
      <c r="AC510" s="442"/>
    </row>
    <row r="511" hidden="1">
      <c r="A511" s="444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  <c r="AA511" s="442"/>
      <c r="AB511" s="442"/>
      <c r="AC511" s="442"/>
    </row>
    <row r="512" hidden="1">
      <c r="A512" s="444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  <c r="AA512" s="442"/>
      <c r="AB512" s="442"/>
      <c r="AC512" s="442"/>
    </row>
    <row r="513" hidden="1">
      <c r="A513" s="444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  <c r="AA513" s="442"/>
      <c r="AB513" s="442"/>
      <c r="AC513" s="442"/>
    </row>
    <row r="514" hidden="1">
      <c r="A514" s="444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  <c r="AA514" s="442"/>
      <c r="AB514" s="442"/>
      <c r="AC514" s="442"/>
    </row>
    <row r="515" hidden="1">
      <c r="A515" s="444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  <c r="AA515" s="442"/>
      <c r="AB515" s="442"/>
      <c r="AC515" s="442"/>
    </row>
    <row r="516" hidden="1">
      <c r="A516" s="444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  <c r="AA516" s="442"/>
      <c r="AB516" s="442"/>
      <c r="AC516" s="442"/>
    </row>
    <row r="517" hidden="1">
      <c r="A517" s="444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  <c r="AA517" s="442"/>
      <c r="AB517" s="442"/>
      <c r="AC517" s="442"/>
    </row>
    <row r="518" hidden="1">
      <c r="A518" s="444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  <c r="AA518" s="442"/>
      <c r="AB518" s="442"/>
      <c r="AC518" s="442"/>
    </row>
    <row r="519" hidden="1">
      <c r="A519" s="444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  <c r="AA519" s="442"/>
      <c r="AB519" s="442"/>
      <c r="AC519" s="442"/>
    </row>
    <row r="520" hidden="1">
      <c r="A520" s="444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  <c r="AA520" s="442"/>
      <c r="AB520" s="442"/>
      <c r="AC520" s="442"/>
    </row>
    <row r="521" hidden="1">
      <c r="A521" s="444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  <c r="AA521" s="442"/>
      <c r="AB521" s="442"/>
      <c r="AC521" s="442"/>
    </row>
    <row r="522" hidden="1">
      <c r="A522" s="444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  <c r="AA522" s="442"/>
      <c r="AB522" s="442"/>
      <c r="AC522" s="442"/>
    </row>
    <row r="523" hidden="1">
      <c r="A523" s="444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  <c r="AA523" s="442"/>
      <c r="AB523" s="442"/>
      <c r="AC523" s="442"/>
    </row>
    <row r="524" hidden="1">
      <c r="A524" s="444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  <c r="AA524" s="442"/>
      <c r="AB524" s="442"/>
      <c r="AC524" s="442"/>
    </row>
    <row r="525" hidden="1">
      <c r="A525" s="444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  <c r="AA525" s="442"/>
      <c r="AB525" s="442"/>
      <c r="AC525" s="442"/>
    </row>
    <row r="526" hidden="1">
      <c r="A526" s="444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  <c r="AA526" s="442"/>
      <c r="AB526" s="442"/>
      <c r="AC526" s="442"/>
    </row>
    <row r="527" hidden="1">
      <c r="A527" s="444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  <c r="AA527" s="442"/>
      <c r="AB527" s="442"/>
      <c r="AC527" s="442"/>
    </row>
    <row r="528" hidden="1">
      <c r="A528" s="444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  <c r="AA528" s="442"/>
      <c r="AB528" s="442"/>
      <c r="AC528" s="442"/>
    </row>
    <row r="529" hidden="1">
      <c r="A529" s="444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  <c r="AA529" s="442"/>
      <c r="AB529" s="442"/>
      <c r="AC529" s="442"/>
    </row>
    <row r="530" hidden="1">
      <c r="A530" s="444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  <c r="AA530" s="442"/>
      <c r="AB530" s="442"/>
      <c r="AC530" s="442"/>
    </row>
    <row r="531" hidden="1">
      <c r="A531" s="444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  <c r="AA531" s="442"/>
      <c r="AB531" s="442"/>
      <c r="AC531" s="442"/>
    </row>
    <row r="532" hidden="1">
      <c r="A532" s="444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  <c r="AA532" s="442"/>
      <c r="AB532" s="442"/>
      <c r="AC532" s="442"/>
    </row>
    <row r="533" hidden="1">
      <c r="A533" s="444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  <c r="AA533" s="442"/>
      <c r="AB533" s="442"/>
      <c r="AC533" s="442"/>
    </row>
    <row r="534" hidden="1">
      <c r="A534" s="444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  <c r="AA534" s="442"/>
      <c r="AB534" s="442"/>
      <c r="AC534" s="442"/>
    </row>
    <row r="535" hidden="1">
      <c r="A535" s="444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  <c r="AA535" s="442"/>
      <c r="AB535" s="442"/>
      <c r="AC535" s="442"/>
    </row>
    <row r="536" hidden="1">
      <c r="A536" s="444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  <c r="AA536" s="442"/>
      <c r="AB536" s="442"/>
      <c r="AC536" s="442"/>
    </row>
    <row r="537" hidden="1">
      <c r="A537" s="444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  <c r="AA537" s="442"/>
      <c r="AB537" s="442"/>
      <c r="AC537" s="442"/>
    </row>
    <row r="538" hidden="1">
      <c r="A538" s="444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  <c r="AA538" s="442"/>
      <c r="AB538" s="442"/>
      <c r="AC538" s="442"/>
    </row>
    <row r="539" hidden="1">
      <c r="A539" s="444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  <c r="AA539" s="442"/>
      <c r="AB539" s="442"/>
      <c r="AC539" s="442"/>
    </row>
    <row r="540" hidden="1">
      <c r="A540" s="444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  <c r="AA540" s="442"/>
      <c r="AB540" s="442"/>
      <c r="AC540" s="442"/>
    </row>
    <row r="541" hidden="1">
      <c r="A541" s="444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  <c r="AA541" s="442"/>
      <c r="AB541" s="442"/>
      <c r="AC541" s="442"/>
    </row>
    <row r="542" hidden="1">
      <c r="A542" s="444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  <c r="AA542" s="442"/>
      <c r="AB542" s="442"/>
      <c r="AC542" s="442"/>
    </row>
    <row r="543" hidden="1">
      <c r="A543" s="444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  <c r="AA543" s="442"/>
      <c r="AB543" s="442"/>
      <c r="AC543" s="442"/>
    </row>
    <row r="544" hidden="1">
      <c r="A544" s="444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  <c r="AA544" s="442"/>
      <c r="AB544" s="442"/>
      <c r="AC544" s="442"/>
    </row>
    <row r="545" hidden="1">
      <c r="A545" s="444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  <c r="AA545" s="442"/>
      <c r="AB545" s="442"/>
      <c r="AC545" s="442"/>
    </row>
    <row r="546" hidden="1">
      <c r="A546" s="444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  <c r="AA546" s="442"/>
      <c r="AB546" s="442"/>
      <c r="AC546" s="442"/>
    </row>
    <row r="547" hidden="1">
      <c r="A547" s="444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  <c r="AA547" s="442"/>
      <c r="AB547" s="442"/>
      <c r="AC547" s="442"/>
    </row>
    <row r="548" hidden="1">
      <c r="A548" s="444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  <c r="AA548" s="442"/>
      <c r="AB548" s="442"/>
      <c r="AC548" s="442"/>
    </row>
    <row r="549" hidden="1">
      <c r="A549" s="444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  <c r="AA549" s="442"/>
      <c r="AB549" s="442"/>
      <c r="AC549" s="442"/>
    </row>
    <row r="550" hidden="1">
      <c r="A550" s="444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  <c r="AA550" s="442"/>
      <c r="AB550" s="442"/>
      <c r="AC550" s="442"/>
    </row>
    <row r="551" hidden="1">
      <c r="A551" s="444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  <c r="AA551" s="442"/>
      <c r="AB551" s="442"/>
      <c r="AC551" s="442"/>
    </row>
    <row r="552" hidden="1">
      <c r="A552" s="444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  <c r="AA552" s="442"/>
      <c r="AB552" s="442"/>
      <c r="AC552" s="442"/>
    </row>
    <row r="553" hidden="1">
      <c r="A553" s="444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  <c r="AA553" s="442"/>
      <c r="AB553" s="442"/>
      <c r="AC553" s="442"/>
    </row>
    <row r="554" hidden="1">
      <c r="A554" s="444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  <c r="AA554" s="442"/>
      <c r="AB554" s="442"/>
      <c r="AC554" s="442"/>
    </row>
    <row r="555" hidden="1">
      <c r="A555" s="444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  <c r="AA555" s="442"/>
      <c r="AB555" s="442"/>
      <c r="AC555" s="442"/>
    </row>
    <row r="556" hidden="1">
      <c r="A556" s="444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  <c r="AA556" s="442"/>
      <c r="AB556" s="442"/>
      <c r="AC556" s="442"/>
    </row>
    <row r="557" hidden="1">
      <c r="A557" s="444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  <c r="AA557" s="442"/>
      <c r="AB557" s="442"/>
      <c r="AC557" s="442"/>
    </row>
    <row r="558" hidden="1">
      <c r="A558" s="444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  <c r="AA558" s="442"/>
      <c r="AB558" s="442"/>
      <c r="AC558" s="442"/>
    </row>
    <row r="559" hidden="1">
      <c r="A559" s="444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  <c r="AA559" s="442"/>
      <c r="AB559" s="442"/>
      <c r="AC559" s="442"/>
    </row>
    <row r="560" hidden="1">
      <c r="A560" s="444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  <c r="AA560" s="442"/>
      <c r="AB560" s="442"/>
      <c r="AC560" s="442"/>
    </row>
    <row r="561" hidden="1">
      <c r="A561" s="444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  <c r="AA561" s="442"/>
      <c r="AB561" s="442"/>
      <c r="AC561" s="442"/>
    </row>
    <row r="562" hidden="1">
      <c r="A562" s="444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  <c r="AA562" s="442"/>
      <c r="AB562" s="442"/>
      <c r="AC562" s="442"/>
    </row>
    <row r="563" hidden="1">
      <c r="A563" s="444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  <c r="AA563" s="442"/>
      <c r="AB563" s="442"/>
      <c r="AC563" s="442"/>
    </row>
    <row r="564" hidden="1">
      <c r="A564" s="444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  <c r="AA564" s="442"/>
      <c r="AB564" s="442"/>
      <c r="AC564" s="442"/>
    </row>
    <row r="565" hidden="1">
      <c r="A565" s="444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  <c r="AA565" s="442"/>
      <c r="AB565" s="442"/>
      <c r="AC565" s="442"/>
    </row>
    <row r="566" hidden="1">
      <c r="A566" s="444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  <c r="AA566" s="442"/>
      <c r="AB566" s="442"/>
      <c r="AC566" s="442"/>
    </row>
    <row r="567" hidden="1">
      <c r="A567" s="444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  <c r="AA567" s="442"/>
      <c r="AB567" s="442"/>
      <c r="AC567" s="442"/>
    </row>
    <row r="568" hidden="1">
      <c r="A568" s="444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  <c r="AA568" s="442"/>
      <c r="AB568" s="442"/>
      <c r="AC568" s="442"/>
    </row>
    <row r="569" hidden="1">
      <c r="A569" s="444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  <c r="AA569" s="442"/>
      <c r="AB569" s="442"/>
      <c r="AC569" s="442"/>
    </row>
    <row r="570" hidden="1">
      <c r="A570" s="444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  <c r="AA570" s="442"/>
      <c r="AB570" s="442"/>
      <c r="AC570" s="442"/>
    </row>
    <row r="571" hidden="1">
      <c r="A571" s="444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  <c r="AA571" s="442"/>
      <c r="AB571" s="442"/>
      <c r="AC571" s="442"/>
    </row>
    <row r="572" hidden="1">
      <c r="A572" s="444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  <c r="AA572" s="442"/>
      <c r="AB572" s="442"/>
      <c r="AC572" s="442"/>
    </row>
    <row r="573" hidden="1">
      <c r="A573" s="444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  <c r="AA573" s="442"/>
      <c r="AB573" s="442"/>
      <c r="AC573" s="442"/>
    </row>
    <row r="574" hidden="1">
      <c r="A574" s="444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  <c r="AA574" s="442"/>
      <c r="AB574" s="442"/>
      <c r="AC574" s="442"/>
    </row>
    <row r="575" hidden="1">
      <c r="A575" s="444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  <c r="AA575" s="442"/>
      <c r="AB575" s="442"/>
      <c r="AC575" s="442"/>
    </row>
    <row r="576" hidden="1">
      <c r="A576" s="444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  <c r="AA576" s="442"/>
      <c r="AB576" s="442"/>
      <c r="AC576" s="442"/>
    </row>
    <row r="577" hidden="1">
      <c r="A577" s="444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  <c r="AA577" s="442"/>
      <c r="AB577" s="442"/>
      <c r="AC577" s="442"/>
    </row>
    <row r="578" hidden="1">
      <c r="A578" s="444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  <c r="AA578" s="442"/>
      <c r="AB578" s="442"/>
      <c r="AC578" s="442"/>
    </row>
    <row r="579" hidden="1">
      <c r="A579" s="444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  <c r="AA579" s="442"/>
      <c r="AB579" s="442"/>
      <c r="AC579" s="442"/>
    </row>
    <row r="580" hidden="1">
      <c r="A580" s="444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  <c r="AA580" s="442"/>
      <c r="AB580" s="442"/>
      <c r="AC580" s="442"/>
    </row>
    <row r="581" hidden="1">
      <c r="A581" s="444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  <c r="AA581" s="442"/>
      <c r="AB581" s="442"/>
      <c r="AC581" s="442"/>
    </row>
    <row r="582" hidden="1">
      <c r="A582" s="444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  <c r="AA582" s="442"/>
      <c r="AB582" s="442"/>
      <c r="AC582" s="442"/>
    </row>
    <row r="583" hidden="1">
      <c r="A583" s="444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  <c r="AA583" s="442"/>
      <c r="AB583" s="442"/>
      <c r="AC583" s="442"/>
    </row>
    <row r="584" hidden="1">
      <c r="A584" s="444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  <c r="AA584" s="442"/>
      <c r="AB584" s="442"/>
      <c r="AC584" s="442"/>
    </row>
    <row r="585" hidden="1">
      <c r="A585" s="444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  <c r="AA585" s="442"/>
      <c r="AB585" s="442"/>
      <c r="AC585" s="442"/>
    </row>
    <row r="586" hidden="1">
      <c r="A586" s="444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  <c r="AA586" s="442"/>
      <c r="AB586" s="442"/>
      <c r="AC586" s="442"/>
    </row>
    <row r="587" hidden="1">
      <c r="A587" s="444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  <c r="AA587" s="442"/>
      <c r="AB587" s="442"/>
      <c r="AC587" s="442"/>
    </row>
    <row r="588" hidden="1">
      <c r="A588" s="444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  <c r="AA588" s="442"/>
      <c r="AB588" s="442"/>
      <c r="AC588" s="442"/>
    </row>
    <row r="589" hidden="1">
      <c r="A589" s="444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  <c r="AA589" s="442"/>
      <c r="AB589" s="442"/>
      <c r="AC589" s="442"/>
    </row>
    <row r="590" hidden="1">
      <c r="A590" s="444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  <c r="AA590" s="442"/>
      <c r="AB590" s="442"/>
      <c r="AC590" s="442"/>
    </row>
    <row r="591" hidden="1">
      <c r="A591" s="444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  <c r="AA591" s="442"/>
      <c r="AB591" s="442"/>
      <c r="AC591" s="442"/>
    </row>
    <row r="592" hidden="1">
      <c r="A592" s="444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  <c r="AA592" s="442"/>
      <c r="AB592" s="442"/>
      <c r="AC592" s="442"/>
    </row>
    <row r="593" hidden="1">
      <c r="A593" s="444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  <c r="AA593" s="442"/>
      <c r="AB593" s="442"/>
      <c r="AC593" s="442"/>
    </row>
    <row r="594" hidden="1">
      <c r="A594" s="444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  <c r="AA594" s="442"/>
      <c r="AB594" s="442"/>
      <c r="AC594" s="442"/>
    </row>
    <row r="595" hidden="1">
      <c r="A595" s="444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  <c r="AA595" s="442"/>
      <c r="AB595" s="442"/>
      <c r="AC595" s="442"/>
    </row>
    <row r="596" hidden="1">
      <c r="A596" s="444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  <c r="AA596" s="442"/>
      <c r="AB596" s="442"/>
      <c r="AC596" s="442"/>
    </row>
    <row r="597" hidden="1">
      <c r="A597" s="444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  <c r="AA597" s="442"/>
      <c r="AB597" s="442"/>
      <c r="AC597" s="442"/>
    </row>
    <row r="598" hidden="1">
      <c r="A598" s="444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  <c r="AA598" s="442"/>
      <c r="AB598" s="442"/>
      <c r="AC598" s="442"/>
    </row>
    <row r="599" hidden="1">
      <c r="A599" s="444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  <c r="AA599" s="442"/>
      <c r="AB599" s="442"/>
      <c r="AC599" s="442"/>
    </row>
    <row r="600" hidden="1">
      <c r="A600" s="444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  <c r="AA600" s="442"/>
      <c r="AB600" s="442"/>
      <c r="AC600" s="442"/>
    </row>
    <row r="601" hidden="1">
      <c r="A601" s="444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  <c r="AA601" s="442"/>
      <c r="AB601" s="442"/>
      <c r="AC601" s="442"/>
    </row>
    <row r="602" hidden="1">
      <c r="A602" s="444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  <c r="AA602" s="442"/>
      <c r="AB602" s="442"/>
      <c r="AC602" s="442"/>
    </row>
    <row r="603" hidden="1">
      <c r="A603" s="444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  <c r="AA603" s="442"/>
      <c r="AB603" s="442"/>
      <c r="AC603" s="442"/>
    </row>
    <row r="604" hidden="1">
      <c r="A604" s="444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  <c r="AA604" s="442"/>
      <c r="AB604" s="442"/>
      <c r="AC604" s="442"/>
    </row>
    <row r="605" hidden="1">
      <c r="A605" s="444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  <c r="AA605" s="442"/>
      <c r="AB605" s="442"/>
      <c r="AC605" s="442"/>
    </row>
    <row r="606" hidden="1">
      <c r="A606" s="444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  <c r="AA606" s="442"/>
      <c r="AB606" s="442"/>
      <c r="AC606" s="442"/>
    </row>
    <row r="607" hidden="1">
      <c r="A607" s="444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  <c r="AA607" s="442"/>
      <c r="AB607" s="442"/>
      <c r="AC607" s="442"/>
    </row>
    <row r="608" hidden="1">
      <c r="A608" s="444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  <c r="AA608" s="442"/>
      <c r="AB608" s="442"/>
      <c r="AC608" s="442"/>
    </row>
    <row r="609" hidden="1">
      <c r="A609" s="444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  <c r="AA609" s="442"/>
      <c r="AB609" s="442"/>
      <c r="AC609" s="442"/>
    </row>
    <row r="610" hidden="1">
      <c r="A610" s="444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  <c r="AA610" s="442"/>
      <c r="AB610" s="442"/>
      <c r="AC610" s="442"/>
    </row>
    <row r="611" hidden="1">
      <c r="A611" s="444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  <c r="AA611" s="442"/>
      <c r="AB611" s="442"/>
      <c r="AC611" s="442"/>
    </row>
    <row r="612" hidden="1">
      <c r="A612" s="444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  <c r="AA612" s="442"/>
      <c r="AB612" s="442"/>
      <c r="AC612" s="442"/>
    </row>
    <row r="613" hidden="1">
      <c r="A613" s="444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  <c r="AA613" s="442"/>
      <c r="AB613" s="442"/>
      <c r="AC613" s="442"/>
    </row>
    <row r="614" hidden="1">
      <c r="A614" s="444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  <c r="AA614" s="442"/>
      <c r="AB614" s="442"/>
      <c r="AC614" s="442"/>
    </row>
    <row r="615" hidden="1">
      <c r="A615" s="444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  <c r="AA615" s="442"/>
      <c r="AB615" s="442"/>
      <c r="AC615" s="442"/>
    </row>
    <row r="616" hidden="1">
      <c r="A616" s="444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  <c r="AA616" s="442"/>
      <c r="AB616" s="442"/>
      <c r="AC616" s="442"/>
    </row>
    <row r="617" hidden="1">
      <c r="A617" s="444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  <c r="AA617" s="442"/>
      <c r="AB617" s="442"/>
      <c r="AC617" s="442"/>
    </row>
    <row r="618" hidden="1">
      <c r="A618" s="444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  <c r="AA618" s="442"/>
      <c r="AB618" s="442"/>
      <c r="AC618" s="442"/>
    </row>
    <row r="619" hidden="1">
      <c r="A619" s="444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  <c r="AA619" s="442"/>
      <c r="AB619" s="442"/>
      <c r="AC619" s="442"/>
    </row>
    <row r="620" hidden="1">
      <c r="A620" s="444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  <c r="AA620" s="442"/>
      <c r="AB620" s="442"/>
      <c r="AC620" s="442"/>
    </row>
    <row r="621" hidden="1">
      <c r="A621" s="444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  <c r="AA621" s="442"/>
      <c r="AB621" s="442"/>
      <c r="AC621" s="442"/>
    </row>
    <row r="622" hidden="1">
      <c r="A622" s="444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  <c r="AA622" s="442"/>
      <c r="AB622" s="442"/>
      <c r="AC622" s="442"/>
    </row>
    <row r="623" hidden="1">
      <c r="A623" s="444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  <c r="AA623" s="442"/>
      <c r="AB623" s="442"/>
      <c r="AC623" s="442"/>
    </row>
    <row r="624" hidden="1">
      <c r="A624" s="444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  <c r="AA624" s="442"/>
      <c r="AB624" s="442"/>
      <c r="AC624" s="442"/>
    </row>
    <row r="625" hidden="1">
      <c r="A625" s="444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  <c r="AA625" s="442"/>
      <c r="AB625" s="442"/>
      <c r="AC625" s="442"/>
    </row>
    <row r="626" hidden="1">
      <c r="A626" s="444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  <c r="AA626" s="442"/>
      <c r="AB626" s="442"/>
      <c r="AC626" s="442"/>
    </row>
    <row r="627" hidden="1">
      <c r="A627" s="444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  <c r="AA627" s="442"/>
      <c r="AB627" s="442"/>
      <c r="AC627" s="442"/>
    </row>
    <row r="628" hidden="1">
      <c r="A628" s="444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  <c r="AA628" s="442"/>
      <c r="AB628" s="442"/>
      <c r="AC628" s="442"/>
    </row>
    <row r="629" hidden="1">
      <c r="A629" s="444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  <c r="AA629" s="442"/>
      <c r="AB629" s="442"/>
      <c r="AC629" s="442"/>
    </row>
    <row r="630" hidden="1">
      <c r="A630" s="444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  <c r="AA630" s="442"/>
      <c r="AB630" s="442"/>
      <c r="AC630" s="442"/>
    </row>
    <row r="631" hidden="1">
      <c r="A631" s="444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  <c r="AA631" s="442"/>
      <c r="AB631" s="442"/>
      <c r="AC631" s="442"/>
    </row>
    <row r="632" hidden="1">
      <c r="A632" s="444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  <c r="AA632" s="442"/>
      <c r="AB632" s="442"/>
      <c r="AC632" s="442"/>
    </row>
    <row r="633" hidden="1">
      <c r="A633" s="444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  <c r="AA633" s="442"/>
      <c r="AB633" s="442"/>
      <c r="AC633" s="442"/>
    </row>
    <row r="634" hidden="1">
      <c r="A634" s="444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  <c r="AA634" s="442"/>
      <c r="AB634" s="442"/>
      <c r="AC634" s="442"/>
    </row>
    <row r="635" hidden="1">
      <c r="A635" s="444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  <c r="AA635" s="442"/>
      <c r="AB635" s="442"/>
      <c r="AC635" s="442"/>
    </row>
    <row r="636" hidden="1">
      <c r="A636" s="444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  <c r="AA636" s="442"/>
      <c r="AB636" s="442"/>
      <c r="AC636" s="442"/>
    </row>
    <row r="637" hidden="1">
      <c r="A637" s="444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  <c r="AA637" s="442"/>
      <c r="AB637" s="442"/>
      <c r="AC637" s="442"/>
    </row>
    <row r="638" hidden="1">
      <c r="A638" s="444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  <c r="AA638" s="442"/>
      <c r="AB638" s="442"/>
      <c r="AC638" s="442"/>
    </row>
    <row r="639" hidden="1">
      <c r="A639" s="444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  <c r="AA639" s="442"/>
      <c r="AB639" s="442"/>
      <c r="AC639" s="442"/>
    </row>
    <row r="640" hidden="1">
      <c r="A640" s="444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  <c r="AA640" s="442"/>
      <c r="AB640" s="442"/>
      <c r="AC640" s="442"/>
    </row>
    <row r="641" hidden="1">
      <c r="A641" s="444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  <c r="AA641" s="442"/>
      <c r="AB641" s="442"/>
      <c r="AC641" s="442"/>
    </row>
    <row r="642" hidden="1">
      <c r="A642" s="444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  <c r="AA642" s="442"/>
      <c r="AB642" s="442"/>
      <c r="AC642" s="442"/>
    </row>
    <row r="643" hidden="1">
      <c r="A643" s="444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  <c r="AA643" s="442"/>
      <c r="AB643" s="442"/>
      <c r="AC643" s="442"/>
    </row>
    <row r="644" hidden="1">
      <c r="A644" s="444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  <c r="AA644" s="442"/>
      <c r="AB644" s="442"/>
      <c r="AC644" s="442"/>
    </row>
    <row r="645" hidden="1">
      <c r="A645" s="444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  <c r="AA645" s="442"/>
      <c r="AB645" s="442"/>
      <c r="AC645" s="442"/>
    </row>
    <row r="646" hidden="1">
      <c r="A646" s="444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  <c r="AA646" s="442"/>
      <c r="AB646" s="442"/>
      <c r="AC646" s="442"/>
    </row>
    <row r="647" hidden="1">
      <c r="A647" s="444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  <c r="AA647" s="442"/>
      <c r="AB647" s="442"/>
      <c r="AC647" s="442"/>
    </row>
    <row r="648" hidden="1">
      <c r="A648" s="444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  <c r="AA648" s="442"/>
      <c r="AB648" s="442"/>
      <c r="AC648" s="442"/>
    </row>
    <row r="649" hidden="1">
      <c r="A649" s="444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  <c r="AA649" s="442"/>
      <c r="AB649" s="442"/>
      <c r="AC649" s="442"/>
    </row>
    <row r="650" hidden="1">
      <c r="A650" s="444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  <c r="AA650" s="442"/>
      <c r="AB650" s="442"/>
      <c r="AC650" s="442"/>
    </row>
    <row r="651" hidden="1">
      <c r="A651" s="444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  <c r="AA651" s="442"/>
      <c r="AB651" s="442"/>
      <c r="AC651" s="442"/>
    </row>
    <row r="652" hidden="1">
      <c r="A652" s="444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  <c r="AA652" s="442"/>
      <c r="AB652" s="442"/>
      <c r="AC652" s="442"/>
    </row>
    <row r="653" hidden="1">
      <c r="A653" s="444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  <c r="AA653" s="442"/>
      <c r="AB653" s="442"/>
      <c r="AC653" s="442"/>
    </row>
    <row r="654" hidden="1">
      <c r="A654" s="444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  <c r="AA654" s="442"/>
      <c r="AB654" s="442"/>
      <c r="AC654" s="442"/>
    </row>
    <row r="655" hidden="1">
      <c r="A655" s="444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  <c r="AA655" s="442"/>
      <c r="AB655" s="442"/>
      <c r="AC655" s="442"/>
    </row>
    <row r="656" hidden="1">
      <c r="A656" s="444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  <c r="AA656" s="442"/>
      <c r="AB656" s="442"/>
      <c r="AC656" s="442"/>
    </row>
    <row r="657" hidden="1">
      <c r="A657" s="444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  <c r="AA657" s="442"/>
      <c r="AB657" s="442"/>
      <c r="AC657" s="442"/>
    </row>
    <row r="658" hidden="1">
      <c r="A658" s="444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  <c r="AA658" s="442"/>
      <c r="AB658" s="442"/>
      <c r="AC658" s="442"/>
    </row>
    <row r="659" hidden="1">
      <c r="A659" s="444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  <c r="AA659" s="442"/>
      <c r="AB659" s="442"/>
      <c r="AC659" s="442"/>
    </row>
    <row r="660" hidden="1">
      <c r="A660" s="444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  <c r="AA660" s="442"/>
      <c r="AB660" s="442"/>
      <c r="AC660" s="442"/>
    </row>
    <row r="661" hidden="1">
      <c r="A661" s="444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  <c r="AA661" s="442"/>
      <c r="AB661" s="442"/>
      <c r="AC661" s="442"/>
    </row>
    <row r="662" hidden="1">
      <c r="A662" s="444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  <c r="AA662" s="442"/>
      <c r="AB662" s="442"/>
      <c r="AC662" s="442"/>
    </row>
    <row r="663" hidden="1">
      <c r="A663" s="444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  <c r="AA663" s="442"/>
      <c r="AB663" s="442"/>
      <c r="AC663" s="442"/>
    </row>
    <row r="664" hidden="1">
      <c r="A664" s="444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  <c r="AA664" s="442"/>
      <c r="AB664" s="442"/>
      <c r="AC664" s="442"/>
    </row>
    <row r="665" hidden="1">
      <c r="A665" s="444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  <c r="AA665" s="442"/>
      <c r="AB665" s="442"/>
      <c r="AC665" s="442"/>
    </row>
    <row r="666" hidden="1">
      <c r="A666" s="444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  <c r="AA666" s="442"/>
      <c r="AB666" s="442"/>
      <c r="AC666" s="442"/>
    </row>
    <row r="667" hidden="1">
      <c r="A667" s="444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  <c r="AA667" s="442"/>
      <c r="AB667" s="442"/>
      <c r="AC667" s="442"/>
    </row>
    <row r="668" hidden="1">
      <c r="A668" s="444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  <c r="AA668" s="442"/>
      <c r="AB668" s="442"/>
      <c r="AC668" s="442"/>
    </row>
    <row r="669" hidden="1">
      <c r="A669" s="444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  <c r="AA669" s="442"/>
      <c r="AB669" s="442"/>
      <c r="AC669" s="442"/>
    </row>
    <row r="670" hidden="1">
      <c r="A670" s="444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  <c r="AA670" s="442"/>
      <c r="AB670" s="442"/>
      <c r="AC670" s="442"/>
    </row>
    <row r="671" hidden="1">
      <c r="A671" s="444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  <c r="AA671" s="442"/>
      <c r="AB671" s="442"/>
      <c r="AC671" s="442"/>
    </row>
    <row r="672" hidden="1">
      <c r="A672" s="444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  <c r="AA672" s="442"/>
      <c r="AB672" s="442"/>
      <c r="AC672" s="442"/>
    </row>
    <row r="673" hidden="1">
      <c r="A673" s="444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  <c r="AA673" s="442"/>
      <c r="AB673" s="442"/>
      <c r="AC673" s="442"/>
    </row>
    <row r="674" hidden="1">
      <c r="A674" s="444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  <c r="AA674" s="442"/>
      <c r="AB674" s="442"/>
      <c r="AC674" s="442"/>
    </row>
    <row r="675" hidden="1">
      <c r="A675" s="444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  <c r="AA675" s="442"/>
      <c r="AB675" s="442"/>
      <c r="AC675" s="442"/>
    </row>
    <row r="676" hidden="1">
      <c r="A676" s="444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  <c r="AA676" s="442"/>
      <c r="AB676" s="442"/>
      <c r="AC676" s="442"/>
    </row>
    <row r="677" hidden="1">
      <c r="A677" s="444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  <c r="AA677" s="442"/>
      <c r="AB677" s="442"/>
      <c r="AC677" s="442"/>
    </row>
    <row r="678" hidden="1">
      <c r="A678" s="444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  <c r="AA678" s="442"/>
      <c r="AB678" s="442"/>
      <c r="AC678" s="442"/>
    </row>
    <row r="679" hidden="1">
      <c r="A679" s="444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  <c r="AA679" s="442"/>
      <c r="AB679" s="442"/>
      <c r="AC679" s="442"/>
    </row>
    <row r="680" hidden="1">
      <c r="A680" s="444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  <c r="AA680" s="442"/>
      <c r="AB680" s="442"/>
      <c r="AC680" s="442"/>
    </row>
    <row r="681" hidden="1">
      <c r="A681" s="444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  <c r="AA681" s="442"/>
      <c r="AB681" s="442"/>
      <c r="AC681" s="442"/>
    </row>
    <row r="682" hidden="1">
      <c r="A682" s="444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  <c r="AA682" s="442"/>
      <c r="AB682" s="442"/>
      <c r="AC682" s="442"/>
    </row>
    <row r="683" hidden="1">
      <c r="A683" s="444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  <c r="AA683" s="442"/>
      <c r="AB683" s="442"/>
      <c r="AC683" s="442"/>
    </row>
    <row r="684" hidden="1">
      <c r="A684" s="444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  <c r="AA684" s="442"/>
      <c r="AB684" s="442"/>
      <c r="AC684" s="442"/>
    </row>
    <row r="685" hidden="1">
      <c r="A685" s="444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  <c r="AA685" s="442"/>
      <c r="AB685" s="442"/>
      <c r="AC685" s="442"/>
    </row>
    <row r="686" hidden="1">
      <c r="A686" s="444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  <c r="AA686" s="442"/>
      <c r="AB686" s="442"/>
      <c r="AC686" s="442"/>
    </row>
    <row r="687" hidden="1">
      <c r="A687" s="444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  <c r="AA687" s="442"/>
      <c r="AB687" s="442"/>
      <c r="AC687" s="442"/>
    </row>
    <row r="688" hidden="1">
      <c r="A688" s="444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  <c r="AA688" s="442"/>
      <c r="AB688" s="442"/>
      <c r="AC688" s="442"/>
    </row>
    <row r="689" hidden="1">
      <c r="A689" s="444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  <c r="AA689" s="442"/>
      <c r="AB689" s="442"/>
      <c r="AC689" s="442"/>
    </row>
    <row r="690" hidden="1">
      <c r="A690" s="444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  <c r="AA690" s="442"/>
      <c r="AB690" s="442"/>
      <c r="AC690" s="442"/>
    </row>
    <row r="691" hidden="1">
      <c r="A691" s="444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  <c r="AA691" s="442"/>
      <c r="AB691" s="442"/>
      <c r="AC691" s="442"/>
    </row>
    <row r="692" hidden="1">
      <c r="A692" s="444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  <c r="AA692" s="442"/>
      <c r="AB692" s="442"/>
      <c r="AC692" s="442"/>
    </row>
    <row r="693" hidden="1">
      <c r="A693" s="444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  <c r="AA693" s="442"/>
      <c r="AB693" s="442"/>
      <c r="AC693" s="442"/>
    </row>
    <row r="694" hidden="1">
      <c r="A694" s="444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  <c r="AA694" s="442"/>
      <c r="AB694" s="442"/>
      <c r="AC694" s="442"/>
    </row>
    <row r="695" hidden="1">
      <c r="A695" s="444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  <c r="AA695" s="442"/>
      <c r="AB695" s="442"/>
      <c r="AC695" s="442"/>
    </row>
    <row r="696" hidden="1">
      <c r="A696" s="444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  <c r="AA696" s="442"/>
      <c r="AB696" s="442"/>
      <c r="AC696" s="442"/>
    </row>
    <row r="697" hidden="1">
      <c r="A697" s="444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  <c r="AA697" s="442"/>
      <c r="AB697" s="442"/>
      <c r="AC697" s="442"/>
    </row>
    <row r="698" hidden="1">
      <c r="A698" s="444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  <c r="AA698" s="442"/>
      <c r="AB698" s="442"/>
      <c r="AC698" s="442"/>
    </row>
    <row r="699" hidden="1">
      <c r="A699" s="444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  <c r="AA699" s="442"/>
      <c r="AB699" s="442"/>
      <c r="AC699" s="442"/>
    </row>
    <row r="700" hidden="1">
      <c r="A700" s="444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  <c r="AA700" s="442"/>
      <c r="AB700" s="442"/>
      <c r="AC700" s="442"/>
    </row>
    <row r="701" hidden="1">
      <c r="A701" s="444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  <c r="AA701" s="442"/>
      <c r="AB701" s="442"/>
      <c r="AC701" s="442"/>
    </row>
    <row r="702" hidden="1">
      <c r="A702" s="444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  <c r="AA702" s="442"/>
      <c r="AB702" s="442"/>
      <c r="AC702" s="442"/>
    </row>
    <row r="703" hidden="1">
      <c r="A703" s="444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  <c r="AA703" s="442"/>
      <c r="AB703" s="442"/>
      <c r="AC703" s="442"/>
    </row>
    <row r="704" hidden="1">
      <c r="A704" s="444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  <c r="AA704" s="442"/>
      <c r="AB704" s="442"/>
      <c r="AC704" s="442"/>
    </row>
    <row r="705" hidden="1">
      <c r="A705" s="444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  <c r="AA705" s="442"/>
      <c r="AB705" s="442"/>
      <c r="AC705" s="442"/>
    </row>
    <row r="706" hidden="1">
      <c r="A706" s="444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  <c r="AA706" s="442"/>
      <c r="AB706" s="442"/>
      <c r="AC706" s="442"/>
    </row>
    <row r="707" hidden="1">
      <c r="A707" s="444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  <c r="AA707" s="442"/>
      <c r="AB707" s="442"/>
      <c r="AC707" s="442"/>
    </row>
    <row r="708" hidden="1">
      <c r="A708" s="444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  <c r="AA708" s="442"/>
      <c r="AB708" s="442"/>
      <c r="AC708" s="442"/>
    </row>
    <row r="709" hidden="1">
      <c r="A709" s="444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  <c r="AA709" s="442"/>
      <c r="AB709" s="442"/>
      <c r="AC709" s="442"/>
    </row>
    <row r="710" hidden="1">
      <c r="A710" s="444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  <c r="AA710" s="442"/>
      <c r="AB710" s="442"/>
      <c r="AC710" s="442"/>
    </row>
    <row r="711" hidden="1">
      <c r="A711" s="444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  <c r="AA711" s="442"/>
      <c r="AB711" s="442"/>
      <c r="AC711" s="442"/>
    </row>
    <row r="712" hidden="1">
      <c r="A712" s="444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  <c r="AA712" s="442"/>
      <c r="AB712" s="442"/>
      <c r="AC712" s="442"/>
    </row>
    <row r="713" hidden="1">
      <c r="A713" s="444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  <c r="AA713" s="442"/>
      <c r="AB713" s="442"/>
      <c r="AC713" s="442"/>
    </row>
    <row r="714" hidden="1">
      <c r="A714" s="444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  <c r="AA714" s="442"/>
      <c r="AB714" s="442"/>
      <c r="AC714" s="442"/>
    </row>
    <row r="715" hidden="1">
      <c r="A715" s="444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  <c r="AA715" s="442"/>
      <c r="AB715" s="442"/>
      <c r="AC715" s="442"/>
    </row>
    <row r="716" hidden="1">
      <c r="A716" s="444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  <c r="AA716" s="442"/>
      <c r="AB716" s="442"/>
      <c r="AC716" s="442"/>
    </row>
    <row r="717" hidden="1">
      <c r="A717" s="444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  <c r="AA717" s="442"/>
      <c r="AB717" s="442"/>
      <c r="AC717" s="442"/>
    </row>
    <row r="718" hidden="1">
      <c r="A718" s="444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  <c r="AA718" s="442"/>
      <c r="AB718" s="442"/>
      <c r="AC718" s="442"/>
    </row>
    <row r="719" hidden="1">
      <c r="A719" s="444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  <c r="AA719" s="442"/>
      <c r="AB719" s="442"/>
      <c r="AC719" s="442"/>
    </row>
    <row r="720" hidden="1">
      <c r="A720" s="444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  <c r="AA720" s="442"/>
      <c r="AB720" s="442"/>
      <c r="AC720" s="442"/>
    </row>
    <row r="721" hidden="1">
      <c r="A721" s="444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  <c r="AA721" s="442"/>
      <c r="AB721" s="442"/>
      <c r="AC721" s="442"/>
    </row>
    <row r="722" hidden="1">
      <c r="A722" s="444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  <c r="AA722" s="442"/>
      <c r="AB722" s="442"/>
      <c r="AC722" s="442"/>
    </row>
    <row r="723" hidden="1">
      <c r="A723" s="444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  <c r="AA723" s="442"/>
      <c r="AB723" s="442"/>
      <c r="AC723" s="442"/>
    </row>
    <row r="724" hidden="1">
      <c r="A724" s="444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  <c r="AA724" s="442"/>
      <c r="AB724" s="442"/>
      <c r="AC724" s="442"/>
    </row>
    <row r="725" hidden="1">
      <c r="A725" s="444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  <c r="AA725" s="442"/>
      <c r="AB725" s="442"/>
      <c r="AC725" s="442"/>
    </row>
    <row r="726" hidden="1">
      <c r="A726" s="444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  <c r="AA726" s="442"/>
      <c r="AB726" s="442"/>
      <c r="AC726" s="442"/>
    </row>
    <row r="727" hidden="1">
      <c r="A727" s="444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  <c r="AA727" s="442"/>
      <c r="AB727" s="442"/>
      <c r="AC727" s="442"/>
    </row>
    <row r="728" hidden="1">
      <c r="A728" s="444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  <c r="AA728" s="442"/>
      <c r="AB728" s="442"/>
      <c r="AC728" s="442"/>
    </row>
    <row r="729" hidden="1">
      <c r="A729" s="444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  <c r="AA729" s="442"/>
      <c r="AB729" s="442"/>
      <c r="AC729" s="442"/>
    </row>
    <row r="730" hidden="1">
      <c r="A730" s="444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  <c r="AA730" s="442"/>
      <c r="AB730" s="442"/>
      <c r="AC730" s="442"/>
    </row>
    <row r="731" hidden="1">
      <c r="A731" s="444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  <c r="AA731" s="442"/>
      <c r="AB731" s="442"/>
      <c r="AC731" s="442"/>
    </row>
    <row r="732" hidden="1">
      <c r="A732" s="444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  <c r="AA732" s="442"/>
      <c r="AB732" s="442"/>
      <c r="AC732" s="442"/>
    </row>
    <row r="733" hidden="1">
      <c r="A733" s="444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  <c r="AA733" s="442"/>
      <c r="AB733" s="442"/>
      <c r="AC733" s="442"/>
    </row>
    <row r="734" hidden="1">
      <c r="A734" s="444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  <c r="AA734" s="442"/>
      <c r="AB734" s="442"/>
      <c r="AC734" s="442"/>
    </row>
    <row r="735" hidden="1">
      <c r="A735" s="444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  <c r="AA735" s="442"/>
      <c r="AB735" s="442"/>
      <c r="AC735" s="442"/>
    </row>
    <row r="736" hidden="1">
      <c r="A736" s="444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  <c r="AA736" s="442"/>
      <c r="AB736" s="442"/>
      <c r="AC736" s="442"/>
    </row>
    <row r="737" hidden="1">
      <c r="A737" s="444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  <c r="AA737" s="442"/>
      <c r="AB737" s="442"/>
      <c r="AC737" s="442"/>
    </row>
    <row r="738" hidden="1">
      <c r="A738" s="444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  <c r="AA738" s="442"/>
      <c r="AB738" s="442"/>
      <c r="AC738" s="442"/>
    </row>
    <row r="739" hidden="1">
      <c r="A739" s="444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  <c r="AA739" s="442"/>
      <c r="AB739" s="442"/>
      <c r="AC739" s="442"/>
    </row>
    <row r="740" hidden="1">
      <c r="A740" s="444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  <c r="AA740" s="442"/>
      <c r="AB740" s="442"/>
      <c r="AC740" s="442"/>
    </row>
    <row r="741" hidden="1">
      <c r="A741" s="444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  <c r="AA741" s="442"/>
      <c r="AB741" s="442"/>
      <c r="AC741" s="442"/>
    </row>
    <row r="742" hidden="1">
      <c r="A742" s="444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  <c r="AA742" s="442"/>
      <c r="AB742" s="442"/>
      <c r="AC742" s="442"/>
    </row>
    <row r="743" hidden="1">
      <c r="A743" s="444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  <c r="AA743" s="442"/>
      <c r="AB743" s="442"/>
      <c r="AC743" s="442"/>
    </row>
    <row r="744" hidden="1">
      <c r="A744" s="444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  <c r="AA744" s="442"/>
      <c r="AB744" s="442"/>
      <c r="AC744" s="442"/>
    </row>
    <row r="745" hidden="1">
      <c r="A745" s="444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  <c r="AA745" s="442"/>
      <c r="AB745" s="442"/>
      <c r="AC745" s="442"/>
    </row>
    <row r="746" hidden="1">
      <c r="A746" s="444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  <c r="AA746" s="442"/>
      <c r="AB746" s="442"/>
      <c r="AC746" s="442"/>
    </row>
    <row r="747" hidden="1">
      <c r="A747" s="444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  <c r="AA747" s="442"/>
      <c r="AB747" s="442"/>
      <c r="AC747" s="442"/>
    </row>
    <row r="748" hidden="1">
      <c r="A748" s="444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  <c r="AA748" s="442"/>
      <c r="AB748" s="442"/>
      <c r="AC748" s="442"/>
    </row>
    <row r="749" hidden="1">
      <c r="A749" s="444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  <c r="AA749" s="442"/>
      <c r="AB749" s="442"/>
      <c r="AC749" s="442"/>
    </row>
    <row r="750" hidden="1">
      <c r="A750" s="444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  <c r="AA750" s="442"/>
      <c r="AB750" s="442"/>
      <c r="AC750" s="442"/>
    </row>
    <row r="751" hidden="1">
      <c r="A751" s="444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  <c r="AA751" s="442"/>
      <c r="AB751" s="442"/>
      <c r="AC751" s="442"/>
    </row>
    <row r="752" hidden="1">
      <c r="A752" s="444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  <c r="AA752" s="442"/>
      <c r="AB752" s="442"/>
      <c r="AC752" s="442"/>
    </row>
    <row r="753" hidden="1">
      <c r="A753" s="444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  <c r="AA753" s="442"/>
      <c r="AB753" s="442"/>
      <c r="AC753" s="442"/>
    </row>
    <row r="754" hidden="1">
      <c r="A754" s="444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  <c r="AA754" s="442"/>
      <c r="AB754" s="442"/>
      <c r="AC754" s="442"/>
    </row>
    <row r="755" hidden="1">
      <c r="A755" s="444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  <c r="AA755" s="442"/>
      <c r="AB755" s="442"/>
      <c r="AC755" s="442"/>
    </row>
    <row r="756" hidden="1">
      <c r="A756" s="444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  <c r="AA756" s="442"/>
      <c r="AB756" s="442"/>
      <c r="AC756" s="442"/>
    </row>
    <row r="757" hidden="1">
      <c r="A757" s="444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  <c r="AA757" s="442"/>
      <c r="AB757" s="442"/>
      <c r="AC757" s="442"/>
    </row>
    <row r="758" hidden="1">
      <c r="A758" s="444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  <c r="AA758" s="442"/>
      <c r="AB758" s="442"/>
      <c r="AC758" s="442"/>
    </row>
    <row r="759" hidden="1">
      <c r="A759" s="444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  <c r="AA759" s="442"/>
      <c r="AB759" s="442"/>
      <c r="AC759" s="442"/>
    </row>
    <row r="760" hidden="1">
      <c r="A760" s="444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  <c r="AA760" s="442"/>
      <c r="AB760" s="442"/>
      <c r="AC760" s="442"/>
    </row>
    <row r="761" hidden="1">
      <c r="A761" s="444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  <c r="AA761" s="442"/>
      <c r="AB761" s="442"/>
      <c r="AC761" s="442"/>
    </row>
    <row r="762" hidden="1">
      <c r="A762" s="444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  <c r="AA762" s="442"/>
      <c r="AB762" s="442"/>
      <c r="AC762" s="442"/>
    </row>
    <row r="763" hidden="1">
      <c r="A763" s="444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  <c r="AA763" s="442"/>
      <c r="AB763" s="442"/>
      <c r="AC763" s="442"/>
    </row>
    <row r="764" hidden="1">
      <c r="A764" s="444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  <c r="AA764" s="442"/>
      <c r="AB764" s="442"/>
      <c r="AC764" s="442"/>
    </row>
    <row r="765" hidden="1">
      <c r="A765" s="444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  <c r="AA765" s="442"/>
      <c r="AB765" s="442"/>
      <c r="AC765" s="442"/>
    </row>
    <row r="766" hidden="1">
      <c r="A766" s="444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  <c r="AA766" s="442"/>
      <c r="AB766" s="442"/>
      <c r="AC766" s="442"/>
    </row>
    <row r="767" hidden="1">
      <c r="A767" s="444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  <c r="AA767" s="442"/>
      <c r="AB767" s="442"/>
      <c r="AC767" s="442"/>
    </row>
    <row r="768" hidden="1">
      <c r="A768" s="444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  <c r="AA768" s="442"/>
      <c r="AB768" s="442"/>
      <c r="AC768" s="442"/>
    </row>
    <row r="769" hidden="1">
      <c r="A769" s="444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  <c r="AA769" s="442"/>
      <c r="AB769" s="442"/>
      <c r="AC769" s="442"/>
    </row>
    <row r="770" hidden="1">
      <c r="A770" s="444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  <c r="AA770" s="442"/>
      <c r="AB770" s="442"/>
      <c r="AC770" s="442"/>
    </row>
    <row r="771" hidden="1">
      <c r="A771" s="444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  <c r="AA771" s="442"/>
      <c r="AB771" s="442"/>
      <c r="AC771" s="442"/>
    </row>
    <row r="772" hidden="1">
      <c r="A772" s="444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  <c r="AA772" s="442"/>
      <c r="AB772" s="442"/>
      <c r="AC772" s="442"/>
    </row>
    <row r="773" hidden="1">
      <c r="A773" s="444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  <c r="AA773" s="442"/>
      <c r="AB773" s="442"/>
      <c r="AC773" s="442"/>
    </row>
    <row r="774" hidden="1">
      <c r="A774" s="444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  <c r="AA774" s="442"/>
      <c r="AB774" s="442"/>
      <c r="AC774" s="442"/>
    </row>
    <row r="775" hidden="1">
      <c r="A775" s="444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  <c r="AA775" s="442"/>
      <c r="AB775" s="442"/>
      <c r="AC775" s="442"/>
    </row>
    <row r="776" hidden="1">
      <c r="A776" s="444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  <c r="AA776" s="442"/>
      <c r="AB776" s="442"/>
      <c r="AC776" s="442"/>
    </row>
    <row r="777" hidden="1">
      <c r="A777" s="444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  <c r="AA777" s="442"/>
      <c r="AB777" s="442"/>
      <c r="AC777" s="442"/>
    </row>
    <row r="778" hidden="1">
      <c r="A778" s="444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  <c r="AA778" s="442"/>
      <c r="AB778" s="442"/>
      <c r="AC778" s="442"/>
    </row>
    <row r="779" hidden="1">
      <c r="A779" s="444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  <c r="AA779" s="442"/>
      <c r="AB779" s="442"/>
      <c r="AC779" s="442"/>
    </row>
    <row r="780" hidden="1">
      <c r="A780" s="444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  <c r="AA780" s="442"/>
      <c r="AB780" s="442"/>
      <c r="AC780" s="442"/>
    </row>
    <row r="781" hidden="1">
      <c r="A781" s="444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  <c r="AA781" s="442"/>
      <c r="AB781" s="442"/>
      <c r="AC781" s="442"/>
    </row>
    <row r="782" hidden="1">
      <c r="A782" s="444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  <c r="AA782" s="442"/>
      <c r="AB782" s="442"/>
      <c r="AC782" s="442"/>
    </row>
    <row r="783" hidden="1">
      <c r="A783" s="444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  <c r="AA783" s="442"/>
      <c r="AB783" s="442"/>
      <c r="AC783" s="442"/>
    </row>
    <row r="784" hidden="1">
      <c r="A784" s="444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  <c r="AA784" s="442"/>
      <c r="AB784" s="442"/>
      <c r="AC784" s="442"/>
    </row>
    <row r="785" hidden="1">
      <c r="A785" s="444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  <c r="AA785" s="442"/>
      <c r="AB785" s="442"/>
      <c r="AC785" s="442"/>
    </row>
    <row r="786" hidden="1">
      <c r="A786" s="444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  <c r="AA786" s="442"/>
      <c r="AB786" s="442"/>
      <c r="AC786" s="442"/>
    </row>
    <row r="787" hidden="1">
      <c r="A787" s="444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  <c r="AA787" s="442"/>
      <c r="AB787" s="442"/>
      <c r="AC787" s="442"/>
    </row>
    <row r="788" hidden="1">
      <c r="A788" s="444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  <c r="AA788" s="442"/>
      <c r="AB788" s="442"/>
      <c r="AC788" s="442"/>
    </row>
    <row r="789" hidden="1">
      <c r="A789" s="444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  <c r="AA789" s="442"/>
      <c r="AB789" s="442"/>
      <c r="AC789" s="442"/>
    </row>
    <row r="790" hidden="1">
      <c r="A790" s="444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  <c r="AA790" s="442"/>
      <c r="AB790" s="442"/>
      <c r="AC790" s="442"/>
    </row>
    <row r="791" hidden="1">
      <c r="A791" s="444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  <c r="AA791" s="442"/>
      <c r="AB791" s="442"/>
      <c r="AC791" s="442"/>
    </row>
    <row r="792" hidden="1">
      <c r="A792" s="444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  <c r="AA792" s="442"/>
      <c r="AB792" s="442"/>
      <c r="AC792" s="442"/>
    </row>
    <row r="793" hidden="1">
      <c r="A793" s="444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  <c r="AA793" s="442"/>
      <c r="AB793" s="442"/>
      <c r="AC793" s="442"/>
    </row>
    <row r="794" hidden="1">
      <c r="A794" s="444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  <c r="AA794" s="442"/>
      <c r="AB794" s="442"/>
      <c r="AC794" s="442"/>
    </row>
    <row r="795" hidden="1">
      <c r="A795" s="444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  <c r="AA795" s="442"/>
      <c r="AB795" s="442"/>
      <c r="AC795" s="442"/>
    </row>
    <row r="796" hidden="1">
      <c r="A796" s="444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  <c r="AA796" s="442"/>
      <c r="AB796" s="442"/>
      <c r="AC796" s="442"/>
    </row>
    <row r="797" hidden="1">
      <c r="A797" s="444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  <c r="AA797" s="442"/>
      <c r="AB797" s="442"/>
      <c r="AC797" s="442"/>
    </row>
    <row r="798" hidden="1">
      <c r="A798" s="444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  <c r="AA798" s="442"/>
      <c r="AB798" s="442"/>
      <c r="AC798" s="442"/>
    </row>
    <row r="799" hidden="1">
      <c r="A799" s="444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  <c r="AA799" s="442"/>
      <c r="AB799" s="442"/>
      <c r="AC799" s="442"/>
    </row>
    <row r="800" hidden="1">
      <c r="A800" s="444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  <c r="AA800" s="442"/>
      <c r="AB800" s="442"/>
      <c r="AC800" s="442"/>
    </row>
    <row r="801" hidden="1">
      <c r="A801" s="444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  <c r="AA801" s="442"/>
      <c r="AB801" s="442"/>
      <c r="AC801" s="442"/>
    </row>
    <row r="802" hidden="1">
      <c r="A802" s="444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  <c r="AA802" s="442"/>
      <c r="AB802" s="442"/>
      <c r="AC802" s="442"/>
    </row>
    <row r="803" hidden="1">
      <c r="A803" s="444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  <c r="AA803" s="442"/>
      <c r="AB803" s="442"/>
      <c r="AC803" s="442"/>
    </row>
    <row r="804" hidden="1">
      <c r="A804" s="444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  <c r="AA804" s="442"/>
      <c r="AB804" s="442"/>
      <c r="AC804" s="442"/>
    </row>
    <row r="805" hidden="1">
      <c r="A805" s="444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  <c r="AA805" s="442"/>
      <c r="AB805" s="442"/>
      <c r="AC805" s="442"/>
    </row>
    <row r="806" hidden="1">
      <c r="A806" s="444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  <c r="AA806" s="442"/>
      <c r="AB806" s="442"/>
      <c r="AC806" s="442"/>
    </row>
    <row r="807" hidden="1">
      <c r="A807" s="444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  <c r="AA807" s="442"/>
      <c r="AB807" s="442"/>
      <c r="AC807" s="442"/>
    </row>
    <row r="808" hidden="1">
      <c r="A808" s="444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  <c r="AA808" s="442"/>
      <c r="AB808" s="442"/>
      <c r="AC808" s="442"/>
    </row>
    <row r="809" hidden="1">
      <c r="A809" s="444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  <c r="AA809" s="442"/>
      <c r="AB809" s="442"/>
      <c r="AC809" s="442"/>
    </row>
    <row r="810" hidden="1">
      <c r="A810" s="444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  <c r="AA810" s="442"/>
      <c r="AB810" s="442"/>
      <c r="AC810" s="442"/>
    </row>
    <row r="811" hidden="1">
      <c r="A811" s="444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  <c r="AA811" s="442"/>
      <c r="AB811" s="442"/>
      <c r="AC811" s="442"/>
    </row>
    <row r="812" hidden="1">
      <c r="A812" s="444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  <c r="AA812" s="442"/>
      <c r="AB812" s="442"/>
      <c r="AC812" s="442"/>
    </row>
    <row r="813" hidden="1">
      <c r="A813" s="444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  <c r="AA813" s="442"/>
      <c r="AB813" s="442"/>
      <c r="AC813" s="442"/>
    </row>
    <row r="814" hidden="1">
      <c r="A814" s="444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  <c r="AA814" s="442"/>
      <c r="AB814" s="442"/>
      <c r="AC814" s="442"/>
    </row>
    <row r="815" hidden="1">
      <c r="A815" s="444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  <c r="AA815" s="442"/>
      <c r="AB815" s="442"/>
      <c r="AC815" s="442"/>
    </row>
    <row r="816" hidden="1">
      <c r="A816" s="444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  <c r="AA816" s="442"/>
      <c r="AB816" s="442"/>
      <c r="AC816" s="442"/>
    </row>
    <row r="817" hidden="1">
      <c r="A817" s="444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  <c r="AA817" s="442"/>
      <c r="AB817" s="442"/>
      <c r="AC817" s="442"/>
    </row>
    <row r="818" hidden="1">
      <c r="A818" s="444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  <c r="AA818" s="442"/>
      <c r="AB818" s="442"/>
      <c r="AC818" s="442"/>
    </row>
    <row r="819" hidden="1">
      <c r="A819" s="444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  <c r="AA819" s="442"/>
      <c r="AB819" s="442"/>
      <c r="AC819" s="442"/>
    </row>
    <row r="820" hidden="1">
      <c r="A820" s="444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  <c r="AA820" s="442"/>
      <c r="AB820" s="442"/>
      <c r="AC820" s="442"/>
    </row>
    <row r="821" hidden="1">
      <c r="A821" s="444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  <c r="AA821" s="442"/>
      <c r="AB821" s="442"/>
      <c r="AC821" s="442"/>
    </row>
    <row r="822" hidden="1">
      <c r="A822" s="444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  <c r="AA822" s="442"/>
      <c r="AB822" s="442"/>
      <c r="AC822" s="442"/>
    </row>
    <row r="823" hidden="1">
      <c r="A823" s="444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  <c r="AA823" s="442"/>
      <c r="AB823" s="442"/>
      <c r="AC823" s="442"/>
    </row>
    <row r="824" hidden="1">
      <c r="A824" s="444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  <c r="AA824" s="442"/>
      <c r="AB824" s="442"/>
      <c r="AC824" s="442"/>
    </row>
    <row r="825" hidden="1">
      <c r="A825" s="444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  <c r="AA825" s="442"/>
      <c r="AB825" s="442"/>
      <c r="AC825" s="442"/>
    </row>
    <row r="826" hidden="1">
      <c r="A826" s="444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  <c r="AA826" s="442"/>
      <c r="AB826" s="442"/>
      <c r="AC826" s="442"/>
    </row>
    <row r="827" hidden="1">
      <c r="A827" s="444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  <c r="AA827" s="442"/>
      <c r="AB827" s="442"/>
      <c r="AC827" s="442"/>
    </row>
    <row r="828" hidden="1">
      <c r="A828" s="444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  <c r="AA828" s="442"/>
      <c r="AB828" s="442"/>
      <c r="AC828" s="442"/>
    </row>
    <row r="829" hidden="1">
      <c r="A829" s="444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  <c r="AA829" s="442"/>
      <c r="AB829" s="442"/>
      <c r="AC829" s="442"/>
    </row>
    <row r="830" hidden="1">
      <c r="A830" s="444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  <c r="AA830" s="442"/>
      <c r="AB830" s="442"/>
      <c r="AC830" s="442"/>
    </row>
    <row r="831" hidden="1">
      <c r="A831" s="444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  <c r="AA831" s="442"/>
      <c r="AB831" s="442"/>
      <c r="AC831" s="442"/>
    </row>
    <row r="832" hidden="1">
      <c r="A832" s="444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  <c r="AA832" s="442"/>
      <c r="AB832" s="442"/>
      <c r="AC832" s="442"/>
    </row>
    <row r="833" hidden="1">
      <c r="A833" s="444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  <c r="AA833" s="442"/>
      <c r="AB833" s="442"/>
      <c r="AC833" s="442"/>
    </row>
    <row r="834" hidden="1">
      <c r="A834" s="444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  <c r="AA834" s="442"/>
      <c r="AB834" s="442"/>
      <c r="AC834" s="442"/>
    </row>
    <row r="835" hidden="1">
      <c r="A835" s="444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  <c r="AA835" s="442"/>
      <c r="AB835" s="442"/>
      <c r="AC835" s="442"/>
    </row>
    <row r="836" hidden="1">
      <c r="A836" s="444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  <c r="AA836" s="442"/>
      <c r="AB836" s="442"/>
      <c r="AC836" s="442"/>
    </row>
    <row r="837" hidden="1">
      <c r="A837" s="444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  <c r="AA837" s="442"/>
      <c r="AB837" s="442"/>
      <c r="AC837" s="442"/>
    </row>
    <row r="838" hidden="1">
      <c r="A838" s="444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  <c r="AA838" s="442"/>
      <c r="AB838" s="442"/>
      <c r="AC838" s="442"/>
    </row>
    <row r="839" hidden="1">
      <c r="A839" s="444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  <c r="AA839" s="442"/>
      <c r="AB839" s="442"/>
      <c r="AC839" s="442"/>
    </row>
    <row r="840" hidden="1">
      <c r="A840" s="444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  <c r="AA840" s="442"/>
      <c r="AB840" s="442"/>
      <c r="AC840" s="442"/>
    </row>
    <row r="841" hidden="1">
      <c r="A841" s="444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  <c r="AA841" s="442"/>
      <c r="AB841" s="442"/>
      <c r="AC841" s="442"/>
    </row>
    <row r="842" hidden="1">
      <c r="A842" s="444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  <c r="AA842" s="442"/>
      <c r="AB842" s="442"/>
      <c r="AC842" s="442"/>
    </row>
    <row r="843" hidden="1">
      <c r="A843" s="444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  <c r="AA843" s="442"/>
      <c r="AB843" s="442"/>
      <c r="AC843" s="442"/>
    </row>
    <row r="844" hidden="1">
      <c r="A844" s="444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  <c r="AA844" s="442"/>
      <c r="AB844" s="442"/>
      <c r="AC844" s="442"/>
    </row>
    <row r="845" hidden="1">
      <c r="A845" s="444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  <c r="AA845" s="442"/>
      <c r="AB845" s="442"/>
      <c r="AC845" s="442"/>
    </row>
    <row r="846" hidden="1">
      <c r="A846" s="444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  <c r="AA846" s="442"/>
      <c r="AB846" s="442"/>
      <c r="AC846" s="442"/>
    </row>
    <row r="847" hidden="1">
      <c r="A847" s="444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  <c r="AA847" s="442"/>
      <c r="AB847" s="442"/>
      <c r="AC847" s="442"/>
    </row>
    <row r="848" hidden="1">
      <c r="A848" s="444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  <c r="AA848" s="442"/>
      <c r="AB848" s="442"/>
      <c r="AC848" s="442"/>
    </row>
    <row r="849" hidden="1">
      <c r="A849" s="444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  <c r="AA849" s="442"/>
      <c r="AB849" s="442"/>
      <c r="AC849" s="442"/>
    </row>
    <row r="850" hidden="1">
      <c r="A850" s="444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  <c r="AA850" s="442"/>
      <c r="AB850" s="442"/>
      <c r="AC850" s="442"/>
    </row>
    <row r="851" hidden="1">
      <c r="A851" s="444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  <c r="AA851" s="442"/>
      <c r="AB851" s="442"/>
      <c r="AC851" s="442"/>
    </row>
    <row r="852" hidden="1">
      <c r="A852" s="444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  <c r="AA852" s="442"/>
      <c r="AB852" s="442"/>
      <c r="AC852" s="442"/>
    </row>
    <row r="853" hidden="1">
      <c r="A853" s="444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  <c r="AA853" s="442"/>
      <c r="AB853" s="442"/>
      <c r="AC853" s="442"/>
    </row>
    <row r="854" hidden="1">
      <c r="A854" s="444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  <c r="AA854" s="442"/>
      <c r="AB854" s="442"/>
      <c r="AC854" s="442"/>
    </row>
    <row r="855" hidden="1">
      <c r="A855" s="444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  <c r="AA855" s="442"/>
      <c r="AB855" s="442"/>
      <c r="AC855" s="442"/>
    </row>
    <row r="856" hidden="1">
      <c r="A856" s="444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  <c r="AA856" s="442"/>
      <c r="AB856" s="442"/>
      <c r="AC856" s="442"/>
    </row>
    <row r="857" hidden="1">
      <c r="A857" s="444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  <c r="AA857" s="442"/>
      <c r="AB857" s="442"/>
      <c r="AC857" s="442"/>
    </row>
    <row r="858" hidden="1">
      <c r="A858" s="444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  <c r="AA858" s="442"/>
      <c r="AB858" s="442"/>
      <c r="AC858" s="442"/>
    </row>
    <row r="859" hidden="1">
      <c r="A859" s="444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  <c r="AA859" s="442"/>
      <c r="AB859" s="442"/>
      <c r="AC859" s="442"/>
    </row>
    <row r="860" hidden="1">
      <c r="A860" s="444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  <c r="AA860" s="442"/>
      <c r="AB860" s="442"/>
      <c r="AC860" s="442"/>
    </row>
    <row r="861" hidden="1">
      <c r="A861" s="444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  <c r="AA861" s="442"/>
      <c r="AB861" s="442"/>
      <c r="AC861" s="442"/>
    </row>
    <row r="862" hidden="1">
      <c r="A862" s="444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  <c r="AA862" s="442"/>
      <c r="AB862" s="442"/>
      <c r="AC862" s="442"/>
    </row>
    <row r="863" hidden="1">
      <c r="A863" s="444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  <c r="AA863" s="442"/>
      <c r="AB863" s="442"/>
      <c r="AC863" s="442"/>
    </row>
    <row r="864" hidden="1">
      <c r="A864" s="444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  <c r="AA864" s="442"/>
      <c r="AB864" s="442"/>
      <c r="AC864" s="442"/>
    </row>
    <row r="865" hidden="1">
      <c r="A865" s="444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  <c r="AA865" s="442"/>
      <c r="AB865" s="442"/>
      <c r="AC865" s="442"/>
    </row>
    <row r="866" hidden="1">
      <c r="A866" s="444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  <c r="AA866" s="442"/>
      <c r="AB866" s="442"/>
      <c r="AC866" s="442"/>
    </row>
    <row r="867" hidden="1">
      <c r="A867" s="444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  <c r="AA867" s="442"/>
      <c r="AB867" s="442"/>
      <c r="AC867" s="442"/>
    </row>
    <row r="868" hidden="1">
      <c r="A868" s="444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  <c r="AA868" s="442"/>
      <c r="AB868" s="442"/>
      <c r="AC868" s="442"/>
    </row>
    <row r="869" hidden="1">
      <c r="A869" s="444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  <c r="AA869" s="442"/>
      <c r="AB869" s="442"/>
      <c r="AC869" s="442"/>
    </row>
    <row r="870" hidden="1">
      <c r="A870" s="444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  <c r="AA870" s="442"/>
      <c r="AB870" s="442"/>
      <c r="AC870" s="442"/>
    </row>
    <row r="871" hidden="1">
      <c r="A871" s="444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  <c r="AA871" s="442"/>
      <c r="AB871" s="442"/>
      <c r="AC871" s="442"/>
    </row>
    <row r="872" hidden="1">
      <c r="A872" s="444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  <c r="AA872" s="442"/>
      <c r="AB872" s="442"/>
      <c r="AC872" s="442"/>
    </row>
    <row r="873" hidden="1">
      <c r="A873" s="444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  <c r="AA873" s="442"/>
      <c r="AB873" s="442"/>
      <c r="AC873" s="442"/>
    </row>
    <row r="874" hidden="1">
      <c r="A874" s="444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  <c r="AA874" s="442"/>
      <c r="AB874" s="442"/>
      <c r="AC874" s="442"/>
    </row>
    <row r="875" hidden="1">
      <c r="A875" s="444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  <c r="AA875" s="442"/>
      <c r="AB875" s="442"/>
      <c r="AC875" s="442"/>
    </row>
    <row r="876" hidden="1">
      <c r="A876" s="444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  <c r="AA876" s="442"/>
      <c r="AB876" s="442"/>
      <c r="AC876" s="442"/>
    </row>
    <row r="877" hidden="1">
      <c r="A877" s="444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  <c r="AA877" s="442"/>
      <c r="AB877" s="442"/>
      <c r="AC877" s="442"/>
    </row>
    <row r="878" hidden="1">
      <c r="A878" s="444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  <c r="AA878" s="442"/>
      <c r="AB878" s="442"/>
      <c r="AC878" s="442"/>
    </row>
    <row r="879" hidden="1">
      <c r="A879" s="444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  <c r="AA879" s="442"/>
      <c r="AB879" s="442"/>
      <c r="AC879" s="442"/>
    </row>
    <row r="880" hidden="1">
      <c r="A880" s="444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  <c r="AA880" s="442"/>
      <c r="AB880" s="442"/>
      <c r="AC880" s="442"/>
    </row>
    <row r="881" hidden="1">
      <c r="A881" s="444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  <c r="AA881" s="442"/>
      <c r="AB881" s="442"/>
      <c r="AC881" s="442"/>
    </row>
    <row r="882" hidden="1">
      <c r="A882" s="444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  <c r="AA882" s="442"/>
      <c r="AB882" s="442"/>
      <c r="AC882" s="442"/>
    </row>
    <row r="883" hidden="1">
      <c r="A883" s="444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  <c r="AA883" s="442"/>
      <c r="AB883" s="442"/>
      <c r="AC883" s="442"/>
    </row>
    <row r="884" hidden="1">
      <c r="A884" s="444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  <c r="AA884" s="442"/>
      <c r="AB884" s="442"/>
      <c r="AC884" s="442"/>
    </row>
    <row r="885" hidden="1">
      <c r="A885" s="444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  <c r="AA885" s="442"/>
      <c r="AB885" s="442"/>
      <c r="AC885" s="442"/>
    </row>
    <row r="886" hidden="1">
      <c r="A886" s="444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  <c r="AA886" s="442"/>
      <c r="AB886" s="442"/>
      <c r="AC886" s="442"/>
    </row>
    <row r="887" hidden="1">
      <c r="A887" s="444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  <c r="AA887" s="442"/>
      <c r="AB887" s="442"/>
      <c r="AC887" s="442"/>
    </row>
    <row r="888" hidden="1">
      <c r="A888" s="444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  <c r="AA888" s="442"/>
      <c r="AB888" s="442"/>
      <c r="AC888" s="442"/>
    </row>
    <row r="889" hidden="1">
      <c r="A889" s="444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  <c r="AA889" s="442"/>
      <c r="AB889" s="442"/>
      <c r="AC889" s="442"/>
    </row>
    <row r="890" hidden="1">
      <c r="A890" s="444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  <c r="AA890" s="442"/>
      <c r="AB890" s="442"/>
      <c r="AC890" s="442"/>
    </row>
    <row r="891" hidden="1">
      <c r="A891" s="444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  <c r="AA891" s="442"/>
      <c r="AB891" s="442"/>
      <c r="AC891" s="442"/>
    </row>
    <row r="892" hidden="1">
      <c r="A892" s="444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  <c r="AA892" s="442"/>
      <c r="AB892" s="442"/>
      <c r="AC892" s="442"/>
    </row>
    <row r="893" hidden="1">
      <c r="A893" s="444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  <c r="AA893" s="442"/>
      <c r="AB893" s="442"/>
      <c r="AC893" s="442"/>
    </row>
    <row r="894" hidden="1">
      <c r="A894" s="444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  <c r="AA894" s="442"/>
      <c r="AB894" s="442"/>
      <c r="AC894" s="442"/>
    </row>
    <row r="895" hidden="1">
      <c r="A895" s="444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  <c r="AA895" s="442"/>
      <c r="AB895" s="442"/>
      <c r="AC895" s="442"/>
    </row>
    <row r="896" hidden="1">
      <c r="A896" s="444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  <c r="AA896" s="442"/>
      <c r="AB896" s="442"/>
      <c r="AC896" s="442"/>
    </row>
    <row r="897" hidden="1">
      <c r="A897" s="444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  <c r="AA897" s="442"/>
      <c r="AB897" s="442"/>
      <c r="AC897" s="442"/>
    </row>
    <row r="898" hidden="1">
      <c r="A898" s="444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  <c r="AA898" s="442"/>
      <c r="AB898" s="442"/>
      <c r="AC898" s="442"/>
    </row>
    <row r="899" hidden="1">
      <c r="A899" s="444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  <c r="AA899" s="442"/>
      <c r="AB899" s="442"/>
      <c r="AC899" s="442"/>
    </row>
    <row r="900" hidden="1">
      <c r="A900" s="444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  <c r="AA900" s="442"/>
      <c r="AB900" s="442"/>
      <c r="AC900" s="442"/>
    </row>
    <row r="901" hidden="1">
      <c r="A901" s="444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  <c r="AA901" s="442"/>
      <c r="AB901" s="442"/>
      <c r="AC901" s="442"/>
    </row>
    <row r="902" hidden="1">
      <c r="A902" s="444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  <c r="AA902" s="442"/>
      <c r="AB902" s="442"/>
      <c r="AC902" s="442"/>
    </row>
    <row r="903" hidden="1">
      <c r="A903" s="444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  <c r="AA903" s="442"/>
      <c r="AB903" s="442"/>
      <c r="AC903" s="442"/>
    </row>
    <row r="904" hidden="1">
      <c r="A904" s="444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  <c r="AA904" s="442"/>
      <c r="AB904" s="442"/>
      <c r="AC904" s="442"/>
    </row>
    <row r="905" hidden="1">
      <c r="A905" s="444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  <c r="AA905" s="442"/>
      <c r="AB905" s="442"/>
      <c r="AC905" s="442"/>
    </row>
    <row r="906" hidden="1">
      <c r="A906" s="444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  <c r="AA906" s="442"/>
      <c r="AB906" s="442"/>
      <c r="AC906" s="442"/>
    </row>
    <row r="907" hidden="1">
      <c r="A907" s="444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  <c r="AA907" s="442"/>
      <c r="AB907" s="442"/>
      <c r="AC907" s="442"/>
    </row>
    <row r="908" hidden="1">
      <c r="A908" s="444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  <c r="AA908" s="442"/>
      <c r="AB908" s="442"/>
      <c r="AC908" s="442"/>
    </row>
    <row r="909" hidden="1">
      <c r="A909" s="444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  <c r="AA909" s="442"/>
      <c r="AB909" s="442"/>
      <c r="AC909" s="442"/>
    </row>
    <row r="910" hidden="1">
      <c r="A910" s="444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  <c r="AA910" s="442"/>
      <c r="AB910" s="442"/>
      <c r="AC910" s="442"/>
    </row>
    <row r="911" hidden="1">
      <c r="A911" s="444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  <c r="AA911" s="442"/>
      <c r="AB911" s="442"/>
      <c r="AC911" s="442"/>
    </row>
    <row r="912" hidden="1">
      <c r="A912" s="444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  <c r="AA912" s="442"/>
      <c r="AB912" s="442"/>
      <c r="AC912" s="442"/>
    </row>
    <row r="913" hidden="1">
      <c r="A913" s="444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  <c r="AA913" s="442"/>
      <c r="AB913" s="442"/>
      <c r="AC913" s="442"/>
    </row>
    <row r="914" hidden="1">
      <c r="A914" s="444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  <c r="AA914" s="442"/>
      <c r="AB914" s="442"/>
      <c r="AC914" s="442"/>
    </row>
    <row r="915" hidden="1">
      <c r="A915" s="444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  <c r="AA915" s="442"/>
      <c r="AB915" s="442"/>
      <c r="AC915" s="442"/>
    </row>
    <row r="916" hidden="1">
      <c r="A916" s="444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  <c r="AA916" s="442"/>
      <c r="AB916" s="442"/>
      <c r="AC916" s="442"/>
    </row>
    <row r="917" hidden="1">
      <c r="A917" s="444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  <c r="AA917" s="442"/>
      <c r="AB917" s="442"/>
      <c r="AC917" s="442"/>
    </row>
    <row r="918" hidden="1">
      <c r="A918" s="444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  <c r="AA918" s="442"/>
      <c r="AB918" s="442"/>
      <c r="AC918" s="442"/>
    </row>
    <row r="919" hidden="1">
      <c r="A919" s="444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  <c r="AA919" s="442"/>
      <c r="AB919" s="442"/>
      <c r="AC919" s="442"/>
    </row>
    <row r="920" hidden="1">
      <c r="A920" s="444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  <c r="AA920" s="442"/>
      <c r="AB920" s="442"/>
      <c r="AC920" s="442"/>
    </row>
    <row r="921" hidden="1">
      <c r="A921" s="444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  <c r="AA921" s="442"/>
      <c r="AB921" s="442"/>
      <c r="AC921" s="442"/>
    </row>
    <row r="922" hidden="1">
      <c r="A922" s="444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  <c r="AA922" s="442"/>
      <c r="AB922" s="442"/>
      <c r="AC922" s="442"/>
    </row>
    <row r="923" hidden="1">
      <c r="A923" s="444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  <c r="AA923" s="442"/>
      <c r="AB923" s="442"/>
      <c r="AC923" s="442"/>
    </row>
    <row r="924" hidden="1">
      <c r="A924" s="444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  <c r="AA924" s="442"/>
      <c r="AB924" s="442"/>
      <c r="AC924" s="442"/>
    </row>
    <row r="925" hidden="1">
      <c r="A925" s="444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  <c r="AA925" s="442"/>
      <c r="AB925" s="442"/>
      <c r="AC925" s="442"/>
    </row>
    <row r="926" hidden="1">
      <c r="A926" s="444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  <c r="AA926" s="442"/>
      <c r="AB926" s="442"/>
      <c r="AC926" s="442"/>
    </row>
    <row r="927" hidden="1">
      <c r="A927" s="444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  <c r="AA927" s="442"/>
      <c r="AB927" s="442"/>
      <c r="AC927" s="442"/>
    </row>
    <row r="928" hidden="1">
      <c r="A928" s="444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  <c r="AA928" s="442"/>
      <c r="AB928" s="442"/>
      <c r="AC928" s="442"/>
    </row>
    <row r="929" hidden="1">
      <c r="A929" s="444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  <c r="AA929" s="442"/>
      <c r="AB929" s="442"/>
      <c r="AC929" s="442"/>
    </row>
    <row r="930" hidden="1">
      <c r="A930" s="444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  <c r="AA930" s="442"/>
      <c r="AB930" s="442"/>
      <c r="AC930" s="442"/>
    </row>
    <row r="931" hidden="1">
      <c r="A931" s="444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  <c r="AA931" s="442"/>
      <c r="AB931" s="442"/>
      <c r="AC931" s="442"/>
    </row>
    <row r="932" hidden="1">
      <c r="A932" s="444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  <c r="AA932" s="442"/>
      <c r="AB932" s="442"/>
      <c r="AC932" s="442"/>
    </row>
    <row r="933" hidden="1">
      <c r="A933" s="444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  <c r="AA933" s="442"/>
      <c r="AB933" s="442"/>
      <c r="AC933" s="442"/>
    </row>
    <row r="934" hidden="1">
      <c r="A934" s="444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  <c r="AA934" s="442"/>
      <c r="AB934" s="442"/>
      <c r="AC934" s="442"/>
    </row>
    <row r="935" hidden="1">
      <c r="A935" s="444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  <c r="AA935" s="442"/>
      <c r="AB935" s="442"/>
      <c r="AC935" s="442"/>
    </row>
    <row r="936" hidden="1">
      <c r="A936" s="444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  <c r="AA936" s="442"/>
      <c r="AB936" s="442"/>
      <c r="AC936" s="442"/>
    </row>
    <row r="937" hidden="1">
      <c r="A937" s="444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  <c r="AA937" s="442"/>
      <c r="AB937" s="442"/>
      <c r="AC937" s="442"/>
    </row>
    <row r="938" hidden="1">
      <c r="A938" s="444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  <c r="AA938" s="442"/>
      <c r="AB938" s="442"/>
      <c r="AC938" s="442"/>
    </row>
    <row r="939" hidden="1">
      <c r="A939" s="444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  <c r="AA939" s="442"/>
      <c r="AB939" s="442"/>
      <c r="AC939" s="442"/>
    </row>
    <row r="940" hidden="1">
      <c r="A940" s="444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  <c r="AA940" s="442"/>
      <c r="AB940" s="442"/>
      <c r="AC940" s="442"/>
    </row>
    <row r="941" hidden="1">
      <c r="A941" s="444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  <c r="AA941" s="442"/>
      <c r="AB941" s="442"/>
      <c r="AC941" s="442"/>
    </row>
    <row r="942" hidden="1">
      <c r="A942" s="444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  <c r="AA942" s="442"/>
      <c r="AB942" s="442"/>
      <c r="AC942" s="442"/>
    </row>
    <row r="943" hidden="1">
      <c r="A943" s="444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  <c r="AA943" s="442"/>
      <c r="AB943" s="442"/>
      <c r="AC943" s="442"/>
    </row>
    <row r="944" hidden="1">
      <c r="A944" s="444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  <c r="AA944" s="442"/>
      <c r="AB944" s="442"/>
      <c r="AC944" s="442"/>
    </row>
    <row r="945" hidden="1">
      <c r="A945" s="444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  <c r="AA945" s="442"/>
      <c r="AB945" s="442"/>
      <c r="AC945" s="442"/>
    </row>
    <row r="946" hidden="1">
      <c r="A946" s="444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  <c r="AA946" s="442"/>
      <c r="AB946" s="442"/>
      <c r="AC946" s="442"/>
    </row>
    <row r="947" hidden="1">
      <c r="A947" s="444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  <c r="AA947" s="442"/>
      <c r="AB947" s="442"/>
      <c r="AC947" s="442"/>
    </row>
    <row r="948" hidden="1">
      <c r="A948" s="444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  <c r="AA948" s="442"/>
      <c r="AB948" s="442"/>
      <c r="AC948" s="442"/>
    </row>
    <row r="949" hidden="1">
      <c r="A949" s="444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  <c r="AA949" s="442"/>
      <c r="AB949" s="442"/>
      <c r="AC949" s="442"/>
    </row>
    <row r="950" hidden="1">
      <c r="A950" s="444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  <c r="AA950" s="442"/>
      <c r="AB950" s="442"/>
      <c r="AC950" s="442"/>
    </row>
    <row r="951" hidden="1">
      <c r="A951" s="444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  <c r="AA951" s="442"/>
      <c r="AB951" s="442"/>
      <c r="AC951" s="442"/>
    </row>
    <row r="952" hidden="1">
      <c r="A952" s="444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  <c r="AA952" s="442"/>
      <c r="AB952" s="442"/>
      <c r="AC952" s="442"/>
    </row>
    <row r="953" hidden="1">
      <c r="A953" s="444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  <c r="AA953" s="442"/>
      <c r="AB953" s="442"/>
      <c r="AC953" s="442"/>
    </row>
    <row r="954" hidden="1">
      <c r="A954" s="444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  <c r="AA954" s="442"/>
      <c r="AB954" s="442"/>
      <c r="AC954" s="442"/>
    </row>
    <row r="955" hidden="1">
      <c r="A955" s="444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  <c r="AA955" s="442"/>
      <c r="AB955" s="442"/>
      <c r="AC955" s="442"/>
    </row>
    <row r="956" hidden="1">
      <c r="A956" s="444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  <c r="AA956" s="442"/>
      <c r="AB956" s="442"/>
      <c r="AC956" s="442"/>
    </row>
    <row r="957" hidden="1">
      <c r="A957" s="444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  <c r="AA957" s="442"/>
      <c r="AB957" s="442"/>
      <c r="AC957" s="442"/>
    </row>
    <row r="958" hidden="1">
      <c r="A958" s="444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  <c r="AA958" s="442"/>
      <c r="AB958" s="442"/>
      <c r="AC958" s="442"/>
    </row>
    <row r="959" hidden="1">
      <c r="A959" s="444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  <c r="AA959" s="442"/>
      <c r="AB959" s="442"/>
      <c r="AC959" s="442"/>
    </row>
    <row r="960" hidden="1">
      <c r="A960" s="444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  <c r="AA960" s="442"/>
      <c r="AB960" s="442"/>
      <c r="AC960" s="442"/>
    </row>
    <row r="961" hidden="1">
      <c r="A961" s="444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  <c r="AA961" s="442"/>
      <c r="AB961" s="442"/>
      <c r="AC961" s="442"/>
    </row>
    <row r="962" hidden="1">
      <c r="A962" s="444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  <c r="AA962" s="442"/>
      <c r="AB962" s="442"/>
      <c r="AC962" s="442"/>
    </row>
    <row r="963" hidden="1">
      <c r="A963" s="444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  <c r="AA963" s="442"/>
      <c r="AB963" s="442"/>
      <c r="AC963" s="442"/>
    </row>
    <row r="964" hidden="1">
      <c r="A964" s="444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  <c r="AA964" s="442"/>
      <c r="AB964" s="442"/>
      <c r="AC964" s="442"/>
    </row>
    <row r="965" hidden="1">
      <c r="A965" s="444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  <c r="AA965" s="442"/>
      <c r="AB965" s="442"/>
      <c r="AC965" s="442"/>
    </row>
    <row r="966" hidden="1">
      <c r="A966" s="444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  <c r="AA966" s="442"/>
      <c r="AB966" s="442"/>
      <c r="AC966" s="442"/>
    </row>
    <row r="967" hidden="1">
      <c r="A967" s="444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  <c r="AA967" s="442"/>
      <c r="AB967" s="442"/>
      <c r="AC967" s="442"/>
    </row>
    <row r="968" hidden="1">
      <c r="A968" s="444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  <c r="AA968" s="442"/>
      <c r="AB968" s="442"/>
      <c r="AC968" s="442"/>
    </row>
    <row r="969" hidden="1">
      <c r="A969" s="444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  <c r="AA969" s="442"/>
      <c r="AB969" s="442"/>
      <c r="AC969" s="442"/>
    </row>
    <row r="970" hidden="1">
      <c r="A970" s="444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  <c r="AA970" s="442"/>
      <c r="AB970" s="442"/>
      <c r="AC970" s="442"/>
    </row>
    <row r="971" hidden="1">
      <c r="A971" s="444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  <c r="AA971" s="442"/>
      <c r="AB971" s="442"/>
      <c r="AC971" s="442"/>
    </row>
    <row r="972" hidden="1">
      <c r="A972" s="444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  <c r="AA972" s="442"/>
      <c r="AB972" s="442"/>
      <c r="AC972" s="442"/>
    </row>
    <row r="973" hidden="1">
      <c r="A973" s="444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  <c r="AA973" s="442"/>
      <c r="AB973" s="442"/>
      <c r="AC973" s="442"/>
    </row>
    <row r="974" hidden="1">
      <c r="A974" s="444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  <c r="AA974" s="442"/>
      <c r="AB974" s="442"/>
      <c r="AC974" s="442"/>
    </row>
    <row r="975" hidden="1">
      <c r="A975" s="444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  <c r="AA975" s="442"/>
      <c r="AB975" s="442"/>
      <c r="AC975" s="442"/>
    </row>
    <row r="976" hidden="1">
      <c r="A976" s="444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  <c r="AA976" s="442"/>
      <c r="AB976" s="442"/>
      <c r="AC976" s="442"/>
    </row>
    <row r="977" hidden="1">
      <c r="A977" s="444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  <c r="AA977" s="442"/>
      <c r="AB977" s="442"/>
      <c r="AC977" s="442"/>
    </row>
    <row r="978" hidden="1">
      <c r="A978" s="444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  <c r="AA978" s="442"/>
      <c r="AB978" s="442"/>
      <c r="AC978" s="442"/>
    </row>
    <row r="979" hidden="1">
      <c r="A979" s="444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  <c r="AA979" s="442"/>
      <c r="AB979" s="442"/>
      <c r="AC979" s="442"/>
    </row>
    <row r="980" hidden="1">
      <c r="A980" s="444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  <c r="AA980" s="442"/>
      <c r="AB980" s="442"/>
      <c r="AC980" s="442"/>
    </row>
    <row r="981" hidden="1">
      <c r="A981" s="444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  <c r="AA981" s="442"/>
      <c r="AB981" s="442"/>
      <c r="AC981" s="442"/>
    </row>
    <row r="982" hidden="1">
      <c r="A982" s="444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  <c r="AA982" s="442"/>
      <c r="AB982" s="442"/>
      <c r="AC982" s="442"/>
    </row>
    <row r="983" hidden="1">
      <c r="A983" s="444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  <c r="AA983" s="442"/>
      <c r="AB983" s="442"/>
      <c r="AC983" s="442"/>
    </row>
    <row r="984" hidden="1">
      <c r="A984" s="444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  <c r="AA984" s="442"/>
      <c r="AB984" s="442"/>
      <c r="AC984" s="442"/>
    </row>
    <row r="985" hidden="1">
      <c r="A985" s="444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  <c r="AA985" s="442"/>
      <c r="AB985" s="442"/>
      <c r="AC985" s="442"/>
    </row>
    <row r="986" hidden="1">
      <c r="A986" s="444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  <c r="AA986" s="442"/>
      <c r="AB986" s="442"/>
      <c r="AC986" s="442"/>
    </row>
    <row r="987" hidden="1">
      <c r="A987" s="444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  <c r="AA987" s="442"/>
      <c r="AB987" s="442"/>
      <c r="AC987" s="442"/>
    </row>
    <row r="988" hidden="1">
      <c r="A988" s="444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  <c r="AA988" s="442"/>
      <c r="AB988" s="442"/>
      <c r="AC988" s="442"/>
    </row>
    <row r="989" hidden="1">
      <c r="A989" s="444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  <c r="AA989" s="442"/>
      <c r="AB989" s="442"/>
      <c r="AC989" s="442"/>
    </row>
    <row r="990" hidden="1">
      <c r="A990" s="444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  <c r="AA990" s="442"/>
      <c r="AB990" s="442"/>
      <c r="AC990" s="442"/>
    </row>
    <row r="991" hidden="1">
      <c r="A991" s="444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  <c r="AA991" s="442"/>
      <c r="AB991" s="442"/>
      <c r="AC991" s="442"/>
    </row>
    <row r="992" hidden="1">
      <c r="A992" s="444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  <c r="AA992" s="442"/>
      <c r="AB992" s="442"/>
      <c r="AC992" s="442"/>
    </row>
    <row r="993" hidden="1">
      <c r="A993" s="444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  <c r="AA993" s="442"/>
      <c r="AB993" s="442"/>
      <c r="AC993" s="442"/>
    </row>
    <row r="994" hidden="1">
      <c r="A994" s="444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  <c r="AA994" s="442"/>
      <c r="AB994" s="442"/>
      <c r="AC994" s="442"/>
    </row>
    <row r="995" hidden="1">
      <c r="A995" s="444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  <c r="AA995" s="442"/>
      <c r="AB995" s="442"/>
      <c r="AC995" s="442"/>
    </row>
    <row r="996" hidden="1">
      <c r="A996" s="444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  <c r="AA996" s="442"/>
      <c r="AB996" s="442"/>
      <c r="AC996" s="442"/>
    </row>
    <row r="997" hidden="1">
      <c r="A997" s="444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  <c r="AA997" s="442"/>
      <c r="AB997" s="442"/>
      <c r="AC997" s="442"/>
    </row>
    <row r="998" hidden="1">
      <c r="A998" s="444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  <c r="AA998" s="442"/>
      <c r="AB998" s="442"/>
      <c r="AC998" s="442"/>
    </row>
    <row r="999" hidden="1">
      <c r="A999" s="444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  <c r="AA999" s="442"/>
      <c r="AB999" s="442"/>
      <c r="AC999" s="442"/>
    </row>
    <row r="1000" hidden="1">
      <c r="A1000" s="444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  <c r="AA1000" s="442"/>
      <c r="AB1000" s="442"/>
      <c r="AC1000" s="442"/>
    </row>
  </sheetData>
  <autoFilter ref="$AC$1:$AC$1000">
    <filterColumn colId="0">
      <filters>
        <filter val="Plopsa"/>
      </filters>
    </filterColumn>
  </autoFilter>
  <customSheetViews>
    <customSheetView guid="{F12B3805-9B7D-4C79-B0E3-888D22CF56BA}" filter="1" showAutoFilter="1">
      <autoFilter ref="$I$1:$J$1000"/>
    </customSheetView>
  </customSheetViews>
  <conditionalFormatting sqref="AC2:AC190">
    <cfRule type="containsText" dxfId="4" priority="1" operator="containsText" text="Quadrus">
      <formula>NOT(ISERROR(SEARCH(("Quadrus"),(AC2))))</formula>
    </cfRule>
  </conditionalFormatting>
  <conditionalFormatting sqref="AC2:AC190">
    <cfRule type="containsText" dxfId="5" priority="2" operator="containsText" text="Fintro Huy">
      <formula>NOT(ISERROR(SEARCH(("Fintro Huy"),(AC2))))</formula>
    </cfRule>
  </conditionalFormatting>
  <conditionalFormatting sqref="AC2:AC190">
    <cfRule type="containsText" dxfId="6" priority="3" operator="containsText" text="Locadepot">
      <formula>NOT(ISERROR(SEARCH(("Locadepot"),(AC2))))</formula>
    </cfRule>
  </conditionalFormatting>
  <conditionalFormatting sqref="AC2:AC190">
    <cfRule type="containsText" dxfId="7" priority="4" operator="containsText" text="leblanc">
      <formula>NOT(ISERROR(SEARCH(("leblanc"),(AC2))))</formula>
    </cfRule>
  </conditionalFormatting>
  <conditionalFormatting sqref="AC2:AC190">
    <cfRule type="cellIs" dxfId="8" priority="5" operator="equal">
      <formula>"Le bois au jardin"</formula>
    </cfRule>
  </conditionalFormatting>
  <conditionalFormatting sqref="AC2:AC190">
    <cfRule type="containsText" dxfId="9" priority="6" operator="containsText" text="Grottes de Han">
      <formula>NOT(ISERROR(SEARCH(("Grottes de Han"),(AC2))))</formula>
    </cfRule>
  </conditionalFormatting>
  <conditionalFormatting sqref="AC2:AC190">
    <cfRule type="containsText" dxfId="10" priority="7" operator="containsText" text="Immo Cube">
      <formula>NOT(ISERROR(SEARCH(("Immo Cube"),(AC2))))</formula>
    </cfRule>
  </conditionalFormatting>
  <conditionalFormatting sqref="AC2:AC190">
    <cfRule type="cellIs" dxfId="11" priority="8" operator="equal">
      <formula>"Lumarvel"</formula>
    </cfRule>
  </conditionalFormatting>
  <conditionalFormatting sqref="AC2:AC190">
    <cfRule type="cellIs" dxfId="12" priority="9" operator="equal">
      <formula>"Optic &amp; vous"</formula>
    </cfRule>
  </conditionalFormatting>
  <conditionalFormatting sqref="AC2:AC190">
    <cfRule type="cellIs" dxfId="13" priority="10" operator="equal">
      <formula>"Clic Solar"</formula>
    </cfRule>
  </conditionalFormatting>
  <conditionalFormatting sqref="AC2:AC190">
    <cfRule type="cellIs" dxfId="14" priority="11" operator="equal">
      <formula>"Tournesol"</formula>
    </cfRule>
  </conditionalFormatting>
  <conditionalFormatting sqref="AC2:AC190">
    <cfRule type="cellIs" dxfId="15" priority="12" operator="equal">
      <formula>"JARDISART"</formula>
    </cfRule>
  </conditionalFormatting>
  <conditionalFormatting sqref="AC2:AC190">
    <cfRule type="cellIs" dxfId="16" priority="13" operator="equal">
      <formula>"New Teck"</formula>
    </cfRule>
  </conditionalFormatting>
  <conditionalFormatting sqref="AC2:AC190">
    <cfRule type="cellIs" dxfId="17" priority="14" operator="equal">
      <formula>"PROXIMED"</formula>
    </cfRule>
  </conditionalFormatting>
  <conditionalFormatting sqref="AC2:AC190">
    <cfRule type="containsText" dxfId="18" priority="15" operator="containsText" text="COLORA">
      <formula>NOT(ISERROR(SEARCH(("COLORA"),(AC2))))</formula>
    </cfRule>
  </conditionalFormatting>
  <conditionalFormatting sqref="AC2:AC190">
    <cfRule type="containsText" dxfId="19" priority="16" operator="containsText" text="mobalpa">
      <formula>NOT(ISERROR(SEARCH(("mobalpa"),(AC2))))</formula>
    </cfRule>
  </conditionalFormatting>
  <conditionalFormatting sqref="AC2:AC190">
    <cfRule type="containsText" dxfId="20" priority="17" operator="containsText" text="Piscinat">
      <formula>NOT(ISERROR(SEARCH(("Piscinat"),(AC2))))</formula>
    </cfRule>
  </conditionalFormatting>
  <conditionalFormatting sqref="AC2:AC190">
    <cfRule type="cellIs" dxfId="21" priority="18" operator="equal">
      <formula>"Garage Renaux Fiat"</formula>
    </cfRule>
  </conditionalFormatting>
  <conditionalFormatting sqref="AC2:AC190">
    <cfRule type="cellIs" dxfId="22" priority="19" operator="equal">
      <formula>"OPTION"</formula>
    </cfRule>
  </conditionalFormatting>
  <conditionalFormatting sqref="AC2:AC190">
    <cfRule type="cellIs" dxfId="23" priority="20" operator="equal">
      <formula>"Urbaine"</formula>
    </cfRule>
  </conditionalFormatting>
  <conditionalFormatting sqref="AC2:AC190">
    <cfRule type="containsText" dxfId="24" priority="21" operator="containsText" text="Tonton tapis">
      <formula>NOT(ISERROR(SEARCH(("Tonton tapis"),(AC2))))</formula>
    </cfRule>
  </conditionalFormatting>
  <conditionalFormatting sqref="AC2:AC190">
    <cfRule type="containsText" dxfId="25" priority="22" operator="containsText" text="Ixina">
      <formula>NOT(ISERROR(SEARCH(("Ixina"),(AC2))))</formula>
    </cfRule>
  </conditionalFormatting>
  <conditionalFormatting sqref="AC2:AC190">
    <cfRule type="cellIs" dxfId="26" priority="23" operator="equal">
      <formula>"Spa Rally"</formula>
    </cfRule>
  </conditionalFormatting>
  <conditionalFormatting sqref="AC2:AC190">
    <cfRule type="cellIs" dxfId="27" priority="24" operator="equal">
      <formula>"BP Martelange"</formula>
    </cfRule>
  </conditionalFormatting>
  <conditionalFormatting sqref="AC2:AC190">
    <cfRule type="cellIs" dxfId="28" priority="25" operator="equal">
      <formula>"Servipools"</formula>
    </cfRule>
  </conditionalFormatting>
  <conditionalFormatting sqref="AC2:AC190">
    <cfRule type="cellIs" dxfId="29" priority="26" operator="equal">
      <formula>"JCP Cleaning"</formula>
    </cfRule>
  </conditionalFormatting>
  <conditionalFormatting sqref="AC2:AC190">
    <cfRule type="cellIs" dxfId="30" priority="27" operator="equal">
      <formula>"Literie Prestige"</formula>
    </cfRule>
  </conditionalFormatting>
  <conditionalFormatting sqref="AC2:AC190">
    <cfRule type="cellIs" dxfId="31" priority="28" operator="equal">
      <formula>"Solidarités"</formula>
    </cfRule>
  </conditionalFormatting>
  <conditionalFormatting sqref="AC2:AC190">
    <cfRule type="cellIs" dxfId="32" priority="29" operator="equal">
      <formula>"Belgian Rally"</formula>
    </cfRule>
  </conditionalFormatting>
  <conditionalFormatting sqref="AC2:AC190">
    <cfRule type="cellIs" dxfId="33" priority="30" operator="equal">
      <formula>"PESSLEUX"</formula>
    </cfRule>
  </conditionalFormatting>
  <conditionalFormatting sqref="AC2:AC190">
    <cfRule type="cellIs" dxfId="34" priority="31" operator="equal">
      <formula>"Marco Magazzino"</formula>
    </cfRule>
  </conditionalFormatting>
  <conditionalFormatting sqref="AC2:AC190">
    <cfRule type="containsText" dxfId="4" priority="32" operator="containsText" text="vausort">
      <formula>NOT(ISERROR(SEARCH(("vausort"),(AC2))))</formula>
    </cfRule>
  </conditionalFormatting>
  <conditionalFormatting sqref="AC2:AC190">
    <cfRule type="cellIs" dxfId="35" priority="33" operator="equal">
      <formula>"NAM Property"</formula>
    </cfRule>
  </conditionalFormatting>
  <conditionalFormatting sqref="AC2:AC190">
    <cfRule type="cellIs" dxfId="36" priority="34" operator="equal">
      <formula>"Mur-Mur"</formula>
    </cfRule>
  </conditionalFormatting>
  <conditionalFormatting sqref="AC2:AC190">
    <cfRule type="containsText" dxfId="37" priority="35" operator="containsText" text="Servalux">
      <formula>NOT(ISERROR(SEARCH(("Servalux"),(AC2))))</formula>
    </cfRule>
  </conditionalFormatting>
  <conditionalFormatting sqref="AC2:AC190">
    <cfRule type="containsText" dxfId="38" priority="36" operator="containsText" text="Schmidt">
      <formula>NOT(ISERROR(SEARCH(("Schmidt"),(AC2))))</formula>
    </cfRule>
  </conditionalFormatting>
  <conditionalFormatting sqref="AC1:AC178">
    <cfRule type="cellIs" dxfId="39" priority="37" operator="equal">
      <formula>"BAT"</formula>
    </cfRule>
  </conditionalFormatting>
  <conditionalFormatting sqref="AC1:AC178">
    <cfRule type="cellIs" dxfId="40" priority="38" operator="equal">
      <formula>"New OK"</formula>
    </cfRule>
  </conditionalFormatting>
  <conditionalFormatting sqref="AC1:AC190">
    <cfRule type="cellIs" dxfId="41" priority="39" operator="equal">
      <formula>"A faire"</formula>
    </cfRule>
  </conditionalFormatting>
  <conditionalFormatting sqref="AC1:AC180">
    <cfRule type="cellIs" dxfId="39" priority="40" operator="equal">
      <formula>"?"</formula>
    </cfRule>
  </conditionalFormatting>
  <conditionalFormatting sqref="AC1:AC180">
    <cfRule type="cellIs" dxfId="42" priority="41" operator="equal">
      <formula>"OVI Services"</formula>
    </cfRule>
  </conditionalFormatting>
  <conditionalFormatting sqref="AC1:AC180">
    <cfRule type="cellIs" dxfId="43" priority="42" operator="equal">
      <formula>"Yourfire"</formula>
    </cfRule>
  </conditionalFormatting>
  <conditionalFormatting sqref="AC1:AC180">
    <cfRule type="containsText" dxfId="44" priority="43" operator="containsText" text="aveve">
      <formula>NOT(ISERROR(SEARCH(("aveve"),(AC1))))</formula>
    </cfRule>
  </conditionalFormatting>
  <conditionalFormatting sqref="AC1:AC180">
    <cfRule type="cellIs" dxfId="45" priority="44" operator="equal">
      <formula>"Château de beez"</formula>
    </cfRule>
  </conditionalFormatting>
  <conditionalFormatting sqref="AC2:AC190">
    <cfRule type="cellIs" dxfId="46" priority="45" operator="equal">
      <formula>"Jardi Nature"</formula>
    </cfRule>
  </conditionalFormatting>
  <conditionalFormatting sqref="AC1:AC180">
    <cfRule type="cellIs" dxfId="47" priority="46" operator="equal">
      <formula>"Full Services"</formula>
    </cfRule>
  </conditionalFormatting>
  <conditionalFormatting sqref="AC1:AC180">
    <cfRule type="cellIs" dxfId="48" priority="47" operator="equal">
      <formula>"Brainbox"</formula>
    </cfRule>
  </conditionalFormatting>
  <conditionalFormatting sqref="AC1:AC180">
    <cfRule type="containsText" dxfId="49" priority="48" operator="containsText" text="Kids and us">
      <formula>NOT(ISERROR(SEARCH(("Kids and us"),(AC1))))</formula>
    </cfRule>
  </conditionalFormatting>
  <conditionalFormatting sqref="AC1:AC180">
    <cfRule type="containsText" dxfId="50" priority="49" operator="containsText" text="Cap Sciences">
      <formula>NOT(ISERROR(SEARCH(("Cap Sciences"),(AC1))))</formula>
    </cfRule>
  </conditionalFormatting>
  <conditionalFormatting sqref="AC1:AC180">
    <cfRule type="containsText" dxfId="51" priority="50" operator="containsText" text="Graines de Vélo">
      <formula>NOT(ISERROR(SEARCH(("Graines de Vélo"),(AC1))))</formula>
    </cfRule>
  </conditionalFormatting>
  <conditionalFormatting sqref="AC1:AC180">
    <cfRule type="containsText" dxfId="52" priority="51" operator="containsText" text="CLL">
      <formula>NOT(ISERROR(SEARCH(("CLL"),(AC1))))</formula>
    </cfRule>
  </conditionalFormatting>
  <conditionalFormatting sqref="AC1:AC180">
    <cfRule type="containsText" dxfId="53" priority="52" operator="containsText" text="Knauf">
      <formula>NOT(ISERROR(SEARCH(("Knauf"),(AC1))))</formula>
    </cfRule>
  </conditionalFormatting>
  <conditionalFormatting sqref="AC1:AC180">
    <cfRule type="containsText" dxfId="54" priority="53" operator="containsText" text="Au Stock">
      <formula>NOT(ISERROR(SEARCH(("Au Stock"),(AC1))))</formula>
    </cfRule>
  </conditionalFormatting>
  <conditionalFormatting sqref="AC2:AC190">
    <cfRule type="containsText" dxfId="55" priority="54" operator="containsText" text="Q-outlet">
      <formula>NOT(ISERROR(SEARCH(("Q-outlet"),(AC2))))</formula>
    </cfRule>
  </conditionalFormatting>
  <conditionalFormatting sqref="AC1:AC180">
    <cfRule type="cellIs" dxfId="56" priority="55" operator="equal">
      <formula>"EASYHOME"</formula>
    </cfRule>
  </conditionalFormatting>
  <conditionalFormatting sqref="AC1:AC180">
    <cfRule type="containsText" dxfId="57" priority="56" operator="containsText" text="Watt4U">
      <formula>NOT(ISERROR(SEARCH(("Watt4U"),(AC1))))</formula>
    </cfRule>
  </conditionalFormatting>
  <conditionalFormatting sqref="AC1:AC180">
    <cfRule type="containsText" dxfId="58" priority="57" operator="containsText" text="Reno-Paints">
      <formula>NOT(ISERROR(SEARCH(("Reno-Paints"),(AC1))))</formula>
    </cfRule>
  </conditionalFormatting>
  <conditionalFormatting sqref="AC1:AC190">
    <cfRule type="containsText" dxfId="59" priority="58" operator="containsText" text="Fermalux">
      <formula>NOT(ISERROR(SEARCH(("Fermalux"),(AC1))))</formula>
    </cfRule>
  </conditionalFormatting>
  <conditionalFormatting sqref="AC1:AC180">
    <cfRule type="containsText" dxfId="60" priority="59" operator="containsText" text="problème">
      <formula>NOT(ISERROR(SEARCH(("problème"),(AC1))))</formula>
    </cfRule>
  </conditionalFormatting>
  <conditionalFormatting sqref="AC1:AC180">
    <cfRule type="containsText" dxfId="60" priority="60" operator="containsText" text="Retardé">
      <formula>NOT(ISERROR(SEARCH(("Retardé"),(AC1))))</formula>
    </cfRule>
  </conditionalFormatting>
  <conditionalFormatting sqref="AC1:AC180">
    <cfRule type="containsText" dxfId="61" priority="61" operator="containsText" text="Corentin">
      <formula>NOT(ISERROR(SEARCH(("Corentin"),(AC1))))</formula>
    </cfRule>
  </conditionalFormatting>
  <conditionalFormatting sqref="AC1:AC190">
    <cfRule type="containsText" dxfId="62" priority="62" operator="containsText" text="Fintro Ciney">
      <formula>NOT(ISERROR(SEARCH(("Fintro Ciney"),(AC1))))</formula>
    </cfRule>
  </conditionalFormatting>
  <conditionalFormatting sqref="AC1:AC190 A107:D107">
    <cfRule type="cellIs" dxfId="63" priority="63" operator="equal">
      <formula>"AD Delhaize Chastre"</formula>
    </cfRule>
  </conditionalFormatting>
  <conditionalFormatting sqref="E2:AC190">
    <cfRule type="containsText" dxfId="64" priority="64" operator="containsText" text="OCCUPÉ">
      <formula>NOT(ISERROR(SEARCH(("OCCUPÉ"),(E2))))</formula>
    </cfRule>
  </conditionalFormatting>
  <conditionalFormatting sqref="E2:F190 I2:J190 M2:N190 Q2:R190 U2:V190 Y2:Z190">
    <cfRule type="containsText" dxfId="65" priority="65" operator="containsText" text="LIBRE">
      <formula>NOT(ISERROR(SEARCH(("LIBRE"),(E2))))</formula>
    </cfRule>
  </conditionalFormatting>
  <conditionalFormatting sqref="G2:H190 K2:L190 O2:P190 S2:T190 W2:X190 AA2:AC190">
    <cfRule type="containsText" dxfId="66" priority="66" operator="containsText" text="LIBRE">
      <formula>NOT(ISERROR(SEARCH(("LIBRE"),(G2))))</formula>
    </cfRule>
  </conditionalFormatting>
  <conditionalFormatting sqref="A1:AC190">
    <cfRule type="containsText" dxfId="67" priority="67" operator="containsText" text="continentis">
      <formula>NOT(ISERROR(SEARCH(("continentis"),(A1))))</formula>
    </cfRule>
  </conditionalFormatting>
  <conditionalFormatting sqref="E2:AC190">
    <cfRule type="containsText" dxfId="55" priority="68" operator="containsText" text="Quadrus">
      <formula>NOT(ISERROR(SEARCH(("Quadrus"),(E2))))</formula>
    </cfRule>
  </conditionalFormatting>
  <conditionalFormatting sqref="E2:AC190">
    <cfRule type="cellIs" dxfId="68" priority="69" operator="equal">
      <formula>"DEMA"</formula>
    </cfRule>
  </conditionalFormatting>
  <conditionalFormatting sqref="E2:AC190">
    <cfRule type="cellIs" dxfId="69" priority="70" operator="equal">
      <formula>"Déco Jardin"</formula>
    </cfRule>
  </conditionalFormatting>
  <conditionalFormatting sqref="E2:AC190">
    <cfRule type="containsText" dxfId="64" priority="71" operator="containsText" text="Carimar">
      <formula>NOT(ISERROR(SEARCH(("Carimar"),(E2))))</formula>
    </cfRule>
  </conditionalFormatting>
  <conditionalFormatting sqref="E2:AC190">
    <cfRule type="containsText" dxfId="5" priority="72" operator="containsText" text="Fintro">
      <formula>NOT(ISERROR(SEARCH(("Fintro"),(E2))))</formula>
    </cfRule>
  </conditionalFormatting>
  <conditionalFormatting sqref="E2:AC190">
    <cfRule type="containsText" dxfId="70" priority="73" operator="containsText" text="Cap Sud">
      <formula>NOT(ISERROR(SEARCH(("Cap Sud"),(E2))))</formula>
    </cfRule>
  </conditionalFormatting>
  <conditionalFormatting sqref="E2:AC190">
    <cfRule type="cellIs" dxfId="71" priority="74" operator="equal">
      <formula>"Promo sport"</formula>
    </cfRule>
  </conditionalFormatting>
  <conditionalFormatting sqref="E2:AC190">
    <cfRule type="cellIs" dxfId="72" priority="75" operator="equal">
      <formula>"majesty wood"</formula>
    </cfRule>
  </conditionalFormatting>
  <conditionalFormatting sqref="E2:AC190">
    <cfRule type="cellIs" dxfId="6" priority="76" operator="equal">
      <formula>"Locadepot"</formula>
    </cfRule>
  </conditionalFormatting>
  <conditionalFormatting sqref="E2:AC190">
    <cfRule type="cellIs" dxfId="73" priority="77" operator="equal">
      <formula>"Séos"</formula>
    </cfRule>
  </conditionalFormatting>
  <conditionalFormatting sqref="E2:AC190">
    <cfRule type="cellIs" dxfId="74" priority="78" operator="equal">
      <formula>"Chaussures Ballaux"</formula>
    </cfRule>
  </conditionalFormatting>
  <conditionalFormatting sqref="E2:AC190">
    <cfRule type="cellIs" dxfId="75" priority="79" operator="equal">
      <formula>"Green Robot"</formula>
    </cfRule>
  </conditionalFormatting>
  <conditionalFormatting sqref="E2:AC190">
    <cfRule type="containsText" dxfId="76" priority="80" operator="containsText" text="McDonalds">
      <formula>NOT(ISERROR(SEARCH(("McDonalds"),(E2))))</formula>
    </cfRule>
  </conditionalFormatting>
  <conditionalFormatting sqref="E2:AC190">
    <cfRule type="cellIs" dxfId="77" priority="81" operator="equal">
      <formula>"DPS"</formula>
    </cfRule>
  </conditionalFormatting>
  <conditionalFormatting sqref="E2:AC190">
    <cfRule type="containsText" dxfId="78" priority="82" operator="containsText" text="Poils &amp; Plumes">
      <formula>NOT(ISERROR(SEARCH(("Poils &amp; Plumes"),(E2))))</formula>
    </cfRule>
  </conditionalFormatting>
  <conditionalFormatting sqref="E2:AC190">
    <cfRule type="containsText" dxfId="79" priority="83" operator="containsText" text="Chimsco">
      <formula>NOT(ISERROR(SEARCH(("Chimsco"),(E2))))</formula>
    </cfRule>
  </conditionalFormatting>
  <conditionalFormatting sqref="E2:AC190">
    <cfRule type="containsText" dxfId="80" priority="84" operator="containsText" text="Media See">
      <formula>NOT(ISERROR(SEARCH(("Media See"),(E2))))</formula>
    </cfRule>
  </conditionalFormatting>
  <conditionalFormatting sqref="E2:AC190">
    <cfRule type="cellIs" dxfId="81" priority="85" operator="equal">
      <formula>"BD Media"</formula>
    </cfRule>
  </conditionalFormatting>
  <conditionalFormatting sqref="E2:AC190">
    <cfRule type="cellIs" dxfId="82" priority="86" operator="equal">
      <formula>"Usico"</formula>
    </cfRule>
  </conditionalFormatting>
  <conditionalFormatting sqref="E2:AC190">
    <cfRule type="cellIs" dxfId="83" priority="87" operator="equal">
      <formula>"Promimo"</formula>
    </cfRule>
  </conditionalFormatting>
  <conditionalFormatting sqref="E2:AC190">
    <cfRule type="cellIs" dxfId="84" priority="88" operator="equal">
      <formula>"Lara Ceram"</formula>
    </cfRule>
  </conditionalFormatting>
  <conditionalFormatting sqref="E2:AC190">
    <cfRule type="cellIs" dxfId="85" priority="89" operator="equal">
      <formula>"FIRR"</formula>
    </cfRule>
  </conditionalFormatting>
  <conditionalFormatting sqref="E2:AC190">
    <cfRule type="cellIs" dxfId="86" priority="90" operator="equal">
      <formula>"Majois"</formula>
    </cfRule>
  </conditionalFormatting>
  <conditionalFormatting sqref="E2:AC190">
    <cfRule type="cellIs" dxfId="87" priority="91" operator="equal">
      <formula>"Literie Massart"</formula>
    </cfRule>
  </conditionalFormatting>
  <conditionalFormatting sqref="E2:AC190">
    <cfRule type="cellIs" dxfId="88" priority="92" operator="equal">
      <formula>"KRO Carrelages"</formula>
    </cfRule>
  </conditionalFormatting>
  <conditionalFormatting sqref="E2:AC190">
    <cfRule type="cellIs" dxfId="89" priority="93" operator="equal">
      <formula>"ATB"</formula>
    </cfRule>
  </conditionalFormatting>
  <conditionalFormatting sqref="E2:AC190">
    <cfRule type="cellIs" dxfId="90" priority="94" operator="equal">
      <formula>"Immologgia"</formula>
    </cfRule>
  </conditionalFormatting>
  <conditionalFormatting sqref="AC2:AC190 E67">
    <cfRule type="cellIs" dxfId="91" priority="95" operator="equal">
      <formula>"Créer coller"</formula>
    </cfRule>
  </conditionalFormatting>
  <conditionalFormatting sqref="A2:B450">
    <cfRule type="containsText" dxfId="64" priority="96" operator="containsText" text="Non listée">
      <formula>NOT(ISERROR(SEARCH(("Non listée"),(A2))))</formula>
    </cfRule>
  </conditionalFormatting>
  <dataValidations>
    <dataValidation type="list" allowBlank="1" showDropDown="1" showInputMessage="1" prompt="Cliquez ici et saisissez une des valeurs de la plage" sqref="AC9 AC87 AC99">
      <formula1>'DB clients'!$A$2:$A$933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6.13"/>
    <col customWidth="1" min="4" max="4" width="29.75"/>
  </cols>
  <sheetData>
    <row r="1">
      <c r="A1" s="1" t="str">
        <f>IFERROR(__xludf.DUMMYFUNCTION("IMPORTRANGE(""https://docs.google.com/spreadsheets/d/1oB26N_hjCeYSqD1sAqAypWRbu48Vq4K6zDan7yly6mY/edit#gid=492980554"", ""Remorques!a1:h200"")"),"Remorque")</f>
        <v>Remorque</v>
      </c>
      <c r="B1" s="2" t="str">
        <f>IFERROR(__xludf.DUMMYFUNCTION("""COMPUTED_VALUE"""),"Ville-remorque")</f>
        <v>Ville-remorque</v>
      </c>
      <c r="C1" s="2" t="str">
        <f>IFERROR(__xludf.DUMMYFUNCTION("""COMPUTED_VALUE"""),"Localisation-remorque")</f>
        <v>Localisation-remorque</v>
      </c>
      <c r="D1" s="2" t="str">
        <f>IFERROR(__xludf.DUMMYFUNCTION("""COMPUTED_VALUE"""),"Axe-remorque")</f>
        <v>Axe-remorque</v>
      </c>
      <c r="E1" s="2" t="str">
        <f>IFERROR(__xludf.DUMMYFUNCTION("""COMPUTED_VALUE"""),"Direction-remorque")</f>
        <v>Direction-remorque</v>
      </c>
      <c r="F1" s="2" t="str">
        <f>IFERROR(__xludf.DUMMYFUNCTION("""COMPUTED_VALUE"""),"Direction-out")</f>
        <v>Direction-out</v>
      </c>
      <c r="G1" s="2" t="str">
        <f>IFERROR(__xludf.DUMMYFUNCTION("""COMPUTED_VALUE"""),"Province")</f>
        <v>Province</v>
      </c>
      <c r="H1" s="24" t="str">
        <f>IFERROR(__xludf.DUMMYFUNCTION("""COMPUTED_VALUE"""),"GPS")</f>
        <v>GPS</v>
      </c>
      <c r="I1" s="32" t="str">
        <f>IFERROR(__xludf.DUMMYFUNCTION("importrange (""https://docs.google.com/spreadsheets/d/1oB26N_hjCeYSqD1sAqAypWRbu48Vq4K6zDan7yly6mY/edit#gid=492980554"", ""Remorques!m1:m200"")"),"Lien")</f>
        <v>Lien</v>
      </c>
      <c r="J1" s="34"/>
      <c r="K1" s="36"/>
      <c r="L1" s="38"/>
      <c r="M1" s="38"/>
    </row>
    <row r="2">
      <c r="A2" s="24">
        <f>IFERROR(__xludf.DUMMYFUNCTION("""COMPUTED_VALUE"""),0.0)</f>
        <v>0</v>
      </c>
      <c r="B2" s="2" t="str">
        <f>IFERROR(__xludf.DUMMYFUNCTION("""COMPUTED_VALUE""")," Remorque non listée")</f>
        <v> Remorque non listée</v>
      </c>
      <c r="C2" s="2"/>
      <c r="D2" s="2"/>
      <c r="E2" s="42"/>
      <c r="F2" s="2"/>
      <c r="G2" s="2"/>
      <c r="H2" s="24"/>
      <c r="I2" s="48" t="str">
        <f>IFERROR(__xludf.DUMMYFUNCTION("""COMPUTED_VALUE"""),"https://remorquepublicitaire.be/remorque/0")</f>
        <v>https://remorquepublicitaire.be/remorque/0</v>
      </c>
      <c r="J2" s="42"/>
      <c r="K2" s="38"/>
      <c r="L2" s="38"/>
      <c r="M2" s="38"/>
    </row>
    <row r="3">
      <c r="A3" s="24">
        <f>IFERROR(__xludf.DUMMYFUNCTION("""COMPUTED_VALUE"""),101.0)</f>
        <v>101</v>
      </c>
      <c r="B3" s="2" t="str">
        <f>IFERROR(__xludf.DUMMYFUNCTION("""COMPUTED_VALUE"""),"Ronquieres")</f>
        <v>Ronquieres</v>
      </c>
      <c r="C3" s="2" t="str">
        <f>IFERROR(__xludf.DUMMYFUNCTION("""COMPUTED_VALUE"""),"Ronquières Hainaut")</f>
        <v>Ronquières Hainaut</v>
      </c>
      <c r="D3" s="2" t="str">
        <f>IFERROR(__xludf.DUMMYFUNCTION("""COMPUTED_VALUE"""),"Nivelles-Braine-le-Comte")</f>
        <v>Nivelles-Braine-le-Comte</v>
      </c>
      <c r="E3" s="42" t="str">
        <f>IFERROR(__xludf.DUMMYFUNCTION("""COMPUTED_VALUE"""),"Braine-le-Comte")</f>
        <v>Braine-le-Comte</v>
      </c>
      <c r="F3" s="2" t="str">
        <f>IFERROR(__xludf.DUMMYFUNCTION("""COMPUTED_VALUE"""),"Nivelles")</f>
        <v>Nivelles</v>
      </c>
      <c r="G3" s="2" t="str">
        <f>IFERROR(__xludf.DUMMYFUNCTION("""COMPUTED_VALUE"""),"Brabant-Wallon")</f>
        <v>Brabant-Wallon</v>
      </c>
      <c r="H3" s="24" t="str">
        <f>IFERROR(__xludf.DUMMYFUNCTION("""COMPUTED_VALUE"""),"50.6062669, 4.2301494")</f>
        <v>50.6062669, 4.2301494</v>
      </c>
      <c r="I3" s="55" t="str">
        <f>IFERROR(__xludf.DUMMYFUNCTION("""COMPUTED_VALUE"""),"https://remorquepublicitaire.be/remorque/101")</f>
        <v>https://remorquepublicitaire.be/remorque/101</v>
      </c>
      <c r="J3" s="42"/>
      <c r="K3" s="38"/>
      <c r="L3" s="38"/>
      <c r="M3" s="38"/>
    </row>
    <row r="4">
      <c r="A4" s="24">
        <f>IFERROR(__xludf.DUMMYFUNCTION("""COMPUTED_VALUE"""),102.0)</f>
        <v>102</v>
      </c>
      <c r="B4" s="2" t="str">
        <f>IFERROR(__xludf.DUMMYFUNCTION("""COMPUTED_VALUE"""),"Nivelles")</f>
        <v>Nivelles</v>
      </c>
      <c r="C4" s="2" t="str">
        <f>IFERROR(__xludf.DUMMYFUNCTION("""COMPUTED_VALUE"""),"Sud Thines")</f>
        <v>Sud Thines</v>
      </c>
      <c r="D4" s="2" t="str">
        <f>IFERROR(__xludf.DUMMYFUNCTION("""COMPUTED_VALUE"""),"N93/N237 Nivelles-Namur")</f>
        <v>N93/N237 Nivelles-Namur</v>
      </c>
      <c r="E4" s="42" t="str">
        <f>IFERROR(__xludf.DUMMYFUNCTION("""COMPUTED_VALUE"""),"Namur")</f>
        <v>Namur</v>
      </c>
      <c r="F4" s="2" t="str">
        <f>IFERROR(__xludf.DUMMYFUNCTION("""COMPUTED_VALUE"""),"Nivelles")</f>
        <v>Nivelles</v>
      </c>
      <c r="G4" s="2" t="str">
        <f>IFERROR(__xludf.DUMMYFUNCTION("""COMPUTED_VALUE"""),"Brabant-Wallon")</f>
        <v>Brabant-Wallon</v>
      </c>
      <c r="H4" s="24" t="str">
        <f>IFERROR(__xludf.DUMMYFUNCTION("""COMPUTED_VALUE"""),"50.593471, 4.371622")</f>
        <v>50.593471, 4.371622</v>
      </c>
      <c r="I4" s="55" t="str">
        <f>IFERROR(__xludf.DUMMYFUNCTION("""COMPUTED_VALUE"""),"https://remorquepublicitaire.be/remorque/102")</f>
        <v>https://remorquepublicitaire.be/remorque/102</v>
      </c>
      <c r="J4" s="38"/>
      <c r="K4" s="58"/>
      <c r="L4" s="38"/>
      <c r="M4" s="38"/>
    </row>
    <row r="5">
      <c r="A5" s="24">
        <f>IFERROR(__xludf.DUMMYFUNCTION("""COMPUTED_VALUE"""),103.0)</f>
        <v>103</v>
      </c>
      <c r="B5" s="2" t="str">
        <f>IFERROR(__xludf.DUMMYFUNCTION("""COMPUTED_VALUE"""),"Nivelles")</f>
        <v>Nivelles</v>
      </c>
      <c r="C5" s="2"/>
      <c r="D5" s="2"/>
      <c r="E5" s="2" t="str">
        <f>IFERROR(__xludf.DUMMYFUNCTION("""COMPUTED_VALUE"""),"Nivelles")</f>
        <v>Nivelles</v>
      </c>
      <c r="F5" s="2" t="str">
        <f>IFERROR(__xludf.DUMMYFUNCTION("""COMPUTED_VALUE"""),"Waterloo")</f>
        <v>Waterloo</v>
      </c>
      <c r="G5" s="2" t="str">
        <f>IFERROR(__xludf.DUMMYFUNCTION("""COMPUTED_VALUE"""),"Brabant-Wallon")</f>
        <v>Brabant-Wallon</v>
      </c>
      <c r="H5" s="24"/>
      <c r="I5" s="60" t="str">
        <f>IFERROR(__xludf.DUMMYFUNCTION("""COMPUTED_VALUE"""),"https://remorquepublicitaire.be/remorque/103")</f>
        <v>https://remorquepublicitaire.be/remorque/103</v>
      </c>
      <c r="J5" s="38"/>
      <c r="K5" s="58"/>
      <c r="L5" s="38"/>
      <c r="M5" s="38"/>
    </row>
    <row r="6">
      <c r="A6" s="24">
        <f>IFERROR(__xludf.DUMMYFUNCTION("""COMPUTED_VALUE"""),104.0)</f>
        <v>104</v>
      </c>
      <c r="B6" s="2" t="str">
        <f>IFERROR(__xludf.DUMMYFUNCTION("""COMPUTED_VALUE"""),"Ottignies")</f>
        <v>Ottignies</v>
      </c>
      <c r="C6" s="2" t="str">
        <f>IFERROR(__xludf.DUMMYFUNCTION("""COMPUTED_VALUE"""),"Clinique")</f>
        <v>Clinique</v>
      </c>
      <c r="D6" s="2" t="str">
        <f>IFERROR(__xludf.DUMMYFUNCTION("""COMPUTED_VALUE"""),"N275 Rixensart-Court-St-Etienne")</f>
        <v>N275 Rixensart-Court-St-Etienne</v>
      </c>
      <c r="E6" s="62" t="str">
        <f>IFERROR(__xludf.DUMMYFUNCTION("""COMPUTED_VALUE"""),"Court-Saint-Etienne")</f>
        <v>Court-Saint-Etienne</v>
      </c>
      <c r="F6" s="2" t="str">
        <f>IFERROR(__xludf.DUMMYFUNCTION("""COMPUTED_VALUE"""),"Rixensart")</f>
        <v>Rixensart</v>
      </c>
      <c r="G6" s="2" t="str">
        <f>IFERROR(__xludf.DUMMYFUNCTION("""COMPUTED_VALUE"""),"Brabant-Wallon")</f>
        <v>Brabant-Wallon</v>
      </c>
      <c r="H6" s="24" t="str">
        <f>IFERROR(__xludf.DUMMYFUNCTION("""COMPUTED_VALUE"""),"50.6790321, 4.5362256")</f>
        <v>50.6790321, 4.5362256</v>
      </c>
      <c r="I6" s="55" t="str">
        <f>IFERROR(__xludf.DUMMYFUNCTION("""COMPUTED_VALUE"""),"https://remorquepublicitaire.be/remorque/104")</f>
        <v>https://remorquepublicitaire.be/remorque/104</v>
      </c>
      <c r="J6" s="42"/>
      <c r="K6" s="65"/>
      <c r="L6" s="38"/>
      <c r="M6" s="38"/>
    </row>
    <row r="7">
      <c r="A7" s="24">
        <f>IFERROR(__xludf.DUMMYFUNCTION("""COMPUTED_VALUE"""),105.0)</f>
        <v>105</v>
      </c>
      <c r="B7" s="2" t="str">
        <f>IFERROR(__xludf.DUMMYFUNCTION("""COMPUTED_VALUE"""),"Louvain-la-Neuve")</f>
        <v>Louvain-la-Neuve</v>
      </c>
      <c r="C7" s="2" t="str">
        <f>IFERROR(__xludf.DUMMYFUNCTION("""COMPUTED_VALUE"""),"Corbais")</f>
        <v>Corbais</v>
      </c>
      <c r="D7" s="2" t="str">
        <f>IFERROR(__xludf.DUMMYFUNCTION("""COMPUTED_VALUE"""),"N4 LLN - Gembloux")</f>
        <v>N4 LLN - Gembloux</v>
      </c>
      <c r="E7" s="2" t="str">
        <f>IFERROR(__xludf.DUMMYFUNCTION("""COMPUTED_VALUE"""),"Gembloux")</f>
        <v>Gembloux</v>
      </c>
      <c r="F7" s="2" t="str">
        <f>IFERROR(__xludf.DUMMYFUNCTION("""COMPUTED_VALUE"""),"LLN")</f>
        <v>LLN</v>
      </c>
      <c r="G7" s="2" t="str">
        <f>IFERROR(__xludf.DUMMYFUNCTION("""COMPUTED_VALUE"""),"Brabant-Wallon")</f>
        <v>Brabant-Wallon</v>
      </c>
      <c r="H7" s="24" t="str">
        <f>IFERROR(__xludf.DUMMYFUNCTION("""COMPUTED_VALUE"""),"50.6547051, 4.6379578")</f>
        <v>50.6547051, 4.6379578</v>
      </c>
      <c r="I7" s="60" t="str">
        <f>IFERROR(__xludf.DUMMYFUNCTION("""COMPUTED_VALUE"""),"https://remorquepublicitaire.be/remorque/105")</f>
        <v>https://remorquepublicitaire.be/remorque/105</v>
      </c>
      <c r="J7" s="42"/>
      <c r="K7" s="42"/>
      <c r="L7" s="38"/>
      <c r="M7" s="38"/>
    </row>
    <row r="8">
      <c r="A8" s="24">
        <f>IFERROR(__xludf.DUMMYFUNCTION("""COMPUTED_VALUE"""),106.0)</f>
        <v>106</v>
      </c>
      <c r="B8" s="2" t="str">
        <f>IFERROR(__xludf.DUMMYFUNCTION("""COMPUTED_VALUE"""),"Wavre")</f>
        <v>Wavre</v>
      </c>
      <c r="C8" s="2" t="str">
        <f>IFERROR(__xludf.DUMMYFUNCTION("""COMPUTED_VALUE"""),"Grez-Doiceau 1")</f>
        <v>Grez-Doiceau 1</v>
      </c>
      <c r="D8" s="2" t="str">
        <f>IFERROR(__xludf.DUMMYFUNCTION("""COMPUTED_VALUE"""),"N25 entrée Wavre")</f>
        <v>N25 entrée Wavre</v>
      </c>
      <c r="E8" s="2" t="str">
        <f>IFERROR(__xludf.DUMMYFUNCTION("""COMPUTED_VALUE"""),"Grez")</f>
        <v>Grez</v>
      </c>
      <c r="F8" s="2" t="str">
        <f>IFERROR(__xludf.DUMMYFUNCTION("""COMPUTED_VALUE"""),"Wavre")</f>
        <v>Wavre</v>
      </c>
      <c r="G8" s="2" t="str">
        <f>IFERROR(__xludf.DUMMYFUNCTION("""COMPUTED_VALUE"""),"Brabant-Wallon")</f>
        <v>Brabant-Wallon</v>
      </c>
      <c r="H8" s="24" t="str">
        <f>IFERROR(__xludf.DUMMYFUNCTION("""COMPUTED_VALUE"""),"50.7080391, 4.6391863")</f>
        <v>50.7080391, 4.6391863</v>
      </c>
      <c r="I8" s="60" t="str">
        <f>IFERROR(__xludf.DUMMYFUNCTION("""COMPUTED_VALUE"""),"https://remorquepublicitaire.be/remorque/106")</f>
        <v>https://remorquepublicitaire.be/remorque/106</v>
      </c>
      <c r="J8" s="38"/>
      <c r="K8" s="58"/>
      <c r="L8" s="38"/>
      <c r="M8" s="38"/>
    </row>
    <row r="9">
      <c r="A9" s="24">
        <f>IFERROR(__xludf.DUMMYFUNCTION("""COMPUTED_VALUE"""),107.0)</f>
        <v>107</v>
      </c>
      <c r="B9" s="2" t="str">
        <f>IFERROR(__xludf.DUMMYFUNCTION("""COMPUTED_VALUE"""),"Wavre")</f>
        <v>Wavre</v>
      </c>
      <c r="C9" s="2" t="str">
        <f>IFERROR(__xludf.DUMMYFUNCTION("""COMPUTED_VALUE"""),"Grez-Doiceau 2")</f>
        <v>Grez-Doiceau 2</v>
      </c>
      <c r="D9" s="2" t="str">
        <f>IFERROR(__xludf.DUMMYFUNCTION("""COMPUTED_VALUE"""),"N25 entrée Wavre")</f>
        <v>N25 entrée Wavre</v>
      </c>
      <c r="E9" s="2" t="str">
        <f>IFERROR(__xludf.DUMMYFUNCTION("""COMPUTED_VALUE"""),"Wavre")</f>
        <v>Wavre</v>
      </c>
      <c r="F9" s="2" t="str">
        <f>IFERROR(__xludf.DUMMYFUNCTION("""COMPUTED_VALUE"""),"LLN")</f>
        <v>LLN</v>
      </c>
      <c r="G9" s="2" t="str">
        <f>IFERROR(__xludf.DUMMYFUNCTION("""COMPUTED_VALUE"""),"Brabant-Wallon")</f>
        <v>Brabant-Wallon</v>
      </c>
      <c r="H9" s="24" t="str">
        <f>IFERROR(__xludf.DUMMYFUNCTION("""COMPUTED_VALUE"""),"50.700666, 4.632200")</f>
        <v>50.700666, 4.632200</v>
      </c>
      <c r="I9" s="60" t="str">
        <f>IFERROR(__xludf.DUMMYFUNCTION("""COMPUTED_VALUE"""),"https://remorquepublicitaire.be/remorque/107")</f>
        <v>https://remorquepublicitaire.be/remorque/107</v>
      </c>
      <c r="J9" s="38"/>
      <c r="K9" s="58"/>
      <c r="L9" s="38"/>
      <c r="M9" s="38"/>
    </row>
    <row r="10">
      <c r="A10" s="24">
        <f>IFERROR(__xludf.DUMMYFUNCTION("""COMPUTED_VALUE"""),108.0)</f>
        <v>108</v>
      </c>
      <c r="B10" s="2" t="str">
        <f>IFERROR(__xludf.DUMMYFUNCTION("""COMPUTED_VALUE"""),"Wavre")</f>
        <v>Wavre</v>
      </c>
      <c r="C10" s="2" t="str">
        <f>IFERROR(__xludf.DUMMYFUNCTION("""COMPUTED_VALUE"""),"Grez-Doiceau 3")</f>
        <v>Grez-Doiceau 3</v>
      </c>
      <c r="D10" s="2" t="str">
        <f>IFERROR(__xludf.DUMMYFUNCTION("""COMPUTED_VALUE"""),"N25 entrée Wavre")</f>
        <v>N25 entrée Wavre</v>
      </c>
      <c r="E10" s="2" t="str">
        <f>IFERROR(__xludf.DUMMYFUNCTION("""COMPUTED_VALUE"""),"Grez")</f>
        <v>Grez</v>
      </c>
      <c r="F10" s="2" t="str">
        <f>IFERROR(__xludf.DUMMYFUNCTION("""COMPUTED_VALUE"""),"Wavre")</f>
        <v>Wavre</v>
      </c>
      <c r="G10" s="2" t="str">
        <f>IFERROR(__xludf.DUMMYFUNCTION("""COMPUTED_VALUE"""),"Brabant-Wallon")</f>
        <v>Brabant-Wallon</v>
      </c>
      <c r="H10" s="24" t="str">
        <f>IFERROR(__xludf.DUMMYFUNCTION("""COMPUTED_VALUE"""),"50.708324, 4.638655")</f>
        <v>50.708324, 4.638655</v>
      </c>
      <c r="I10" s="60" t="str">
        <f>IFERROR(__xludf.DUMMYFUNCTION("""COMPUTED_VALUE"""),"https://remorquepublicitaire.be/remorque/108")</f>
        <v>https://remorquepublicitaire.be/remorque/108</v>
      </c>
      <c r="J10" s="38"/>
      <c r="K10" s="38"/>
      <c r="L10" s="38"/>
      <c r="M10" s="38"/>
    </row>
    <row r="11">
      <c r="A11" s="24">
        <f>IFERROR(__xludf.DUMMYFUNCTION("""COMPUTED_VALUE"""),109.0)</f>
        <v>109</v>
      </c>
      <c r="B11" s="2" t="str">
        <f>IFERROR(__xludf.DUMMYFUNCTION("""COMPUTED_VALUE"""),"Jodoigne")</f>
        <v>Jodoigne</v>
      </c>
      <c r="C11" s="2" t="str">
        <f>IFERROR(__xludf.DUMMYFUNCTION("""COMPUTED_VALUE"""),"Mélin")</f>
        <v>Mélin</v>
      </c>
      <c r="D11" s="2" t="str">
        <f>IFERROR(__xludf.DUMMYFUNCTION("""COMPUTED_VALUE"""),"N240 - Beauvechain-Jodoigne")</f>
        <v>N240 - Beauvechain-Jodoigne</v>
      </c>
      <c r="E11" s="2" t="str">
        <f>IFERROR(__xludf.DUMMYFUNCTION("""COMPUTED_VALUE"""),"Beauvechain")</f>
        <v>Beauvechain</v>
      </c>
      <c r="F11" s="2" t="str">
        <f>IFERROR(__xludf.DUMMYFUNCTION("""COMPUTED_VALUE"""),"Jodoigne")</f>
        <v>Jodoigne</v>
      </c>
      <c r="G11" s="2" t="str">
        <f>IFERROR(__xludf.DUMMYFUNCTION("""COMPUTED_VALUE"""),"Brabant-Wallon")</f>
        <v>Brabant-Wallon</v>
      </c>
      <c r="H11" s="24" t="str">
        <f>IFERROR(__xludf.DUMMYFUNCTION("""COMPUTED_VALUE"""),"50.7380474, 4.7902295")</f>
        <v>50.7380474, 4.7902295</v>
      </c>
      <c r="I11" s="60" t="str">
        <f>IFERROR(__xludf.DUMMYFUNCTION("""COMPUTED_VALUE"""),"https://remorquepublicitaire.be/remorque/109")</f>
        <v>https://remorquepublicitaire.be/remorque/109</v>
      </c>
      <c r="J11" s="38"/>
      <c r="K11" s="58"/>
      <c r="L11" s="38"/>
      <c r="M11" s="38"/>
    </row>
    <row r="12">
      <c r="A12" s="24">
        <f>IFERROR(__xludf.DUMMYFUNCTION("""COMPUTED_VALUE"""),110.0)</f>
        <v>110</v>
      </c>
      <c r="B12" s="2" t="str">
        <f>IFERROR(__xludf.DUMMYFUNCTION("""COMPUTED_VALUE"""),"Jodoigne")</f>
        <v>Jodoigne</v>
      </c>
      <c r="C12" s="2" t="str">
        <f>IFERROR(__xludf.DUMMYFUNCTION("""COMPUTED_VALUE"""),"Entree Jodoigne")</f>
        <v>Entree Jodoigne</v>
      </c>
      <c r="D12" s="2" t="str">
        <f>IFERROR(__xludf.DUMMYFUNCTION("""COMPUTED_VALUE"""),"N29 Chée de Tirlemont")</f>
        <v>N29 Chée de Tirlemont</v>
      </c>
      <c r="E12" s="2" t="str">
        <f>IFERROR(__xludf.DUMMYFUNCTION("""COMPUTED_VALUE"""),"Tirlemont")</f>
        <v>Tirlemont</v>
      </c>
      <c r="F12" s="2" t="str">
        <f>IFERROR(__xludf.DUMMYFUNCTION("""COMPUTED_VALUE"""),"Jodoigne")</f>
        <v>Jodoigne</v>
      </c>
      <c r="G12" s="2" t="str">
        <f>IFERROR(__xludf.DUMMYFUNCTION("""COMPUTED_VALUE"""),"Brabant-Wallon")</f>
        <v>Brabant-Wallon</v>
      </c>
      <c r="H12" s="24" t="str">
        <f>IFERROR(__xludf.DUMMYFUNCTION("""COMPUTED_VALUE"""),"50.7400852, 4.8803971")</f>
        <v>50.7400852, 4.8803971</v>
      </c>
      <c r="I12" s="60" t="str">
        <f>IFERROR(__xludf.DUMMYFUNCTION("""COMPUTED_VALUE"""),"https://remorquepublicitaire.be/remorque/110")</f>
        <v>https://remorquepublicitaire.be/remorque/110</v>
      </c>
      <c r="J12" s="38"/>
      <c r="K12" s="42"/>
      <c r="L12" s="38"/>
      <c r="M12" s="38"/>
    </row>
    <row r="13">
      <c r="A13" s="24">
        <f>IFERROR(__xludf.DUMMYFUNCTION("""COMPUTED_VALUE"""),111.0)</f>
        <v>111</v>
      </c>
      <c r="B13" s="2" t="str">
        <f>IFERROR(__xludf.DUMMYFUNCTION("""COMPUTED_VALUE"""),"Beauvechain")</f>
        <v>Beauvechain</v>
      </c>
      <c r="C13" s="2" t="str">
        <f>IFERROR(__xludf.DUMMYFUNCTION("""COMPUTED_VALUE"""),"Nodebais")</f>
        <v>Nodebais</v>
      </c>
      <c r="D13" s="2" t="str">
        <f>IFERROR(__xludf.DUMMYFUNCTION("""COMPUTED_VALUE"""),"N91 Hamme Mille - Beauvechain")</f>
        <v>N91 Hamme Mille - Beauvechain</v>
      </c>
      <c r="E13" s="2" t="str">
        <f>IFERROR(__xludf.DUMMYFUNCTION("""COMPUTED_VALUE"""),"Hamme")</f>
        <v>Hamme</v>
      </c>
      <c r="F13" s="2" t="str">
        <f>IFERROR(__xludf.DUMMYFUNCTION("""COMPUTED_VALUE"""),"Éghezée")</f>
        <v>Éghezée</v>
      </c>
      <c r="G13" s="2" t="str">
        <f>IFERROR(__xludf.DUMMYFUNCTION("""COMPUTED_VALUE"""),"Brabant-Wallon")</f>
        <v>Brabant-Wallon</v>
      </c>
      <c r="H13" s="24" t="str">
        <f>IFERROR(__xludf.DUMMYFUNCTION("""COMPUTED_VALUE"""),"50.7500607, 4.7479605")</f>
        <v>50.7500607, 4.7479605</v>
      </c>
      <c r="I13" s="60" t="str">
        <f>IFERROR(__xludf.DUMMYFUNCTION("""COMPUTED_VALUE"""),"https://remorquepublicitaire.be/remorque/111")</f>
        <v>https://remorquepublicitaire.be/remorque/111</v>
      </c>
      <c r="J13" s="38"/>
      <c r="K13" s="38"/>
      <c r="L13" s="38"/>
      <c r="M13" s="38"/>
    </row>
    <row r="14">
      <c r="A14" s="24">
        <f>IFERROR(__xludf.DUMMYFUNCTION("""COMPUTED_VALUE"""),112.0)</f>
        <v>112</v>
      </c>
      <c r="B14" s="2" t="str">
        <f>IFERROR(__xludf.DUMMYFUNCTION("""COMPUTED_VALUE"""),"Incourt")</f>
        <v>Incourt</v>
      </c>
      <c r="C14" s="2" t="str">
        <f>IFERROR(__xludf.DUMMYFUNCTION("""COMPUTED_VALUE"""),"Incourt")</f>
        <v>Incourt</v>
      </c>
      <c r="D14" s="38" t="str">
        <f>IFERROR(__xludf.DUMMYFUNCTION("""COMPUTED_VALUE"""),"N91 Chée de Namur")</f>
        <v>N91 Chée de Namur</v>
      </c>
      <c r="E14" s="2" t="str">
        <f>IFERROR(__xludf.DUMMYFUNCTION("""COMPUTED_VALUE"""),"Éghezée")</f>
        <v>Éghezée</v>
      </c>
      <c r="F14" s="2" t="str">
        <f>IFERROR(__xludf.DUMMYFUNCTION("""COMPUTED_VALUE"""),"Louvain")</f>
        <v>Louvain</v>
      </c>
      <c r="G14" s="2" t="str">
        <f>IFERROR(__xludf.DUMMYFUNCTION("""COMPUTED_VALUE"""),"Brabant-Wallon")</f>
        <v>Brabant-Wallon</v>
      </c>
      <c r="H14" s="24" t="str">
        <f>IFERROR(__xludf.DUMMYFUNCTION("""COMPUTED_VALUE"""),"50.672514, 4.824268")</f>
        <v>50.672514, 4.824268</v>
      </c>
      <c r="I14" s="60" t="str">
        <f>IFERROR(__xludf.DUMMYFUNCTION("""COMPUTED_VALUE"""),"https://remorquepublicitaire.be/remorque/112")</f>
        <v>https://remorquepublicitaire.be/remorque/112</v>
      </c>
      <c r="J14" s="38"/>
      <c r="K14" s="42"/>
      <c r="L14" s="38"/>
      <c r="M14" s="38"/>
    </row>
    <row r="15">
      <c r="A15" s="24">
        <f>IFERROR(__xludf.DUMMYFUNCTION("""COMPUTED_VALUE"""),113.0)</f>
        <v>113</v>
      </c>
      <c r="B15" s="2" t="str">
        <f>IFERROR(__xludf.DUMMYFUNCTION("""COMPUTED_VALUE"""),"Perwez")</f>
        <v>Perwez</v>
      </c>
      <c r="C15" s="2" t="str">
        <f>IFERROR(__xludf.DUMMYFUNCTION("""COMPUTED_VALUE"""),"Perwez")</f>
        <v>Perwez</v>
      </c>
      <c r="D15" s="2" t="str">
        <f>IFERROR(__xludf.DUMMYFUNCTION("""COMPUTED_VALUE"""),"N29 Chée de Charleroi")</f>
        <v>N29 Chée de Charleroi</v>
      </c>
      <c r="E15" s="2" t="str">
        <f>IFERROR(__xludf.DUMMYFUNCTION("""COMPUTED_VALUE"""),"E411")</f>
        <v>E411</v>
      </c>
      <c r="F15" s="2" t="str">
        <f>IFERROR(__xludf.DUMMYFUNCTION("""COMPUTED_VALUE"""),"Jodoigne")</f>
        <v>Jodoigne</v>
      </c>
      <c r="G15" s="2" t="str">
        <f>IFERROR(__xludf.DUMMYFUNCTION("""COMPUTED_VALUE"""),"Brabant-Wallon")</f>
        <v>Brabant-Wallon</v>
      </c>
      <c r="H15" s="24" t="str">
        <f>IFERROR(__xludf.DUMMYFUNCTION("""COMPUTED_VALUE"""),"50.643443, 4.788775")</f>
        <v>50.643443, 4.788775</v>
      </c>
      <c r="I15" s="60" t="str">
        <f>IFERROR(__xludf.DUMMYFUNCTION("""COMPUTED_VALUE"""),"https://remorquepublicitaire.be/remorque/113")</f>
        <v>https://remorquepublicitaire.be/remorque/113</v>
      </c>
      <c r="J15" s="38"/>
      <c r="K15" s="38"/>
      <c r="L15" s="38"/>
      <c r="M15" s="38"/>
    </row>
    <row r="16">
      <c r="A16" s="24">
        <f>IFERROR(__xludf.DUMMYFUNCTION("""COMPUTED_VALUE"""),114.0)</f>
        <v>114</v>
      </c>
      <c r="B16" s="2" t="str">
        <f>IFERROR(__xludf.DUMMYFUNCTION("""COMPUTED_VALUE"""),"Perwez")</f>
        <v>Perwez</v>
      </c>
      <c r="C16" s="2" t="str">
        <f>IFERROR(__xludf.DUMMYFUNCTION("""COMPUTED_VALUE"""),"Sortie E411")</f>
        <v>Sortie E411</v>
      </c>
      <c r="D16" s="2" t="str">
        <f>IFERROR(__xludf.DUMMYFUNCTION("""COMPUTED_VALUE"""),"N29 Chée de Charleroi")</f>
        <v>N29 Chée de Charleroi</v>
      </c>
      <c r="E16" s="2" t="str">
        <f>IFERROR(__xludf.DUMMYFUNCTION("""COMPUTED_VALUE"""),"Jodoigne")</f>
        <v>Jodoigne</v>
      </c>
      <c r="F16" s="2" t="str">
        <f>IFERROR(__xludf.DUMMYFUNCTION("""COMPUTED_VALUE"""),"E411")</f>
        <v>E411</v>
      </c>
      <c r="G16" s="2" t="str">
        <f>IFERROR(__xludf.DUMMYFUNCTION("""COMPUTED_VALUE"""),"Brabant-Wallon")</f>
        <v>Brabant-Wallon</v>
      </c>
      <c r="H16" s="24" t="str">
        <f>IFERROR(__xludf.DUMMYFUNCTION("""COMPUTED_VALUE"""),"50.62679, 4.76756")</f>
        <v>50.62679, 4.76756</v>
      </c>
      <c r="I16" s="60" t="str">
        <f>IFERROR(__xludf.DUMMYFUNCTION("""COMPUTED_VALUE"""),"https://remorquepublicitaire.be/remorque/114")</f>
        <v>https://remorquepublicitaire.be/remorque/114</v>
      </c>
      <c r="J16" s="38"/>
      <c r="K16" s="38"/>
      <c r="L16" s="38"/>
      <c r="M16" s="38"/>
    </row>
    <row r="17">
      <c r="A17" s="24">
        <f>IFERROR(__xludf.DUMMYFUNCTION("""COMPUTED_VALUE"""),201.0)</f>
        <v>201</v>
      </c>
      <c r="B17" s="2" t="str">
        <f>IFERROR(__xludf.DUMMYFUNCTION("""COMPUTED_VALUE"""),"Hannut")</f>
        <v>Hannut</v>
      </c>
      <c r="C17" s="2" t="str">
        <f>IFERROR(__xludf.DUMMYFUNCTION("""COMPUTED_VALUE"""),"Hannut-Saint Trond")</f>
        <v>Hannut-Saint Trond</v>
      </c>
      <c r="D17" s="2" t="str">
        <f>IFERROR(__xludf.DUMMYFUNCTION("""COMPUTED_VALUE"""),"N80 vers Landen")</f>
        <v>N80 vers Landen</v>
      </c>
      <c r="E17" s="2" t="str">
        <f>IFERROR(__xludf.DUMMYFUNCTION("""COMPUTED_VALUE"""),"Saint-Trond")</f>
        <v>Saint-Trond</v>
      </c>
      <c r="F17" s="2" t="str">
        <f>IFERROR(__xludf.DUMMYFUNCTION("""COMPUTED_VALUE"""),"Hannut")</f>
        <v>Hannut</v>
      </c>
      <c r="G17" s="2" t="str">
        <f>IFERROR(__xludf.DUMMYFUNCTION("""COMPUTED_VALUE"""),"Liège")</f>
        <v>Liège</v>
      </c>
      <c r="H17" s="24" t="str">
        <f>IFERROR(__xludf.DUMMYFUNCTION("""COMPUTED_VALUE"""),"50.687542, 5.082269")</f>
        <v>50.687542, 5.082269</v>
      </c>
      <c r="I17" s="60" t="str">
        <f>IFERROR(__xludf.DUMMYFUNCTION("""COMPUTED_VALUE"""),"https://remorquepublicitaire.be/remorque/201")</f>
        <v>https://remorquepublicitaire.be/remorque/201</v>
      </c>
      <c r="J17" s="38"/>
      <c r="K17" s="38"/>
      <c r="L17" s="38"/>
      <c r="M17" s="38"/>
    </row>
    <row r="18">
      <c r="A18" s="24">
        <f>IFERROR(__xludf.DUMMYFUNCTION("""COMPUTED_VALUE"""),202.0)</f>
        <v>202</v>
      </c>
      <c r="B18" s="2" t="str">
        <f>IFERROR(__xludf.DUMMYFUNCTION("""COMPUTED_VALUE"""),"Hannut")</f>
        <v>Hannut</v>
      </c>
      <c r="C18" s="2" t="str">
        <f>IFERROR(__xludf.DUMMYFUNCTION("""COMPUTED_VALUE"""),"Braives")</f>
        <v>Braives</v>
      </c>
      <c r="D18" s="2" t="str">
        <f>IFERROR(__xludf.DUMMYFUNCTION("""COMPUTED_VALUE"""),"N64 Chée de Tirlemont")</f>
        <v>N64 Chée de Tirlemont</v>
      </c>
      <c r="E18" s="2" t="str">
        <f>IFERROR(__xludf.DUMMYFUNCTION("""COMPUTED_VALUE"""),"E42")</f>
        <v>E42</v>
      </c>
      <c r="F18" s="2" t="str">
        <f>IFERROR(__xludf.DUMMYFUNCTION("""COMPUTED_VALUE"""),"Hannut")</f>
        <v>Hannut</v>
      </c>
      <c r="G18" s="2" t="str">
        <f>IFERROR(__xludf.DUMMYFUNCTION("""COMPUTED_VALUE"""),"Liège")</f>
        <v>Liège</v>
      </c>
      <c r="H18" s="24" t="str">
        <f>IFERROR(__xludf.DUMMYFUNCTION("""COMPUTED_VALUE"""),"50.614977, 5.190269")</f>
        <v>50.614977, 5.190269</v>
      </c>
      <c r="I18" s="60" t="str">
        <f>IFERROR(__xludf.DUMMYFUNCTION("""COMPUTED_VALUE"""),"https://remorquepublicitaire.be/remorque/202")</f>
        <v>https://remorquepublicitaire.be/remorque/202</v>
      </c>
      <c r="J18" s="42"/>
      <c r="K18" s="38"/>
      <c r="L18" s="38"/>
      <c r="M18" s="38"/>
    </row>
    <row r="19">
      <c r="A19" s="24">
        <f>IFERROR(__xludf.DUMMYFUNCTION("""COMPUTED_VALUE"""),203.0)</f>
        <v>203</v>
      </c>
      <c r="B19" s="2" t="str">
        <f>IFERROR(__xludf.DUMMYFUNCTION("""COMPUTED_VALUE"""),"Huy")</f>
        <v>Huy</v>
      </c>
      <c r="C19" s="2" t="str">
        <f>IFERROR(__xludf.DUMMYFUNCTION("""COMPUTED_VALUE"""),"Wanze")</f>
        <v>Wanze</v>
      </c>
      <c r="D19" s="2" t="str">
        <f>IFERROR(__xludf.DUMMYFUNCTION("""COMPUTED_VALUE"""),"N643 vers Wanze")</f>
        <v>N643 vers Wanze</v>
      </c>
      <c r="E19" s="2" t="str">
        <f>IFERROR(__xludf.DUMMYFUNCTION("""COMPUTED_VALUE"""),"E42")</f>
        <v>E42</v>
      </c>
      <c r="F19" s="2" t="str">
        <f>IFERROR(__xludf.DUMMYFUNCTION("""COMPUTED_VALUE"""),"Éghezée")</f>
        <v>Éghezée</v>
      </c>
      <c r="G19" s="2" t="str">
        <f>IFERROR(__xludf.DUMMYFUNCTION("""COMPUTED_VALUE"""),"Liège")</f>
        <v>Liège</v>
      </c>
      <c r="H19" s="24" t="str">
        <f>IFERROR(__xludf.DUMMYFUNCTION("""COMPUTED_VALUE"""),"50.538610, 5.187968")</f>
        <v>50.538610, 5.187968</v>
      </c>
      <c r="I19" s="60" t="str">
        <f>IFERROR(__xludf.DUMMYFUNCTION("""COMPUTED_VALUE"""),"https://remorquepublicitaire.be/remorque/203")</f>
        <v>https://remorquepublicitaire.be/remorque/203</v>
      </c>
      <c r="J19" s="38"/>
      <c r="K19" s="38"/>
      <c r="L19" s="38"/>
      <c r="M19" s="38"/>
    </row>
    <row r="20">
      <c r="A20" s="24">
        <f>IFERROR(__xludf.DUMMYFUNCTION("""COMPUTED_VALUE"""),204.0)</f>
        <v>204</v>
      </c>
      <c r="B20" s="2" t="str">
        <f>IFERROR(__xludf.DUMMYFUNCTION("""COMPUTED_VALUE"""),"Huy")</f>
        <v>Huy</v>
      </c>
      <c r="C20" s="2" t="str">
        <f>IFERROR(__xludf.DUMMYFUNCTION("""COMPUTED_VALUE"""),"Vinalmont")</f>
        <v>Vinalmont</v>
      </c>
      <c r="D20" s="2" t="str">
        <f>IFERROR(__xludf.DUMMYFUNCTION("""COMPUTED_VALUE"""),"N64 Chée de Tirlemont")</f>
        <v>N64 Chée de Tirlemont</v>
      </c>
      <c r="E20" s="2" t="str">
        <f>IFERROR(__xludf.DUMMYFUNCTION("""COMPUTED_VALUE"""),"E42")</f>
        <v>E42</v>
      </c>
      <c r="F20" s="2" t="str">
        <f>IFERROR(__xludf.DUMMYFUNCTION("""COMPUTED_VALUE"""),"Huy")</f>
        <v>Huy</v>
      </c>
      <c r="G20" s="2" t="str">
        <f>IFERROR(__xludf.DUMMYFUNCTION("""COMPUTED_VALUE"""),"Liège")</f>
        <v>Liège</v>
      </c>
      <c r="H20" s="24" t="str">
        <f>IFERROR(__xludf.DUMMYFUNCTION("""COMPUTED_VALUE"""),"50.5558925, 5.225375")</f>
        <v>50.5558925, 5.225375</v>
      </c>
      <c r="I20" s="60" t="str">
        <f>IFERROR(__xludf.DUMMYFUNCTION("""COMPUTED_VALUE"""),"https://remorquepublicitaire.be/remorque/204")</f>
        <v>https://remorquepublicitaire.be/remorque/204</v>
      </c>
      <c r="J20" s="38"/>
      <c r="K20" s="38"/>
      <c r="L20" s="38"/>
      <c r="M20" s="38"/>
    </row>
    <row r="21">
      <c r="A21" s="24">
        <f>IFERROR(__xludf.DUMMYFUNCTION("""COMPUTED_VALUE"""),205.0)</f>
        <v>205</v>
      </c>
      <c r="B21" s="2" t="str">
        <f>IFERROR(__xludf.DUMMYFUNCTION("""COMPUTED_VALUE"""),"Huy")</f>
        <v>Huy</v>
      </c>
      <c r="C21" s="2" t="str">
        <f>IFERROR(__xludf.DUMMYFUNCTION("""COMPUTED_VALUE"""),"Villers-Le-Bouillet")</f>
        <v>Villers-Le-Bouillet</v>
      </c>
      <c r="D21" s="2" t="str">
        <f>IFERROR(__xludf.DUMMYFUNCTION("""COMPUTED_VALUE"""),"N684 Rue de Tihange")</f>
        <v>N684 Rue de Tihange</v>
      </c>
      <c r="E21" s="2" t="str">
        <f>IFERROR(__xludf.DUMMYFUNCTION("""COMPUTED_VALUE"""),"E42")</f>
        <v>E42</v>
      </c>
      <c r="F21" s="2" t="str">
        <f>IFERROR(__xludf.DUMMYFUNCTION("""COMPUTED_VALUE"""),"Huy")</f>
        <v>Huy</v>
      </c>
      <c r="G21" s="2" t="str">
        <f>IFERROR(__xludf.DUMMYFUNCTION("""COMPUTED_VALUE"""),"Liège")</f>
        <v>Liège</v>
      </c>
      <c r="H21" s="24" t="str">
        <f>IFERROR(__xludf.DUMMYFUNCTION("""COMPUTED_VALUE"""),"50.5785938, 5.2787161")</f>
        <v>50.5785938, 5.2787161</v>
      </c>
      <c r="I21" s="60" t="str">
        <f>IFERROR(__xludf.DUMMYFUNCTION("""COMPUTED_VALUE"""),"https://remorquepublicitaire.be/remorque/205")</f>
        <v>https://remorquepublicitaire.be/remorque/205</v>
      </c>
      <c r="J21" s="38"/>
      <c r="K21" s="38"/>
      <c r="L21" s="38"/>
      <c r="M21" s="38"/>
    </row>
    <row r="22">
      <c r="A22" s="24">
        <f>IFERROR(__xludf.DUMMYFUNCTION("""COMPUTED_VALUE"""),206.0)</f>
        <v>206</v>
      </c>
      <c r="B22" s="2" t="str">
        <f>IFERROR(__xludf.DUMMYFUNCTION("""COMPUTED_VALUE"""),"Huy")</f>
        <v>Huy</v>
      </c>
      <c r="C22" s="2" t="str">
        <f>IFERROR(__xludf.DUMMYFUNCTION("""COMPUTED_VALUE"""),"Ombret")</f>
        <v>Ombret</v>
      </c>
      <c r="D22" s="2" t="str">
        <f>IFERROR(__xludf.DUMMYFUNCTION("""COMPUTED_VALUE"""),"N90 Huy-Liège")</f>
        <v>N90 Huy-Liège</v>
      </c>
      <c r="E22" s="2" t="str">
        <f>IFERROR(__xludf.DUMMYFUNCTION("""COMPUTED_VALUE"""),"Huy")</f>
        <v>Huy</v>
      </c>
      <c r="F22" s="2" t="str">
        <f>IFERROR(__xludf.DUMMYFUNCTION("""COMPUTED_VALUE"""),"Seraing")</f>
        <v>Seraing</v>
      </c>
      <c r="G22" s="2" t="str">
        <f>IFERROR(__xludf.DUMMYFUNCTION("""COMPUTED_VALUE"""),"Liège")</f>
        <v>Liège</v>
      </c>
      <c r="H22" s="24" t="str">
        <f>IFERROR(__xludf.DUMMYFUNCTION("""COMPUTED_VALUE"""),"50.5552874, 5.342853")</f>
        <v>50.5552874, 5.342853</v>
      </c>
      <c r="I22" s="60" t="str">
        <f>IFERROR(__xludf.DUMMYFUNCTION("""COMPUTED_VALUE"""),"https://remorquepublicitaire.be/remorque/206")</f>
        <v>https://remorquepublicitaire.be/remorque/206</v>
      </c>
      <c r="J22" s="58"/>
      <c r="K22" s="38"/>
      <c r="L22" s="38"/>
      <c r="M22" s="38"/>
    </row>
    <row r="23">
      <c r="A23" s="24">
        <f>IFERROR(__xludf.DUMMYFUNCTION("""COMPUTED_VALUE"""),207.0)</f>
        <v>207</v>
      </c>
      <c r="B23" s="2" t="str">
        <f>IFERROR(__xludf.DUMMYFUNCTION("""COMPUTED_VALUE"""),"Huy")</f>
        <v>Huy</v>
      </c>
      <c r="C23" s="2" t="str">
        <f>IFERROR(__xludf.DUMMYFUNCTION("""COMPUTED_VALUE"""),"Solière")</f>
        <v>Solière</v>
      </c>
      <c r="D23" s="2" t="str">
        <f>IFERROR(__xludf.DUMMYFUNCTION("""COMPUTED_VALUE"""),"N698 Chée de Dinant")</f>
        <v>N698 Chée de Dinant</v>
      </c>
      <c r="E23" s="2" t="str">
        <f>IFERROR(__xludf.DUMMYFUNCTION("""COMPUTED_VALUE"""),"Huy")</f>
        <v>Huy</v>
      </c>
      <c r="F23" s="2" t="str">
        <f>IFERROR(__xludf.DUMMYFUNCTION("""COMPUTED_VALUE"""),"Ohey")</f>
        <v>Ohey</v>
      </c>
      <c r="G23" s="2" t="str">
        <f>IFERROR(__xludf.DUMMYFUNCTION("""COMPUTED_VALUE"""),"Liège")</f>
        <v>Liège</v>
      </c>
      <c r="H23" s="24" t="str">
        <f>IFERROR(__xludf.DUMMYFUNCTION("""COMPUTED_VALUE"""),"50.504966, 5.2134954")</f>
        <v>50.504966, 5.2134954</v>
      </c>
      <c r="I23" s="60" t="str">
        <f>IFERROR(__xludf.DUMMYFUNCTION("""COMPUTED_VALUE"""),"https://remorquepublicitaire.be/remorque/207")</f>
        <v>https://remorquepublicitaire.be/remorque/207</v>
      </c>
      <c r="J23" s="42"/>
      <c r="K23" s="38"/>
      <c r="L23" s="38"/>
      <c r="M23" s="38"/>
    </row>
    <row r="24">
      <c r="A24" s="24">
        <f>IFERROR(__xludf.DUMMYFUNCTION("""COMPUTED_VALUE"""),208.0)</f>
        <v>208</v>
      </c>
      <c r="B24" s="2" t="str">
        <f>IFERROR(__xludf.DUMMYFUNCTION("""COMPUTED_VALUE"""),"Huy")</f>
        <v>Huy</v>
      </c>
      <c r="C24" s="2" t="str">
        <f>IFERROR(__xludf.DUMMYFUNCTION("""COMPUTED_VALUE"""),"Tihange")</f>
        <v>Tihange</v>
      </c>
      <c r="D24" s="2" t="str">
        <f>IFERROR(__xludf.DUMMYFUNCTION("""COMPUTED_VALUE"""),"N66 route de Hamoir")</f>
        <v>N66 route de Hamoir</v>
      </c>
      <c r="E24" s="2" t="str">
        <f>IFERROR(__xludf.DUMMYFUNCTION("""COMPUTED_VALUE"""),"Huy")</f>
        <v>Huy</v>
      </c>
      <c r="F24" s="2" t="str">
        <f>IFERROR(__xludf.DUMMYFUNCTION("""COMPUTED_VALUE"""),"Hamoir")</f>
        <v>Hamoir</v>
      </c>
      <c r="G24" s="2" t="str">
        <f>IFERROR(__xludf.DUMMYFUNCTION("""COMPUTED_VALUE"""),"Liège")</f>
        <v>Liège</v>
      </c>
      <c r="H24" s="24" t="str">
        <f>IFERROR(__xludf.DUMMYFUNCTION("""COMPUTED_VALUE"""),"50.5025811, 5.2823786")</f>
        <v>50.5025811, 5.2823786</v>
      </c>
      <c r="I24" s="60" t="str">
        <f>IFERROR(__xludf.DUMMYFUNCTION("""COMPUTED_VALUE"""),"https://remorquepublicitaire.be/remorque/208")</f>
        <v>https://remorquepublicitaire.be/remorque/208</v>
      </c>
      <c r="J24" s="38"/>
      <c r="K24" s="58"/>
      <c r="L24" s="38"/>
      <c r="M24" s="38"/>
    </row>
    <row r="25">
      <c r="A25" s="24">
        <f>IFERROR(__xludf.DUMMYFUNCTION("""COMPUTED_VALUE"""),209.0)</f>
        <v>209</v>
      </c>
      <c r="B25" s="2" t="str">
        <f>IFERROR(__xludf.DUMMYFUNCTION("""COMPUTED_VALUE"""),"Huy")</f>
        <v>Huy</v>
      </c>
      <c r="C25" s="2" t="str">
        <f>IFERROR(__xludf.DUMMYFUNCTION("""COMPUTED_VALUE"""),"Pont de bonne")</f>
        <v>Pont de bonne</v>
      </c>
      <c r="D25" s="2" t="str">
        <f>IFERROR(__xludf.DUMMYFUNCTION("""COMPUTED_VALUE"""),"N641 Huy-Havelange")</f>
        <v>N641 Huy-Havelange</v>
      </c>
      <c r="E25" s="2" t="str">
        <f>IFERROR(__xludf.DUMMYFUNCTION("""COMPUTED_VALUE"""),"Huy")</f>
        <v>Huy</v>
      </c>
      <c r="F25" s="2" t="str">
        <f>IFERROR(__xludf.DUMMYFUNCTION("""COMPUTED_VALUE"""),"Havelange")</f>
        <v>Havelange</v>
      </c>
      <c r="G25" s="2" t="str">
        <f>IFERROR(__xludf.DUMMYFUNCTION("""COMPUTED_VALUE"""),"Liège")</f>
        <v>Liège</v>
      </c>
      <c r="H25" s="24" t="str">
        <f>IFERROR(__xludf.DUMMYFUNCTION("""COMPUTED_VALUE"""),"50.4558408, 5.2838123")</f>
        <v>50.4558408, 5.2838123</v>
      </c>
      <c r="I25" s="60" t="str">
        <f>IFERROR(__xludf.DUMMYFUNCTION("""COMPUTED_VALUE"""),"https://remorquepublicitaire.be/remorque/209")</f>
        <v>https://remorquepublicitaire.be/remorque/209</v>
      </c>
      <c r="J25" s="38"/>
      <c r="K25" s="38"/>
      <c r="L25" s="38"/>
      <c r="M25" s="38"/>
    </row>
    <row r="26">
      <c r="A26" s="24">
        <f>IFERROR(__xludf.DUMMYFUNCTION("""COMPUTED_VALUE"""),210.0)</f>
        <v>210</v>
      </c>
      <c r="B26" s="2" t="str">
        <f>IFERROR(__xludf.DUMMYFUNCTION("""COMPUTED_VALUE"""),"Huy")</f>
        <v>Huy</v>
      </c>
      <c r="C26" s="2" t="str">
        <f>IFERROR(__xludf.DUMMYFUNCTION("""COMPUTED_VALUE"""),"Nandrin")</f>
        <v>Nandrin</v>
      </c>
      <c r="D26" s="2" t="str">
        <f>IFERROR(__xludf.DUMMYFUNCTION("""COMPUTED_VALUE"""),"N63 route de Liège")</f>
        <v>N63 route de Liège</v>
      </c>
      <c r="E26" s="2" t="str">
        <f>IFERROR(__xludf.DUMMYFUNCTION("""COMPUTED_VALUE"""),"Liege")</f>
        <v>Liege</v>
      </c>
      <c r="F26" s="2" t="str">
        <f>IFERROR(__xludf.DUMMYFUNCTION("""COMPUTED_VALUE"""),"Marche-en-Famenne")</f>
        <v>Marche-en-Famenne</v>
      </c>
      <c r="G26" s="2" t="str">
        <f>IFERROR(__xludf.DUMMYFUNCTION("""COMPUTED_VALUE"""),"Liège")</f>
        <v>Liège</v>
      </c>
      <c r="H26" s="24" t="str">
        <f>IFERROR(__xludf.DUMMYFUNCTION("""COMPUTED_VALUE"""),"50.5373263, 5.4381037")</f>
        <v>50.5373263, 5.4381037</v>
      </c>
      <c r="I26" s="60" t="str">
        <f>IFERROR(__xludf.DUMMYFUNCTION("""COMPUTED_VALUE"""),"https://remorquepublicitaire.be/remorque/210")</f>
        <v>https://remorquepublicitaire.be/remorque/210</v>
      </c>
      <c r="J26" s="38"/>
      <c r="K26" s="38"/>
      <c r="L26" s="38"/>
      <c r="M26" s="38"/>
    </row>
    <row r="27">
      <c r="A27" s="24">
        <f>IFERROR(__xludf.DUMMYFUNCTION("""COMPUTED_VALUE"""),211.0)</f>
        <v>211</v>
      </c>
      <c r="B27" s="2" t="str">
        <f>IFERROR(__xludf.DUMMYFUNCTION("""COMPUTED_VALUE"""),"Huy")</f>
        <v>Huy</v>
      </c>
      <c r="C27" s="2" t="str">
        <f>IFERROR(__xludf.DUMMYFUNCTION("""COMPUTED_VALUE"""),"Soheit-Tinlot")</f>
        <v>Soheit-Tinlot</v>
      </c>
      <c r="D27" s="2" t="str">
        <f>IFERROR(__xludf.DUMMYFUNCTION("""COMPUTED_VALUE"""),"N63 route de Marche")</f>
        <v>N63 route de Marche</v>
      </c>
      <c r="E27" s="2" t="str">
        <f>IFERROR(__xludf.DUMMYFUNCTION("""COMPUTED_VALUE"""),"Liege")</f>
        <v>Liege</v>
      </c>
      <c r="F27" s="2" t="str">
        <f>IFERROR(__xludf.DUMMYFUNCTION("""COMPUTED_VALUE"""),"Marche-en-Famenne")</f>
        <v>Marche-en-Famenne</v>
      </c>
      <c r="G27" s="2" t="str">
        <f>IFERROR(__xludf.DUMMYFUNCTION("""COMPUTED_VALUE"""),"Liège")</f>
        <v>Liège</v>
      </c>
      <c r="H27" s="24" t="str">
        <f>IFERROR(__xludf.DUMMYFUNCTION("""COMPUTED_VALUE"""),"50.4870402, 5.3838211")</f>
        <v>50.4870402, 5.3838211</v>
      </c>
      <c r="I27" s="60" t="str">
        <f>IFERROR(__xludf.DUMMYFUNCTION("""COMPUTED_VALUE"""),"https://remorquepublicitaire.be/remorque/211")</f>
        <v>https://remorquepublicitaire.be/remorque/211</v>
      </c>
      <c r="J27" s="38"/>
      <c r="K27" s="58"/>
      <c r="L27" s="38"/>
      <c r="M27" s="38"/>
    </row>
    <row r="28">
      <c r="A28" s="24">
        <f>IFERROR(__xludf.DUMMYFUNCTION("""COMPUTED_VALUE"""),212.0)</f>
        <v>212</v>
      </c>
      <c r="B28" s="2" t="str">
        <f>IFERROR(__xludf.DUMMYFUNCTION("""COMPUTED_VALUE"""),"Flemalle")</f>
        <v>Flemalle</v>
      </c>
      <c r="C28" s="2" t="str">
        <f>IFERROR(__xludf.DUMMYFUNCTION("""COMPUTED_VALUE"""),"Pont dYvoz-Ramet")</f>
        <v>Pont dYvoz-Ramet</v>
      </c>
      <c r="D28" s="2" t="str">
        <f>IFERROR(__xludf.DUMMYFUNCTION("""COMPUTED_VALUE"""),"N617 Liège - Huy")</f>
        <v>N617 Liège - Huy</v>
      </c>
      <c r="E28" s="2" t="str">
        <f>IFERROR(__xludf.DUMMYFUNCTION("""COMPUTED_VALUE"""),"Huy")</f>
        <v>Huy</v>
      </c>
      <c r="F28" s="2" t="str">
        <f>IFERROR(__xludf.DUMMYFUNCTION("""COMPUTED_VALUE"""),"Liège")</f>
        <v>Liège</v>
      </c>
      <c r="G28" s="2" t="str">
        <f>IFERROR(__xludf.DUMMYFUNCTION("""COMPUTED_VALUE"""),"Liège")</f>
        <v>Liège</v>
      </c>
      <c r="H28" s="24" t="str">
        <f>IFERROR(__xludf.DUMMYFUNCTION("""COMPUTED_VALUE"""),"50.5932003, 5.4586199")</f>
        <v>50.5932003, 5.4586199</v>
      </c>
      <c r="I28" s="60" t="str">
        <f>IFERROR(__xludf.DUMMYFUNCTION("""COMPUTED_VALUE"""),"https://remorquepublicitaire.be/remorque/212")</f>
        <v>https://remorquepublicitaire.be/remorque/212</v>
      </c>
      <c r="J28" s="38"/>
      <c r="K28" s="38"/>
      <c r="L28" s="38"/>
      <c r="M28" s="38"/>
    </row>
    <row r="29">
      <c r="A29" s="24">
        <f>IFERROR(__xludf.DUMMYFUNCTION("""COMPUTED_VALUE"""),213.0)</f>
        <v>213</v>
      </c>
      <c r="B29" s="2" t="str">
        <f>IFERROR(__xludf.DUMMYFUNCTION("""COMPUTED_VALUE"""),"Fexhe-le-Haut-Clocher")</f>
        <v>Fexhe-le-Haut-Clocher</v>
      </c>
      <c r="C29" s="2" t="str">
        <f>IFERROR(__xludf.DUMMYFUNCTION("""COMPUTED_VALUE"""),"Simonis")</f>
        <v>Simonis</v>
      </c>
      <c r="D29" s="2" t="str">
        <f>IFERROR(__xludf.DUMMYFUNCTION("""COMPUTED_VALUE"""),"N637 - Grand Route")</f>
        <v>N637 - Grand Route</v>
      </c>
      <c r="E29" s="2" t="str">
        <f>IFERROR(__xludf.DUMMYFUNCTION("""COMPUTED_VALUE"""),"Bierset")</f>
        <v>Bierset</v>
      </c>
      <c r="F29" s="2" t="str">
        <f>IFERROR(__xludf.DUMMYFUNCTION("""COMPUTED_VALUE"""),"Waremme")</f>
        <v>Waremme</v>
      </c>
      <c r="G29" s="2" t="str">
        <f>IFERROR(__xludf.DUMMYFUNCTION("""COMPUTED_VALUE"""),"Liège")</f>
        <v>Liège</v>
      </c>
      <c r="H29" s="24" t="str">
        <f>IFERROR(__xludf.DUMMYFUNCTION("""COMPUTED_VALUE"""),"50.6576435, 5.3783682")</f>
        <v>50.6576435, 5.3783682</v>
      </c>
      <c r="I29" s="60" t="str">
        <f>IFERROR(__xludf.DUMMYFUNCTION("""COMPUTED_VALUE"""),"https://remorquepublicitaire.be/remorque/213")</f>
        <v>https://remorquepublicitaire.be/remorque/213</v>
      </c>
      <c r="J29" s="38"/>
      <c r="K29" s="38"/>
      <c r="L29" s="38"/>
      <c r="M29" s="38"/>
    </row>
    <row r="30">
      <c r="A30" s="24">
        <f>IFERROR(__xludf.DUMMYFUNCTION("""COMPUTED_VALUE"""),214.0)</f>
        <v>214</v>
      </c>
      <c r="B30" s="2" t="str">
        <f>IFERROR(__xludf.DUMMYFUNCTION("""COMPUTED_VALUE"""),"Fexhe-le-Haut-Clocher")</f>
        <v>Fexhe-le-Haut-Clocher</v>
      </c>
      <c r="C30" s="2" t="str">
        <f>IFERROR(__xludf.DUMMYFUNCTION("""COMPUTED_VALUE"""),"Château d'eau Jeneffe")</f>
        <v>Château d'eau Jeneffe</v>
      </c>
      <c r="D30" s="2" t="str">
        <f>IFERROR(__xludf.DUMMYFUNCTION("""COMPUTED_VALUE"""),"N614 vers E42")</f>
        <v>N614 vers E42</v>
      </c>
      <c r="E30" s="2" t="str">
        <f>IFERROR(__xludf.DUMMYFUNCTION("""COMPUTED_VALUE"""),"Amay")</f>
        <v>Amay</v>
      </c>
      <c r="F30" s="2" t="str">
        <f>IFERROR(__xludf.DUMMYFUNCTION("""COMPUTED_VALUE"""),"Tongres")</f>
        <v>Tongres</v>
      </c>
      <c r="G30" s="2" t="str">
        <f>IFERROR(__xludf.DUMMYFUNCTION("""COMPUTED_VALUE"""),"Liège")</f>
        <v>Liège</v>
      </c>
      <c r="H30" s="24" t="str">
        <f>IFERROR(__xludf.DUMMYFUNCTION("""COMPUTED_VALUE"""),"50.645330, 5.370009")</f>
        <v>50.645330, 5.370009</v>
      </c>
      <c r="I30" s="60" t="str">
        <f>IFERROR(__xludf.DUMMYFUNCTION("""COMPUTED_VALUE"""),"https://remorquepublicitaire.be/remorque/214")</f>
        <v>https://remorquepublicitaire.be/remorque/214</v>
      </c>
      <c r="J30" s="38"/>
      <c r="K30" s="38"/>
      <c r="L30" s="38"/>
      <c r="M30" s="38"/>
    </row>
    <row r="31">
      <c r="A31" s="24">
        <f>IFERROR(__xludf.DUMMYFUNCTION("""COMPUTED_VALUE"""),215.0)</f>
        <v>215</v>
      </c>
      <c r="B31" s="2" t="str">
        <f>IFERROR(__xludf.DUMMYFUNCTION("""COMPUTED_VALUE"""),"Fexhe-le-Haut-Clocher")</f>
        <v>Fexhe-le-Haut-Clocher</v>
      </c>
      <c r="C31" s="2" t="str">
        <f>IFERROR(__xludf.DUMMYFUNCTION("""COMPUTED_VALUE"""),"Noville")</f>
        <v>Noville</v>
      </c>
      <c r="D31" s="2" t="str">
        <f>IFERROR(__xludf.DUMMYFUNCTION("""COMPUTED_VALUE"""),"N614 vers E40")</f>
        <v>N614 vers E40</v>
      </c>
      <c r="E31" s="2" t="str">
        <f>IFERROR(__xludf.DUMMYFUNCTION("""COMPUTED_VALUE"""),"E40")</f>
        <v>E40</v>
      </c>
      <c r="F31" s="2" t="str">
        <f>IFERROR(__xludf.DUMMYFUNCTION("""COMPUTED_VALUE"""),"Amay")</f>
        <v>Amay</v>
      </c>
      <c r="G31" s="2" t="str">
        <f>IFERROR(__xludf.DUMMYFUNCTION("""COMPUTED_VALUE"""),"Liège")</f>
        <v>Liège</v>
      </c>
      <c r="H31" s="24" t="str">
        <f>IFERROR(__xludf.DUMMYFUNCTION("""COMPUTED_VALUE"""),"50.6631185, 5.3803397")</f>
        <v>50.6631185, 5.3803397</v>
      </c>
      <c r="I31" s="60" t="str">
        <f>IFERROR(__xludf.DUMMYFUNCTION("""COMPUTED_VALUE"""),"https://remorquepublicitaire.be/remorque/215")</f>
        <v>https://remorquepublicitaire.be/remorque/215</v>
      </c>
      <c r="J31" s="38"/>
      <c r="K31" s="38"/>
      <c r="L31" s="38"/>
      <c r="M31" s="38"/>
    </row>
    <row r="32">
      <c r="A32" s="24">
        <f>IFERROR(__xludf.DUMMYFUNCTION("""COMPUTED_VALUE"""),216.0)</f>
        <v>216</v>
      </c>
      <c r="B32" s="2" t="str">
        <f>IFERROR(__xludf.DUMMYFUNCTION("""COMPUTED_VALUE"""),"Waremme")</f>
        <v>Waremme</v>
      </c>
      <c r="C32" s="2" t="str">
        <f>IFERROR(__xludf.DUMMYFUNCTION("""COMPUTED_VALUE"""),"Waremme 1")</f>
        <v>Waremme 1</v>
      </c>
      <c r="D32" s="2" t="str">
        <f>IFERROR(__xludf.DUMMYFUNCTION("""COMPUTED_VALUE"""),"Rue de Huy - Waremme")</f>
        <v>Rue de Huy - Waremme</v>
      </c>
      <c r="E32" s="2" t="str">
        <f>IFERROR(__xludf.DUMMYFUNCTION("""COMPUTED_VALUE"""),"Waremme")</f>
        <v>Waremme</v>
      </c>
      <c r="F32" s="2" t="str">
        <f>IFERROR(__xludf.DUMMYFUNCTION("""COMPUTED_VALUE"""),"Huy")</f>
        <v>Huy</v>
      </c>
      <c r="G32" s="2" t="str">
        <f>IFERROR(__xludf.DUMMYFUNCTION("""COMPUTED_VALUE"""),"Liège")</f>
        <v>Liège</v>
      </c>
      <c r="H32" s="24" t="str">
        <f>IFERROR(__xludf.DUMMYFUNCTION("""COMPUTED_VALUE"""),"50.6831557, 5.2487463")</f>
        <v>50.6831557, 5.2487463</v>
      </c>
      <c r="I32" s="60" t="str">
        <f>IFERROR(__xludf.DUMMYFUNCTION("""COMPUTED_VALUE"""),"https://remorquepublicitaire.be/remorque/216")</f>
        <v>https://remorquepublicitaire.be/remorque/216</v>
      </c>
      <c r="J32" s="38"/>
      <c r="K32" s="58"/>
      <c r="L32" s="38"/>
      <c r="M32" s="38"/>
    </row>
    <row r="33">
      <c r="A33" s="24">
        <f>IFERROR(__xludf.DUMMYFUNCTION("""COMPUTED_VALUE"""),217.0)</f>
        <v>217</v>
      </c>
      <c r="B33" s="2" t="str">
        <f>IFERROR(__xludf.DUMMYFUNCTION("""COMPUTED_VALUE"""),"Viemme")</f>
        <v>Viemme</v>
      </c>
      <c r="C33" s="2" t="str">
        <f>IFERROR(__xludf.DUMMYFUNCTION("""COMPUTED_VALUE"""),"Viemme Rond-Point")</f>
        <v>Viemme Rond-Point</v>
      </c>
      <c r="D33" s="2" t="str">
        <f>IFERROR(__xludf.DUMMYFUNCTION("""COMPUTED_VALUE"""),"N65 Rue de Huy")</f>
        <v>N65 Rue de Huy</v>
      </c>
      <c r="E33" s="2" t="str">
        <f>IFERROR(__xludf.DUMMYFUNCTION("""COMPUTED_VALUE"""),"Huy")</f>
        <v>Huy</v>
      </c>
      <c r="F33" s="2" t="str">
        <f>IFERROR(__xludf.DUMMYFUNCTION("""COMPUTED_VALUE"""),"Waremme")</f>
        <v>Waremme</v>
      </c>
      <c r="G33" s="2" t="str">
        <f>IFERROR(__xludf.DUMMYFUNCTION("""COMPUTED_VALUE"""),"Liège")</f>
        <v>Liège</v>
      </c>
      <c r="H33" s="24" t="str">
        <f>IFERROR(__xludf.DUMMYFUNCTION("""COMPUTED_VALUE"""),"50.6417797, 5.2688789")</f>
        <v>50.6417797, 5.2688789</v>
      </c>
      <c r="I33" s="60" t="str">
        <f>IFERROR(__xludf.DUMMYFUNCTION("""COMPUTED_VALUE"""),"https://remorquepublicitaire.be/remorque/217")</f>
        <v>https://remorquepublicitaire.be/remorque/217</v>
      </c>
      <c r="J33" s="38"/>
      <c r="K33" s="58"/>
      <c r="L33" s="38"/>
      <c r="M33" s="38"/>
    </row>
    <row r="34">
      <c r="A34" s="24">
        <f>IFERROR(__xludf.DUMMYFUNCTION("""COMPUTED_VALUE"""),218.0)</f>
        <v>218</v>
      </c>
      <c r="B34" s="2" t="str">
        <f>IFERROR(__xludf.DUMMYFUNCTION("""COMPUTED_VALUE"""),"Oreye")</f>
        <v>Oreye</v>
      </c>
      <c r="C34" s="2" t="str">
        <f>IFERROR(__xludf.DUMMYFUNCTION("""COMPUTED_VALUE"""),"Carrefour Otrange/Vechmaal")</f>
        <v>Carrefour Otrange/Vechmaal</v>
      </c>
      <c r="D34" s="2" t="str">
        <f>IFERROR(__xludf.DUMMYFUNCTION("""COMPUTED_VALUE"""),"N69 Carrefour Otrange/Vechmaal")</f>
        <v>N69 Carrefour Otrange/Vechmaal</v>
      </c>
      <c r="E34" s="2" t="str">
        <f>IFERROR(__xludf.DUMMYFUNCTION("""COMPUTED_VALUE"""),"Veechmaal")</f>
        <v>Veechmaal</v>
      </c>
      <c r="F34" s="2" t="str">
        <f>IFERROR(__xludf.DUMMYFUNCTION("""COMPUTED_VALUE"""),"Oreye")</f>
        <v>Oreye</v>
      </c>
      <c r="G34" s="2" t="str">
        <f>IFERROR(__xludf.DUMMYFUNCTION("""COMPUTED_VALUE"""),"Liège")</f>
        <v>Liège</v>
      </c>
      <c r="H34" s="24" t="str">
        <f>IFERROR(__xludf.DUMMYFUNCTION("""COMPUTED_VALUE"""),"50.742834, 5.377993")</f>
        <v>50.742834, 5.377993</v>
      </c>
      <c r="I34" s="60" t="str">
        <f>IFERROR(__xludf.DUMMYFUNCTION("""COMPUTED_VALUE"""),"https://remorquepublicitaire.be/remorque/218")</f>
        <v>https://remorquepublicitaire.be/remorque/218</v>
      </c>
      <c r="J34" s="38"/>
      <c r="K34" s="38"/>
      <c r="L34" s="38"/>
      <c r="M34" s="38"/>
    </row>
    <row r="35">
      <c r="A35" s="24">
        <f>IFERROR(__xludf.DUMMYFUNCTION("""COMPUTED_VALUE"""),219.0)</f>
        <v>219</v>
      </c>
      <c r="B35" s="2" t="str">
        <f>IFERROR(__xludf.DUMMYFUNCTION("""COMPUTED_VALUE"""),"Spa")</f>
        <v>Spa</v>
      </c>
      <c r="C35" s="2" t="str">
        <f>IFERROR(__xludf.DUMMYFUNCTION("""COMPUTED_VALUE"""),"Marteau")</f>
        <v>Marteau</v>
      </c>
      <c r="D35" s="2" t="str">
        <f>IFERROR(__xludf.DUMMYFUNCTION("""COMPUTED_VALUE"""),"N62 Theux")</f>
        <v>N62 Theux</v>
      </c>
      <c r="E35" s="2" t="str">
        <f>IFERROR(__xludf.DUMMYFUNCTION("""COMPUTED_VALUE"""),"Theux")</f>
        <v>Theux</v>
      </c>
      <c r="F35" s="2" t="str">
        <f>IFERROR(__xludf.DUMMYFUNCTION("""COMPUTED_VALUE"""),"Spa")</f>
        <v>Spa</v>
      </c>
      <c r="G35" s="2" t="str">
        <f>IFERROR(__xludf.DUMMYFUNCTION("""COMPUTED_VALUE"""),"Liège")</f>
        <v>Liège</v>
      </c>
      <c r="H35" s="24" t="str">
        <f>IFERROR(__xludf.DUMMYFUNCTION("""COMPUTED_VALUE"""),"50.4898065, 5.831109")</f>
        <v>50.4898065, 5.831109</v>
      </c>
      <c r="I35" s="60" t="str">
        <f>IFERROR(__xludf.DUMMYFUNCTION("""COMPUTED_VALUE"""),"https://remorquepublicitaire.be/remorque/219")</f>
        <v>https://remorquepublicitaire.be/remorque/219</v>
      </c>
      <c r="J35" s="38"/>
      <c r="K35" s="58"/>
      <c r="L35" s="38"/>
      <c r="M35" s="38"/>
    </row>
    <row r="36">
      <c r="A36" s="24">
        <f>IFERROR(__xludf.DUMMYFUNCTION("""COMPUTED_VALUE"""),220.0)</f>
        <v>220</v>
      </c>
      <c r="B36" s="2" t="str">
        <f>IFERROR(__xludf.DUMMYFUNCTION("""COMPUTED_VALUE"""),"Theux")</f>
        <v>Theux</v>
      </c>
      <c r="C36" s="2" t="str">
        <f>IFERROR(__xludf.DUMMYFUNCTION("""COMPUTED_VALUE"""),"Hautregard Haut")</f>
        <v>Hautregard Haut</v>
      </c>
      <c r="D36" s="2" t="str">
        <f>IFERROR(__xludf.DUMMYFUNCTION("""COMPUTED_VALUE"""),"N697 Aywaille - Spa")</f>
        <v>N697 Aywaille - Spa</v>
      </c>
      <c r="E36" s="2" t="str">
        <f>IFERROR(__xludf.DUMMYFUNCTION("""COMPUTED_VALUE"""),"Theux")</f>
        <v>Theux</v>
      </c>
      <c r="F36" s="2" t="str">
        <f>IFERROR(__xludf.DUMMYFUNCTION("""COMPUTED_VALUE"""),"Aywaille")</f>
        <v>Aywaille</v>
      </c>
      <c r="G36" s="2" t="str">
        <f>IFERROR(__xludf.DUMMYFUNCTION("""COMPUTED_VALUE"""),"Liège")</f>
        <v>Liège</v>
      </c>
      <c r="H36" s="24" t="str">
        <f>IFERROR(__xludf.DUMMYFUNCTION("""COMPUTED_VALUE"""),"50.4879147, 5.7669185")</f>
        <v>50.4879147, 5.7669185</v>
      </c>
      <c r="I36" s="60" t="str">
        <f>IFERROR(__xludf.DUMMYFUNCTION("""COMPUTED_VALUE"""),"https://remorquepublicitaire.be/remorque/220")</f>
        <v>https://remorquepublicitaire.be/remorque/220</v>
      </c>
      <c r="J36" s="38"/>
      <c r="K36" s="38"/>
      <c r="L36" s="38"/>
      <c r="M36" s="38"/>
    </row>
    <row r="37">
      <c r="A37" s="34">
        <f>IFERROR(__xludf.DUMMYFUNCTION("""COMPUTED_VALUE"""),221.0)</f>
        <v>221</v>
      </c>
      <c r="B37" s="38" t="str">
        <f>IFERROR(__xludf.DUMMYFUNCTION("""COMPUTED_VALUE"""),"Theux")</f>
        <v>Theux</v>
      </c>
      <c r="C37" s="38" t="str">
        <f>IFERROR(__xludf.DUMMYFUNCTION("""COMPUTED_VALUE"""),"Hautregard Bas")</f>
        <v>Hautregard Bas</v>
      </c>
      <c r="D37" s="2" t="str">
        <f>IFERROR(__xludf.DUMMYFUNCTION("""COMPUTED_VALUE"""),"N697 Aywaille - Spa")</f>
        <v>N697 Aywaille - Spa</v>
      </c>
      <c r="E37" s="38" t="str">
        <f>IFERROR(__xludf.DUMMYFUNCTION("""COMPUTED_VALUE"""),"Spa")</f>
        <v>Spa</v>
      </c>
      <c r="F37" s="38" t="str">
        <f>IFERROR(__xludf.DUMMYFUNCTION("""COMPUTED_VALUE"""),"Aywaille")</f>
        <v>Aywaille</v>
      </c>
      <c r="G37" s="38" t="str">
        <f>IFERROR(__xludf.DUMMYFUNCTION("""COMPUTED_VALUE"""),"Liège")</f>
        <v>Liège</v>
      </c>
      <c r="H37" s="38" t="str">
        <f>IFERROR(__xludf.DUMMYFUNCTION("""COMPUTED_VALUE"""),"50.485117, 5.780332")</f>
        <v>50.485117, 5.780332</v>
      </c>
      <c r="I37" s="108" t="str">
        <f>IFERROR(__xludf.DUMMYFUNCTION("""COMPUTED_VALUE"""),"https://remorquepublicitaire.be/remorque/221")</f>
        <v>https://remorquepublicitaire.be/remorque/221</v>
      </c>
      <c r="J37" s="38"/>
      <c r="K37" s="38"/>
      <c r="L37" s="38"/>
      <c r="M37" s="38"/>
    </row>
    <row r="38">
      <c r="A38" s="24">
        <f>IFERROR(__xludf.DUMMYFUNCTION("""COMPUTED_VALUE"""),226.0)</f>
        <v>226</v>
      </c>
      <c r="B38" s="2" t="str">
        <f>IFERROR(__xludf.DUMMYFUNCTION("""COMPUTED_VALUE"""),"Theux")</f>
        <v>Theux</v>
      </c>
      <c r="C38" s="2" t="str">
        <f>IFERROR(__xludf.DUMMYFUNCTION("""COMPUTED_VALUE"""),"La Reid")</f>
        <v>La Reid</v>
      </c>
      <c r="D38" s="2" t="str">
        <f>IFERROR(__xludf.DUMMYFUNCTION("""COMPUTED_VALUE"""),"N697 La Reid - Spa")</f>
        <v>N697 La Reid - Spa</v>
      </c>
      <c r="E38" s="2" t="str">
        <f>IFERROR(__xludf.DUMMYFUNCTION("""COMPUTED_VALUE"""),"Spa")</f>
        <v>Spa</v>
      </c>
      <c r="F38" s="2" t="str">
        <f>IFERROR(__xludf.DUMMYFUNCTION("""COMPUTED_VALUE"""),"Aywaille")</f>
        <v>Aywaille</v>
      </c>
      <c r="G38" s="2" t="str">
        <f>IFERROR(__xludf.DUMMYFUNCTION("""COMPUTED_VALUE"""),"Liège")</f>
        <v>Liège</v>
      </c>
      <c r="H38" s="24" t="str">
        <f>IFERROR(__xludf.DUMMYFUNCTION("""COMPUTED_VALUE"""),"50.4877871, 5.8200972")</f>
        <v>50.4877871, 5.8200972</v>
      </c>
      <c r="I38" s="60" t="str">
        <f>IFERROR(__xludf.DUMMYFUNCTION("""COMPUTED_VALUE"""),"https://remorquepublicitaire.be/remorque/226")</f>
        <v>https://remorquepublicitaire.be/remorque/226</v>
      </c>
      <c r="J38" s="38"/>
      <c r="K38" s="58"/>
      <c r="L38" s="38"/>
      <c r="M38" s="38"/>
    </row>
    <row r="39">
      <c r="A39" s="24">
        <f>IFERROR(__xludf.DUMMYFUNCTION("""COMPUTED_VALUE"""),222.0)</f>
        <v>222</v>
      </c>
      <c r="B39" s="2" t="str">
        <f>IFERROR(__xludf.DUMMYFUNCTION("""COMPUTED_VALUE"""),"Sprimont")</f>
        <v>Sprimont</v>
      </c>
      <c r="C39" s="2" t="str">
        <f>IFERROR(__xludf.DUMMYFUNCTION("""COMPUTED_VALUE"""),"Sprimont - Theux")</f>
        <v>Sprimont - Theux</v>
      </c>
      <c r="D39" s="2" t="str">
        <f>IFERROR(__xludf.DUMMYFUNCTION("""COMPUTED_VALUE"""),"N678 Rond point Sprimoglass")</f>
        <v>N678 Rond point Sprimoglass</v>
      </c>
      <c r="E39" s="2" t="str">
        <f>IFERROR(__xludf.DUMMYFUNCTION("""COMPUTED_VALUE"""),"Theux")</f>
        <v>Theux</v>
      </c>
      <c r="F39" s="2" t="str">
        <f>IFERROR(__xludf.DUMMYFUNCTION("""COMPUTED_VALUE"""),"Sprimont")</f>
        <v>Sprimont</v>
      </c>
      <c r="G39" s="2" t="str">
        <f>IFERROR(__xludf.DUMMYFUNCTION("""COMPUTED_VALUE"""),"Liège")</f>
        <v>Liège</v>
      </c>
      <c r="H39" s="24" t="str">
        <f>IFERROR(__xludf.DUMMYFUNCTION("""COMPUTED_VALUE"""),"50.5138469, 5.6913981")</f>
        <v>50.5138469, 5.6913981</v>
      </c>
      <c r="I39" s="60" t="str">
        <f>IFERROR(__xludf.DUMMYFUNCTION("""COMPUTED_VALUE"""),"https://remorquepublicitaire.be/remorque/222")</f>
        <v>https://remorquepublicitaire.be/remorque/222</v>
      </c>
      <c r="J39" s="38"/>
      <c r="K39" s="38"/>
      <c r="L39" s="38"/>
      <c r="M39" s="38"/>
    </row>
    <row r="40">
      <c r="A40" s="24">
        <f>IFERROR(__xludf.DUMMYFUNCTION("""COMPUTED_VALUE"""),224.0)</f>
        <v>224</v>
      </c>
      <c r="B40" s="2" t="str">
        <f>IFERROR(__xludf.DUMMYFUNCTION("""COMPUTED_VALUE"""),"Crisnee")</f>
        <v>Crisnee</v>
      </c>
      <c r="C40" s="2" t="str">
        <f>IFERROR(__xludf.DUMMYFUNCTION("""COMPUTED_VALUE"""),"Station Ledouble")</f>
        <v>Station Ledouble</v>
      </c>
      <c r="D40" s="2" t="str">
        <f>IFERROR(__xludf.DUMMYFUNCTION("""COMPUTED_VALUE"""),"N3 - Grand route")</f>
        <v>N3 - Grand route</v>
      </c>
      <c r="E40" s="2" t="str">
        <f>IFERROR(__xludf.DUMMYFUNCTION("""COMPUTED_VALUE"""),"Liege")</f>
        <v>Liege</v>
      </c>
      <c r="F40" s="2" t="str">
        <f>IFERROR(__xludf.DUMMYFUNCTION("""COMPUTED_VALUE"""),"Saint-Trond")</f>
        <v>Saint-Trond</v>
      </c>
      <c r="G40" s="2" t="str">
        <f>IFERROR(__xludf.DUMMYFUNCTION("""COMPUTED_VALUE"""),"Liège")</f>
        <v>Liège</v>
      </c>
      <c r="H40" s="24" t="str">
        <f>IFERROR(__xludf.DUMMYFUNCTION("""COMPUTED_VALUE"""),"50.7185803, 5.3747698")</f>
        <v>50.7185803, 5.3747698</v>
      </c>
      <c r="I40" s="60" t="str">
        <f>IFERROR(__xludf.DUMMYFUNCTION("""COMPUTED_VALUE"""),"https://remorquepublicitaire.be/remorque/224")</f>
        <v>https://remorquepublicitaire.be/remorque/224</v>
      </c>
      <c r="J40" s="38"/>
      <c r="K40" s="38"/>
      <c r="L40" s="38"/>
      <c r="M40" s="38"/>
    </row>
    <row r="41">
      <c r="A41" s="24">
        <f>IFERROR(__xludf.DUMMYFUNCTION("""COMPUTED_VALUE"""),223.0)</f>
        <v>223</v>
      </c>
      <c r="B41" s="2" t="str">
        <f>IFERROR(__xludf.DUMMYFUNCTION("""COMPUTED_VALUE"""),"Clavier")</f>
        <v>Clavier</v>
      </c>
      <c r="C41" s="2" t="str">
        <f>IFERROR(__xludf.DUMMYFUNCTION("""COMPUTED_VALUE"""),"Bois-et-Borsu")</f>
        <v>Bois-et-Borsu</v>
      </c>
      <c r="D41" s="2" t="str">
        <f>IFERROR(__xludf.DUMMYFUNCTION("""COMPUTED_VALUE"""),"N63 Chée de Liège")</f>
        <v>N63 Chée de Liège</v>
      </c>
      <c r="E41" s="2" t="str">
        <f>IFERROR(__xludf.DUMMYFUNCTION("""COMPUTED_VALUE"""),"Liège")</f>
        <v>Liège</v>
      </c>
      <c r="F41" s="2" t="str">
        <f>IFERROR(__xludf.DUMMYFUNCTION("""COMPUTED_VALUE"""),"Marche-en-Famenne")</f>
        <v>Marche-en-Famenne</v>
      </c>
      <c r="G41" s="2" t="str">
        <f>IFERROR(__xludf.DUMMYFUNCTION("""COMPUTED_VALUE"""),"Liège")</f>
        <v>Liège</v>
      </c>
      <c r="H41" s="24" t="str">
        <f>IFERROR(__xludf.DUMMYFUNCTION("""COMPUTED_VALUE"""),"50.392559, 5.340069")</f>
        <v>50.392559, 5.340069</v>
      </c>
      <c r="I41" s="60" t="str">
        <f>IFERROR(__xludf.DUMMYFUNCTION("""COMPUTED_VALUE"""),"https://remorquepublicitaire.be/remorque/225")</f>
        <v>https://remorquepublicitaire.be/remorque/225</v>
      </c>
      <c r="J41" s="38"/>
      <c r="K41" s="58"/>
      <c r="L41" s="38"/>
      <c r="M41" s="38"/>
    </row>
    <row r="42">
      <c r="A42" s="24">
        <f>IFERROR(__xludf.DUMMYFUNCTION("""COMPUTED_VALUE"""),225.0)</f>
        <v>225</v>
      </c>
      <c r="B42" s="2" t="str">
        <f>IFERROR(__xludf.DUMMYFUNCTION("""COMPUTED_VALUE"""),"Clavier")</f>
        <v>Clavier</v>
      </c>
      <c r="C42" s="2" t="str">
        <f>IFERROR(__xludf.DUMMYFUNCTION("""COMPUTED_VALUE"""),"Bois-et-Borsu")</f>
        <v>Bois-et-Borsu</v>
      </c>
      <c r="D42" s="2" t="str">
        <f>IFERROR(__xludf.DUMMYFUNCTION("""COMPUTED_VALUE"""),"N63 Chée de Liège")</f>
        <v>N63 Chée de Liège</v>
      </c>
      <c r="E42" s="2" t="str">
        <f>IFERROR(__xludf.DUMMYFUNCTION("""COMPUTED_VALUE"""),"Marche-en-Famenne")</f>
        <v>Marche-en-Famenne</v>
      </c>
      <c r="F42" s="2" t="str">
        <f>IFERROR(__xludf.DUMMYFUNCTION("""COMPUTED_VALUE"""),"Liège")</f>
        <v>Liège</v>
      </c>
      <c r="G42" s="2" t="str">
        <f>IFERROR(__xludf.DUMMYFUNCTION("""COMPUTED_VALUE"""),"Liège")</f>
        <v>Liège</v>
      </c>
      <c r="H42" s="24" t="str">
        <f>IFERROR(__xludf.DUMMYFUNCTION("""COMPUTED_VALUE"""),"50.392559, 5.340069")</f>
        <v>50.392559, 5.340069</v>
      </c>
      <c r="I42" s="60" t="str">
        <f>IFERROR(__xludf.DUMMYFUNCTION("""COMPUTED_VALUE"""),"https://remorquepublicitaire.be/remorque/225")</f>
        <v>https://remorquepublicitaire.be/remorque/225</v>
      </c>
      <c r="J42" s="38"/>
      <c r="K42" s="58"/>
      <c r="L42" s="38"/>
      <c r="M42" s="38"/>
    </row>
    <row r="43">
      <c r="A43" s="24">
        <f>IFERROR(__xludf.DUMMYFUNCTION("""COMPUTED_VALUE"""),227.0)</f>
        <v>227</v>
      </c>
      <c r="B43" s="2" t="str">
        <f>IFERROR(__xludf.DUMMYFUNCTION("""COMPUTED_VALUE"""),"Waremme")</f>
        <v>Waremme</v>
      </c>
      <c r="C43" s="2" t="str">
        <f>IFERROR(__xludf.DUMMYFUNCTION("""COMPUTED_VALUE"""),"Waremme 2")</f>
        <v>Waremme 2</v>
      </c>
      <c r="D43" s="2" t="str">
        <f>IFERROR(__xludf.DUMMYFUNCTION("""COMPUTED_VALUE"""),"Rue de Huy - Waremme")</f>
        <v>Rue de Huy - Waremme</v>
      </c>
      <c r="E43" s="2" t="str">
        <f>IFERROR(__xludf.DUMMYFUNCTION("""COMPUTED_VALUE"""),"Waremme")</f>
        <v>Waremme</v>
      </c>
      <c r="F43" s="2" t="str">
        <f>IFERROR(__xludf.DUMMYFUNCTION("""COMPUTED_VALUE"""),"Huy")</f>
        <v>Huy</v>
      </c>
      <c r="G43" s="2" t="str">
        <f>IFERROR(__xludf.DUMMYFUNCTION("""COMPUTED_VALUE"""),"Liège")</f>
        <v>Liège</v>
      </c>
      <c r="H43" s="24" t="str">
        <f>IFERROR(__xludf.DUMMYFUNCTION("""COMPUTED_VALUE"""),"50.6833442, 5.2487934")</f>
        <v>50.6833442, 5.2487934</v>
      </c>
      <c r="I43" s="60" t="str">
        <f>IFERROR(__xludf.DUMMYFUNCTION("""COMPUTED_VALUE"""),"https://remorquepublicitaire.be/remorque/227")</f>
        <v>https://remorquepublicitaire.be/remorque/227</v>
      </c>
      <c r="J43" s="38"/>
      <c r="K43" s="58"/>
      <c r="L43" s="38"/>
      <c r="M43" s="38"/>
    </row>
    <row r="44">
      <c r="A44" s="24">
        <f>IFERROR(__xludf.DUMMYFUNCTION("""COMPUTED_VALUE"""),230.0)</f>
        <v>230</v>
      </c>
      <c r="B44" s="2" t="str">
        <f>IFERROR(__xludf.DUMMYFUNCTION("""COMPUTED_VALUE"""),"Stavelot")</f>
        <v>Stavelot</v>
      </c>
      <c r="C44" s="2" t="str">
        <f>IFERROR(__xludf.DUMMYFUNCTION("""COMPUTED_VALUE"""),"Stavelot")</f>
        <v>Stavelot</v>
      </c>
      <c r="D44" s="2" t="str">
        <f>IFERROR(__xludf.DUMMYFUNCTION("""COMPUTED_VALUE"""),"N68 Route de Trois-Pont")</f>
        <v>N68 Route de Trois-Pont</v>
      </c>
      <c r="E44" s="2" t="str">
        <f>IFERROR(__xludf.DUMMYFUNCTION("""COMPUTED_VALUE"""),"Trois-Pont")</f>
        <v>Trois-Pont</v>
      </c>
      <c r="F44" s="2" t="str">
        <f>IFERROR(__xludf.DUMMYFUNCTION("""COMPUTED_VALUE"""),"Malmedy")</f>
        <v>Malmedy</v>
      </c>
      <c r="G44" s="2" t="str">
        <f>IFERROR(__xludf.DUMMYFUNCTION("""COMPUTED_VALUE"""),"Liège")</f>
        <v>Liège</v>
      </c>
      <c r="H44" s="24" t="str">
        <f>IFERROR(__xludf.DUMMYFUNCTION("""COMPUTED_VALUE"""),"50.3862687, 5.9214999")</f>
        <v>50.3862687, 5.9214999</v>
      </c>
      <c r="I44" s="2"/>
      <c r="J44" s="38"/>
      <c r="K44" s="58"/>
      <c r="L44" s="38"/>
      <c r="M44" s="38"/>
    </row>
    <row r="45">
      <c r="A45" s="24">
        <f>IFERROR(__xludf.DUMMYFUNCTION("""COMPUTED_VALUE"""),301.0)</f>
        <v>301</v>
      </c>
      <c r="B45" s="2" t="str">
        <f>IFERROR(__xludf.DUMMYFUNCTION("""COMPUTED_VALUE"""),"Andenne")</f>
        <v>Andenne</v>
      </c>
      <c r="C45" s="2" t="str">
        <f>IFERROR(__xludf.DUMMYFUNCTION("""COMPUTED_VALUE"""),"Sclayn pas de garage")</f>
        <v>Sclayn pas de garage</v>
      </c>
      <c r="D45" s="2" t="str">
        <f>IFERROR(__xludf.DUMMYFUNCTION("""COMPUTED_VALUE"""),"N90 vers Sclayn")</f>
        <v>N90 vers Sclayn</v>
      </c>
      <c r="E45" s="2" t="str">
        <f>IFERROR(__xludf.DUMMYFUNCTION("""COMPUTED_VALUE"""),"Namur")</f>
        <v>Namur</v>
      </c>
      <c r="F45" s="2" t="str">
        <f>IFERROR(__xludf.DUMMYFUNCTION("""COMPUTED_VALUE"""),"Andenne")</f>
        <v>Andenne</v>
      </c>
      <c r="G45" s="2" t="str">
        <f>IFERROR(__xludf.DUMMYFUNCTION("""COMPUTED_VALUE"""),"Namur")</f>
        <v>Namur</v>
      </c>
      <c r="H45" s="24" t="str">
        <f>IFERROR(__xludf.DUMMYFUNCTION("""COMPUTED_VALUE"""),"50.493674, 5.0608792")</f>
        <v>50.493674, 5.0608792</v>
      </c>
      <c r="I45" s="60" t="str">
        <f>IFERROR(__xludf.DUMMYFUNCTION("""COMPUTED_VALUE"""),"https://remorquepublicitaire.be/remorque/301")</f>
        <v>https://remorquepublicitaire.be/remorque/301</v>
      </c>
      <c r="J45" s="38"/>
      <c r="K45" s="58"/>
      <c r="L45" s="38"/>
      <c r="M45" s="38"/>
    </row>
    <row r="46">
      <c r="A46" s="24">
        <f>IFERROR(__xludf.DUMMYFUNCTION("""COMPUTED_VALUE"""),302.0)</f>
        <v>302</v>
      </c>
      <c r="B46" s="2" t="str">
        <f>IFERROR(__xludf.DUMMYFUNCTION("""COMPUTED_VALUE"""),"Andenne")</f>
        <v>Andenne</v>
      </c>
      <c r="C46" s="2" t="str">
        <f>IFERROR(__xludf.DUMMYFUNCTION("""COMPUTED_VALUE"""),"E42")</f>
        <v>E42</v>
      </c>
      <c r="D46" s="2" t="str">
        <f>IFERROR(__xludf.DUMMYFUNCTION("""COMPUTED_VALUE"""),"Andenne-Eghezée")</f>
        <v>Andenne-Eghezée</v>
      </c>
      <c r="E46" s="2" t="str">
        <f>IFERROR(__xludf.DUMMYFUNCTION("""COMPUTED_VALUE"""),"Andenne")</f>
        <v>Andenne</v>
      </c>
      <c r="F46" s="2" t="str">
        <f>IFERROR(__xludf.DUMMYFUNCTION("""COMPUTED_VALUE"""),"Éghezée")</f>
        <v>Éghezée</v>
      </c>
      <c r="G46" s="2" t="str">
        <f>IFERROR(__xludf.DUMMYFUNCTION("""COMPUTED_VALUE"""),"Namur")</f>
        <v>Namur</v>
      </c>
      <c r="H46" s="24" t="str">
        <f>IFERROR(__xludf.DUMMYFUNCTION("""COMPUTED_VALUE"""),"50.5162373, 5.0817333")</f>
        <v>50.5162373, 5.0817333</v>
      </c>
      <c r="I46" s="60" t="str">
        <f>IFERROR(__xludf.DUMMYFUNCTION("""COMPUTED_VALUE"""),"https://remorquepublicitaire.be/remorque/302")</f>
        <v>https://remorquepublicitaire.be/remorque/302</v>
      </c>
      <c r="J46" s="38"/>
      <c r="K46" s="58"/>
      <c r="L46" s="38"/>
      <c r="M46" s="38"/>
    </row>
    <row r="47">
      <c r="A47" s="24">
        <f>IFERROR(__xludf.DUMMYFUNCTION("""COMPUTED_VALUE"""),303.0)</f>
        <v>303</v>
      </c>
      <c r="B47" s="2" t="str">
        <f>IFERROR(__xludf.DUMMYFUNCTION("""COMPUTED_VALUE"""),"Andenne")</f>
        <v>Andenne</v>
      </c>
      <c r="C47" s="2" t="str">
        <f>IFERROR(__xludf.DUMMYFUNCTION("""COMPUTED_VALUE"""),"Haute Bise")</f>
        <v>Haute Bise</v>
      </c>
      <c r="D47" s="2" t="str">
        <f>IFERROR(__xludf.DUMMYFUNCTION("""COMPUTED_VALUE"""),"Andenne-Ciney")</f>
        <v>Andenne-Ciney</v>
      </c>
      <c r="E47" s="2" t="str">
        <f>IFERROR(__xludf.DUMMYFUNCTION("""COMPUTED_VALUE"""),"Ciney")</f>
        <v>Ciney</v>
      </c>
      <c r="F47" s="2" t="str">
        <f>IFERROR(__xludf.DUMMYFUNCTION("""COMPUTED_VALUE"""),"Andenne")</f>
        <v>Andenne</v>
      </c>
      <c r="G47" s="2" t="str">
        <f>IFERROR(__xludf.DUMMYFUNCTION("""COMPUTED_VALUE"""),"Namur")</f>
        <v>Namur</v>
      </c>
      <c r="H47" s="24" t="str">
        <f>IFERROR(__xludf.DUMMYFUNCTION("""COMPUTED_VALUE"""),"50.4832583, 5.1068777")</f>
        <v>50.4832583, 5.1068777</v>
      </c>
      <c r="I47" s="60" t="str">
        <f>IFERROR(__xludf.DUMMYFUNCTION("""COMPUTED_VALUE"""),"https://remorquepublicitaire.be/remorque/303")</f>
        <v>https://remorquepublicitaire.be/remorque/303</v>
      </c>
      <c r="J47" s="38"/>
      <c r="K47" s="58"/>
      <c r="L47" s="38"/>
      <c r="M47" s="38"/>
    </row>
    <row r="48">
      <c r="A48" s="24">
        <f>IFERROR(__xludf.DUMMYFUNCTION("""COMPUTED_VALUE"""),304.0)</f>
        <v>304</v>
      </c>
      <c r="B48" s="2" t="str">
        <f>IFERROR(__xludf.DUMMYFUNCTION("""COMPUTED_VALUE"""),"Andenne")</f>
        <v>Andenne</v>
      </c>
      <c r="C48" s="2" t="str">
        <f>IFERROR(__xludf.DUMMYFUNCTION("""COMPUTED_VALUE"""),"Ohey")</f>
        <v>Ohey</v>
      </c>
      <c r="D48" s="2" t="str">
        <f>IFERROR(__xludf.DUMMYFUNCTION("""COMPUTED_VALUE"""),"Andenne-Ciney")</f>
        <v>Andenne-Ciney</v>
      </c>
      <c r="E48" s="2" t="str">
        <f>IFERROR(__xludf.DUMMYFUNCTION("""COMPUTED_VALUE"""),"Andenne")</f>
        <v>Andenne</v>
      </c>
      <c r="F48" s="2" t="str">
        <f>IFERROR(__xludf.DUMMYFUNCTION("""COMPUTED_VALUE"""),"Ciney")</f>
        <v>Ciney</v>
      </c>
      <c r="G48" s="2" t="str">
        <f>IFERROR(__xludf.DUMMYFUNCTION("""COMPUTED_VALUE"""),"Namur")</f>
        <v>Namur</v>
      </c>
      <c r="H48" s="24" t="str">
        <f>IFERROR(__xludf.DUMMYFUNCTION("""COMPUTED_VALUE"""),"50.4145111, 5.1230849")</f>
        <v>50.4145111, 5.1230849</v>
      </c>
      <c r="I48" s="60" t="str">
        <f>IFERROR(__xludf.DUMMYFUNCTION("""COMPUTED_VALUE"""),"https://remorquepublicitaire.be/remorque/304")</f>
        <v>https://remorquepublicitaire.be/remorque/304</v>
      </c>
      <c r="J48" s="38"/>
      <c r="K48" s="58"/>
      <c r="L48" s="38"/>
      <c r="M48" s="38"/>
    </row>
    <row r="49">
      <c r="A49" s="24">
        <f>IFERROR(__xludf.DUMMYFUNCTION("""COMPUTED_VALUE"""),305.0)</f>
        <v>305</v>
      </c>
      <c r="B49" s="2" t="str">
        <f>IFERROR(__xludf.DUMMYFUNCTION("""COMPUTED_VALUE"""),"Andenne")</f>
        <v>Andenne</v>
      </c>
      <c r="C49" s="2" t="str">
        <f>IFERROR(__xludf.DUMMYFUNCTION("""COMPUTED_VALUE"""),"Bierwart")</f>
        <v>Bierwart</v>
      </c>
      <c r="D49" s="2" t="str">
        <f>IFERROR(__xludf.DUMMYFUNCTION("""COMPUTED_VALUE"""),"Namur-Hannut")</f>
        <v>Namur-Hannut</v>
      </c>
      <c r="E49" s="2" t="str">
        <f>IFERROR(__xludf.DUMMYFUNCTION("""COMPUTED_VALUE"""),"Fernelmont")</f>
        <v>Fernelmont</v>
      </c>
      <c r="F49" s="2" t="str">
        <f>IFERROR(__xludf.DUMMYFUNCTION("""COMPUTED_VALUE"""),"Hannut")</f>
        <v>Hannut</v>
      </c>
      <c r="G49" s="2" t="str">
        <f>IFERROR(__xludf.DUMMYFUNCTION("""COMPUTED_VALUE"""),"Namur")</f>
        <v>Namur</v>
      </c>
      <c r="H49" s="24" t="str">
        <f>IFERROR(__xludf.DUMMYFUNCTION("""COMPUTED_VALUE"""),"50.5660903, 5.0467466")</f>
        <v>50.5660903, 5.0467466</v>
      </c>
      <c r="I49" s="60" t="str">
        <f>IFERROR(__xludf.DUMMYFUNCTION("""COMPUTED_VALUE"""),"https://remorquepublicitaire.be/remorque/305")</f>
        <v>https://remorquepublicitaire.be/remorque/305</v>
      </c>
      <c r="J49" s="38"/>
      <c r="K49" s="58"/>
      <c r="L49" s="38"/>
      <c r="M49" s="38"/>
    </row>
    <row r="50">
      <c r="A50" s="24">
        <f>IFERROR(__xludf.DUMMYFUNCTION("""COMPUTED_VALUE"""),306.0)</f>
        <v>306</v>
      </c>
      <c r="B50" s="2" t="str">
        <f>IFERROR(__xludf.DUMMYFUNCTION("""COMPUTED_VALUE"""),"Beauraing")</f>
        <v>Beauraing</v>
      </c>
      <c r="C50" s="2" t="str">
        <f>IFERROR(__xludf.DUMMYFUNCTION("""COMPUTED_VALUE"""),"Focant")</f>
        <v>Focant</v>
      </c>
      <c r="D50" s="2" t="str">
        <f>IFERROR(__xludf.DUMMYFUNCTION("""COMPUTED_VALUE"""),"Beauraing-Rochefort")</f>
        <v>Beauraing-Rochefort</v>
      </c>
      <c r="E50" s="2" t="str">
        <f>IFERROR(__xludf.DUMMYFUNCTION("""COMPUTED_VALUE"""),"Rochefort")</f>
        <v>Rochefort</v>
      </c>
      <c r="F50" s="2" t="str">
        <f>IFERROR(__xludf.DUMMYFUNCTION("""COMPUTED_VALUE"""),"Beauraing")</f>
        <v>Beauraing</v>
      </c>
      <c r="G50" s="2" t="str">
        <f>IFERROR(__xludf.DUMMYFUNCTION("""COMPUTED_VALUE"""),"Namur")</f>
        <v>Namur</v>
      </c>
      <c r="H50" s="24" t="str">
        <f>IFERROR(__xludf.DUMMYFUNCTION("""COMPUTED_VALUE"""),"50.1394521, 5.0560848")</f>
        <v>50.1394521, 5.0560848</v>
      </c>
      <c r="I50" s="60" t="str">
        <f>IFERROR(__xludf.DUMMYFUNCTION("""COMPUTED_VALUE"""),"https://remorquepublicitaire.be/remorque/306")</f>
        <v>https://remorquepublicitaire.be/remorque/306</v>
      </c>
      <c r="J50" s="38"/>
      <c r="K50" s="58"/>
      <c r="L50" s="38"/>
      <c r="M50" s="38"/>
    </row>
    <row r="51">
      <c r="A51" s="24">
        <f>IFERROR(__xludf.DUMMYFUNCTION("""COMPUTED_VALUE"""),307.0)</f>
        <v>307</v>
      </c>
      <c r="B51" s="2" t="str">
        <f>IFERROR(__xludf.DUMMYFUNCTION("""COMPUTED_VALUE"""),"Hamois")</f>
        <v>Hamois</v>
      </c>
      <c r="C51" s="2" t="str">
        <f>IFERROR(__xludf.DUMMYFUNCTION("""COMPUTED_VALUE"""),"Hamois")</f>
        <v>Hamois</v>
      </c>
      <c r="D51" s="2" t="str">
        <f>IFERROR(__xludf.DUMMYFUNCTION("""COMPUTED_VALUE"""),"Ciney-Havelange-Liège")</f>
        <v>Ciney-Havelange-Liège</v>
      </c>
      <c r="E51" s="2" t="str">
        <f>IFERROR(__xludf.DUMMYFUNCTION("""COMPUTED_VALUE"""),"Havelange")</f>
        <v>Havelange</v>
      </c>
      <c r="F51" s="2" t="str">
        <f>IFERROR(__xludf.DUMMYFUNCTION("""COMPUTED_VALUE"""),"Ciney")</f>
        <v>Ciney</v>
      </c>
      <c r="G51" s="2" t="str">
        <f>IFERROR(__xludf.DUMMYFUNCTION("""COMPUTED_VALUE"""),"Namur")</f>
        <v>Namur</v>
      </c>
      <c r="H51" s="24" t="str">
        <f>IFERROR(__xludf.DUMMYFUNCTION("""COMPUTED_VALUE"""),"50.3254984, 5.1380244")</f>
        <v>50.3254984, 5.1380244</v>
      </c>
      <c r="I51" s="60" t="str">
        <f>IFERROR(__xludf.DUMMYFUNCTION("""COMPUTED_VALUE"""),"https://remorquepublicitaire.be/remorque/307")</f>
        <v>https://remorquepublicitaire.be/remorque/307</v>
      </c>
      <c r="J51" s="38"/>
      <c r="K51" s="58"/>
      <c r="L51" s="38"/>
      <c r="M51" s="38"/>
    </row>
    <row r="52">
      <c r="A52" s="24">
        <f>IFERROR(__xludf.DUMMYFUNCTION("""COMPUTED_VALUE"""),308.0)</f>
        <v>308</v>
      </c>
      <c r="B52" s="2" t="str">
        <f>IFERROR(__xludf.DUMMYFUNCTION("""COMPUTED_VALUE"""),"Ciney")</f>
        <v>Ciney</v>
      </c>
      <c r="C52" s="2" t="str">
        <f>IFERROR(__xludf.DUMMYFUNCTION("""COMPUTED_VALUE"""),"Barcène")</f>
        <v>Barcène</v>
      </c>
      <c r="D52" s="2" t="str">
        <f>IFERROR(__xludf.DUMMYFUNCTION("""COMPUTED_VALUE"""),"Ciney-Rochefort (entrée Ciney)")</f>
        <v>Ciney-Rochefort (entrée Ciney)</v>
      </c>
      <c r="E52" s="2" t="str">
        <f>IFERROR(__xludf.DUMMYFUNCTION("""COMPUTED_VALUE"""),"Ciney")</f>
        <v>Ciney</v>
      </c>
      <c r="F52" s="2" t="str">
        <f>IFERROR(__xludf.DUMMYFUNCTION("""COMPUTED_VALUE"""),"Rochefort")</f>
        <v>Rochefort</v>
      </c>
      <c r="G52" s="2" t="str">
        <f>IFERROR(__xludf.DUMMYFUNCTION("""COMPUTED_VALUE"""),"Namur")</f>
        <v>Namur</v>
      </c>
      <c r="H52" s="24" t="str">
        <f>IFERROR(__xludf.DUMMYFUNCTION("""COMPUTED_VALUE"""),"50.2752797, 5.0963554")</f>
        <v>50.2752797, 5.0963554</v>
      </c>
      <c r="I52" s="60" t="str">
        <f>IFERROR(__xludf.DUMMYFUNCTION("""COMPUTED_VALUE"""),"https://remorquepublicitaire.be/remorque/308")</f>
        <v>https://remorquepublicitaire.be/remorque/308</v>
      </c>
      <c r="J52" s="38"/>
      <c r="K52" s="58"/>
      <c r="L52" s="38"/>
      <c r="M52" s="38"/>
    </row>
    <row r="53">
      <c r="A53" s="24">
        <f>IFERROR(__xludf.DUMMYFUNCTION("""COMPUTED_VALUE"""),309.0)</f>
        <v>309</v>
      </c>
      <c r="B53" s="2" t="str">
        <f>IFERROR(__xludf.DUMMYFUNCTION("""COMPUTED_VALUE"""),"Ciney")</f>
        <v>Ciney</v>
      </c>
      <c r="C53" s="2" t="str">
        <f>IFERROR(__xludf.DUMMYFUNCTION("""COMPUTED_VALUE"""),"Lienne Bas")</f>
        <v>Lienne Bas</v>
      </c>
      <c r="D53" s="2" t="str">
        <f>IFERROR(__xludf.DUMMYFUNCTION("""COMPUTED_VALUE"""),"Ciney-Andenne (entrée Ciney)")</f>
        <v>Ciney-Andenne (entrée Ciney)</v>
      </c>
      <c r="E53" s="2" t="str">
        <f>IFERROR(__xludf.DUMMYFUNCTION("""COMPUTED_VALUE"""),"Ciney Centre")</f>
        <v>Ciney Centre</v>
      </c>
      <c r="F53" s="2" t="str">
        <f>IFERROR(__xludf.DUMMYFUNCTION("""COMPUTED_VALUE"""),"Andenne")</f>
        <v>Andenne</v>
      </c>
      <c r="G53" s="2" t="str">
        <f>IFERROR(__xludf.DUMMYFUNCTION("""COMPUTED_VALUE"""),"Namur")</f>
        <v>Namur</v>
      </c>
      <c r="H53" s="24" t="str">
        <f>IFERROR(__xludf.DUMMYFUNCTION("""COMPUTED_VALUE"""),"50.305106, 5.0981109")</f>
        <v>50.305106, 5.0981109</v>
      </c>
      <c r="I53" s="60" t="str">
        <f>IFERROR(__xludf.DUMMYFUNCTION("""COMPUTED_VALUE"""),"https://remorquepublicitaire.be/remorque/309")</f>
        <v>https://remorquepublicitaire.be/remorque/309</v>
      </c>
      <c r="J53" s="38"/>
      <c r="K53" s="58"/>
      <c r="L53" s="38"/>
      <c r="M53" s="38"/>
    </row>
    <row r="54">
      <c r="A54" s="24">
        <f>IFERROR(__xludf.DUMMYFUNCTION("""COMPUTED_VALUE"""),310.0)</f>
        <v>310</v>
      </c>
      <c r="B54" s="2" t="str">
        <f>IFERROR(__xludf.DUMMYFUNCTION("""COMPUTED_VALUE"""),"Ciney")</f>
        <v>Ciney</v>
      </c>
      <c r="C54" s="2" t="str">
        <f>IFERROR(__xludf.DUMMYFUNCTION("""COMPUTED_VALUE"""),"Biron Bas")</f>
        <v>Biron Bas</v>
      </c>
      <c r="D54" s="2" t="str">
        <f>IFERROR(__xludf.DUMMYFUNCTION("""COMPUTED_VALUE"""),"Sortie Ciney vers N4 et Liège")</f>
        <v>Sortie Ciney vers N4 et Liège</v>
      </c>
      <c r="E54" s="2" t="str">
        <f>IFERROR(__xludf.DUMMYFUNCTION("""COMPUTED_VALUE"""),"N4")</f>
        <v>N4</v>
      </c>
      <c r="F54" s="2" t="str">
        <f>IFERROR(__xludf.DUMMYFUNCTION("""COMPUTED_VALUE"""),"Ciney")</f>
        <v>Ciney</v>
      </c>
      <c r="G54" s="2" t="str">
        <f>IFERROR(__xludf.DUMMYFUNCTION("""COMPUTED_VALUE"""),"Namur")</f>
        <v>Namur</v>
      </c>
      <c r="H54" s="24" t="str">
        <f>IFERROR(__xludf.DUMMYFUNCTION("""COMPUTED_VALUE"""),"50.3075497, 5.1194358")</f>
        <v>50.3075497, 5.1194358</v>
      </c>
      <c r="I54" s="60" t="str">
        <f>IFERROR(__xludf.DUMMYFUNCTION("""COMPUTED_VALUE"""),"https://remorquepublicitaire.be/remorque/310")</f>
        <v>https://remorquepublicitaire.be/remorque/310</v>
      </c>
      <c r="J54" s="38"/>
      <c r="K54" s="58"/>
      <c r="L54" s="38"/>
      <c r="M54" s="38"/>
    </row>
    <row r="55">
      <c r="A55" s="24">
        <f>IFERROR(__xludf.DUMMYFUNCTION("""COMPUTED_VALUE"""),311.0)</f>
        <v>311</v>
      </c>
      <c r="B55" s="2" t="str">
        <f>IFERROR(__xludf.DUMMYFUNCTION("""COMPUTED_VALUE"""),"Ciney")</f>
        <v>Ciney</v>
      </c>
      <c r="C55" s="2" t="str">
        <f>IFERROR(__xludf.DUMMYFUNCTION("""COMPUTED_VALUE"""),"N4 Sanseau")</f>
        <v>N4 Sanseau</v>
      </c>
      <c r="D55" s="2" t="str">
        <f>IFERROR(__xludf.DUMMYFUNCTION("""COMPUTED_VALUE"""),"N4 Namur - Marche")</f>
        <v>N4 Namur - Marche</v>
      </c>
      <c r="E55" s="2" t="str">
        <f>IFERROR(__xludf.DUMMYFUNCTION("""COMPUTED_VALUE"""),"Marche-en-Famenne")</f>
        <v>Marche-en-Famenne</v>
      </c>
      <c r="F55" s="2" t="str">
        <f>IFERROR(__xludf.DUMMYFUNCTION("""COMPUTED_VALUE"""),"Namur")</f>
        <v>Namur</v>
      </c>
      <c r="G55" s="2" t="str">
        <f>IFERROR(__xludf.DUMMYFUNCTION("""COMPUTED_VALUE"""),"Namur")</f>
        <v>Namur</v>
      </c>
      <c r="H55" s="24" t="str">
        <f>IFERROR(__xludf.DUMMYFUNCTION("""COMPUTED_VALUE"""),"50.3151511, 5.1351671")</f>
        <v>50.3151511, 5.1351671</v>
      </c>
      <c r="I55" s="60" t="str">
        <f>IFERROR(__xludf.DUMMYFUNCTION("""COMPUTED_VALUE"""),"https://remorquepublicitaire.be/remorque/311")</f>
        <v>https://remorquepublicitaire.be/remorque/311</v>
      </c>
      <c r="J55" s="38"/>
      <c r="K55" s="58"/>
      <c r="L55" s="38"/>
      <c r="M55" s="38"/>
    </row>
    <row r="56">
      <c r="A56" s="24">
        <f>IFERROR(__xludf.DUMMYFUNCTION("""COMPUTED_VALUE"""),312.0)</f>
        <v>312</v>
      </c>
      <c r="B56" s="2" t="str">
        <f>IFERROR(__xludf.DUMMYFUNCTION("""COMPUTED_VALUE"""),"Dinant")</f>
        <v>Dinant</v>
      </c>
      <c r="C56" s="2" t="str">
        <f>IFERROR(__xludf.DUMMYFUNCTION("""COMPUTED_VALUE"""),"Sorinnes Achêne")</f>
        <v>Sorinnes Achêne</v>
      </c>
      <c r="D56" s="2" t="str">
        <f>IFERROR(__xludf.DUMMYFUNCTION("""COMPUTED_VALUE"""),"N936 Dinant-Ciney")</f>
        <v>N936 Dinant-Ciney</v>
      </c>
      <c r="E56" s="2" t="str">
        <f>IFERROR(__xludf.DUMMYFUNCTION("""COMPUTED_VALUE"""),"Ciney")</f>
        <v>Ciney</v>
      </c>
      <c r="F56" s="2" t="str">
        <f>IFERROR(__xludf.DUMMYFUNCTION("""COMPUTED_VALUE"""),"Dinant")</f>
        <v>Dinant</v>
      </c>
      <c r="G56" s="2" t="str">
        <f>IFERROR(__xludf.DUMMYFUNCTION("""COMPUTED_VALUE"""),"Namur")</f>
        <v>Namur</v>
      </c>
      <c r="H56" s="24" t="str">
        <f>IFERROR(__xludf.DUMMYFUNCTION("""COMPUTED_VALUE"""),"50.2613961, 5.0129627")</f>
        <v>50.2613961, 5.0129627</v>
      </c>
      <c r="I56" s="60" t="str">
        <f>IFERROR(__xludf.DUMMYFUNCTION("""COMPUTED_VALUE"""),"https://remorquepublicitaire.be/remorque/312")</f>
        <v>https://remorquepublicitaire.be/remorque/312</v>
      </c>
      <c r="J56" s="38"/>
      <c r="K56" s="58"/>
      <c r="L56" s="38"/>
      <c r="M56" s="38"/>
    </row>
    <row r="57">
      <c r="A57" s="24">
        <f>IFERROR(__xludf.DUMMYFUNCTION("""COMPUTED_VALUE"""),313.0)</f>
        <v>313</v>
      </c>
      <c r="B57" s="2" t="str">
        <f>IFERROR(__xludf.DUMMYFUNCTION("""COMPUTED_VALUE"""),"Dinant")</f>
        <v>Dinant</v>
      </c>
      <c r="C57" s="2" t="str">
        <f>IFERROR(__xludf.DUMMYFUNCTION("""COMPUTED_VALUE"""),"Sorinnes Hopital")</f>
        <v>Sorinnes Hopital</v>
      </c>
      <c r="D57" s="2" t="str">
        <f>IFERROR(__xludf.DUMMYFUNCTION("""COMPUTED_VALUE"""),"N937 Dinant-Ciney")</f>
        <v>N937 Dinant-Ciney</v>
      </c>
      <c r="E57" s="2" t="str">
        <f>IFERROR(__xludf.DUMMYFUNCTION("""COMPUTED_VALUE"""),"Dinant")</f>
        <v>Dinant</v>
      </c>
      <c r="F57" s="2" t="str">
        <f>IFERROR(__xludf.DUMMYFUNCTION("""COMPUTED_VALUE"""),"Ciney")</f>
        <v>Ciney</v>
      </c>
      <c r="G57" s="2" t="str">
        <f>IFERROR(__xludf.DUMMYFUNCTION("""COMPUTED_VALUE"""),"Namur")</f>
        <v>Namur</v>
      </c>
      <c r="H57" s="24" t="str">
        <f>IFERROR(__xludf.DUMMYFUNCTION("""COMPUTED_VALUE"""),"50.261012, 4.9683081")</f>
        <v>50.261012, 4.9683081</v>
      </c>
      <c r="I57" s="60" t="str">
        <f>IFERROR(__xludf.DUMMYFUNCTION("""COMPUTED_VALUE"""),"https://remorquepublicitaire.be/remorque/313")</f>
        <v>https://remorquepublicitaire.be/remorque/313</v>
      </c>
      <c r="J57" s="38"/>
      <c r="K57" s="58"/>
      <c r="L57" s="38"/>
      <c r="M57" s="38"/>
    </row>
    <row r="58">
      <c r="A58" s="24">
        <f>IFERROR(__xludf.DUMMYFUNCTION("""COMPUTED_VALUE"""),314.0)</f>
        <v>314</v>
      </c>
      <c r="B58" s="2" t="str">
        <f>IFERROR(__xludf.DUMMYFUNCTION("""COMPUTED_VALUE"""),"Dinant")</f>
        <v>Dinant</v>
      </c>
      <c r="C58" s="2" t="str">
        <f>IFERROR(__xludf.DUMMYFUNCTION("""COMPUTED_VALUE"""),"Sorinnes Hopital 2")</f>
        <v>Sorinnes Hopital 2</v>
      </c>
      <c r="D58" s="2" t="str">
        <f>IFERROR(__xludf.DUMMYFUNCTION("""COMPUTED_VALUE"""),"N937 Dinant-Ciney")</f>
        <v>N937 Dinant-Ciney</v>
      </c>
      <c r="E58" s="2" t="str">
        <f>IFERROR(__xludf.DUMMYFUNCTION("""COMPUTED_VALUE"""),"Dinant")</f>
        <v>Dinant</v>
      </c>
      <c r="F58" s="2" t="str">
        <f>IFERROR(__xludf.DUMMYFUNCTION("""COMPUTED_VALUE"""),"Ciney")</f>
        <v>Ciney</v>
      </c>
      <c r="G58" s="2" t="str">
        <f>IFERROR(__xludf.DUMMYFUNCTION("""COMPUTED_VALUE"""),"Namur")</f>
        <v>Namur</v>
      </c>
      <c r="H58" s="24" t="str">
        <f>IFERROR(__xludf.DUMMYFUNCTION("""COMPUTED_VALUE"""),"50.263099, 4.960991")</f>
        <v>50.263099, 4.960991</v>
      </c>
      <c r="I58" s="60" t="str">
        <f>IFERROR(__xludf.DUMMYFUNCTION("""COMPUTED_VALUE"""),"https://remorquepublicitaire.be/remorque/314")</f>
        <v>https://remorquepublicitaire.be/remorque/314</v>
      </c>
      <c r="J58" s="38"/>
      <c r="K58" s="38"/>
      <c r="L58" s="38"/>
      <c r="M58" s="38"/>
    </row>
    <row r="59">
      <c r="A59" s="24">
        <f>IFERROR(__xludf.DUMMYFUNCTION("""COMPUTED_VALUE"""),315.0)</f>
        <v>315</v>
      </c>
      <c r="B59" s="2" t="str">
        <f>IFERROR(__xludf.DUMMYFUNCTION("""COMPUTED_VALUE"""),"Dinant")</f>
        <v>Dinant</v>
      </c>
      <c r="C59" s="2" t="str">
        <f>IFERROR(__xludf.DUMMYFUNCTION("""COMPUTED_VALUE"""),"Anhée")</f>
        <v>Anhée</v>
      </c>
      <c r="D59" s="2" t="str">
        <f>IFERROR(__xludf.DUMMYFUNCTION("""COMPUTED_VALUE"""),"N96 Dinant-Namur")</f>
        <v>N96 Dinant-Namur</v>
      </c>
      <c r="E59" s="2" t="str">
        <f>IFERROR(__xludf.DUMMYFUNCTION("""COMPUTED_VALUE"""),"Dinant")</f>
        <v>Dinant</v>
      </c>
      <c r="F59" s="2" t="str">
        <f>IFERROR(__xludf.DUMMYFUNCTION("""COMPUTED_VALUE"""),"Namur")</f>
        <v>Namur</v>
      </c>
      <c r="G59" s="2" t="str">
        <f>IFERROR(__xludf.DUMMYFUNCTION("""COMPUTED_VALUE"""),"Namur")</f>
        <v>Namur</v>
      </c>
      <c r="H59" s="24" t="str">
        <f>IFERROR(__xludf.DUMMYFUNCTION("""COMPUTED_VALUE"""),"50.3014964, 4.8903215")</f>
        <v>50.3014964, 4.8903215</v>
      </c>
      <c r="I59" s="60" t="str">
        <f>IFERROR(__xludf.DUMMYFUNCTION("""COMPUTED_VALUE"""),"https://remorquepublicitaire.be/remorque/315")</f>
        <v>https://remorquepublicitaire.be/remorque/315</v>
      </c>
      <c r="J59" s="38"/>
      <c r="K59" s="58"/>
      <c r="L59" s="38"/>
      <c r="M59" s="38"/>
    </row>
    <row r="60">
      <c r="A60" s="24">
        <f>IFERROR(__xludf.DUMMYFUNCTION("""COMPUTED_VALUE"""),316.0)</f>
        <v>316</v>
      </c>
      <c r="B60" s="2" t="str">
        <f>IFERROR(__xludf.DUMMYFUNCTION("""COMPUTED_VALUE"""),"Dinant")</f>
        <v>Dinant</v>
      </c>
      <c r="C60" s="2" t="str">
        <f>IFERROR(__xludf.DUMMYFUNCTION("""COMPUTED_VALUE"""),"Falmignoul")</f>
        <v>Falmignoul</v>
      </c>
      <c r="D60" s="2" t="str">
        <f>IFERROR(__xludf.DUMMYFUNCTION("""COMPUTED_VALUE"""),"N95 Dinant-Beauraing")</f>
        <v>N95 Dinant-Beauraing</v>
      </c>
      <c r="E60" s="2" t="str">
        <f>IFERROR(__xludf.DUMMYFUNCTION("""COMPUTED_VALUE"""),"Beauraing")</f>
        <v>Beauraing</v>
      </c>
      <c r="F60" s="2" t="str">
        <f>IFERROR(__xludf.DUMMYFUNCTION("""COMPUTED_VALUE"""),"Dinant")</f>
        <v>Dinant</v>
      </c>
      <c r="G60" s="2" t="str">
        <f>IFERROR(__xludf.DUMMYFUNCTION("""COMPUTED_VALUE"""),"Namur")</f>
        <v>Namur</v>
      </c>
      <c r="H60" s="24" t="str">
        <f>IFERROR(__xludf.DUMMYFUNCTION("""COMPUTED_VALUE"""),"50.1907599, 4.898572")</f>
        <v>50.1907599, 4.898572</v>
      </c>
      <c r="I60" s="60" t="str">
        <f>IFERROR(__xludf.DUMMYFUNCTION("""COMPUTED_VALUE"""),"https://remorquepublicitaire.be/remorque/316")</f>
        <v>https://remorquepublicitaire.be/remorque/316</v>
      </c>
      <c r="J60" s="38"/>
      <c r="K60" s="58"/>
      <c r="L60" s="38"/>
      <c r="M60" s="38"/>
    </row>
    <row r="61">
      <c r="A61" s="24">
        <f>IFERROR(__xludf.DUMMYFUNCTION("""COMPUTED_VALUE"""),317.0)</f>
        <v>317</v>
      </c>
      <c r="B61" s="2" t="str">
        <f>IFERROR(__xludf.DUMMYFUNCTION("""COMPUTED_VALUE"""),"Dinant")</f>
        <v>Dinant</v>
      </c>
      <c r="C61" s="2" t="str">
        <f>IFERROR(__xludf.DUMMYFUNCTION("""COMPUTED_VALUE"""),"Anthée")</f>
        <v>Anthée</v>
      </c>
      <c r="D61" s="2" t="str">
        <f>IFERROR(__xludf.DUMMYFUNCTION("""COMPUTED_VALUE"""),"N97 Dinant-Philippeville")</f>
        <v>N97 Dinant-Philippeville</v>
      </c>
      <c r="E61" s="2" t="str">
        <f>IFERROR(__xludf.DUMMYFUNCTION("""COMPUTED_VALUE"""),"Philippeville")</f>
        <v>Philippeville</v>
      </c>
      <c r="F61" s="2" t="str">
        <f>IFERROR(__xludf.DUMMYFUNCTION("""COMPUTED_VALUE"""),"Dinant")</f>
        <v>Dinant</v>
      </c>
      <c r="G61" s="2" t="str">
        <f>IFERROR(__xludf.DUMMYFUNCTION("""COMPUTED_VALUE"""),"Namur")</f>
        <v>Namur</v>
      </c>
      <c r="H61" s="24" t="str">
        <f>IFERROR(__xludf.DUMMYFUNCTION("""COMPUTED_VALUE"""),"50.2407844, 4.7737902")</f>
        <v>50.2407844, 4.7737902</v>
      </c>
      <c r="I61" s="60" t="str">
        <f>IFERROR(__xludf.DUMMYFUNCTION("""COMPUTED_VALUE"""),"https://remorquepublicitaire.be/remorque/317")</f>
        <v>https://remorquepublicitaire.be/remorque/317</v>
      </c>
      <c r="J61" s="38"/>
      <c r="K61" s="58"/>
      <c r="L61" s="38"/>
      <c r="M61" s="38"/>
    </row>
    <row r="62">
      <c r="A62" s="24">
        <f>IFERROR(__xludf.DUMMYFUNCTION("""COMPUTED_VALUE"""),318.0)</f>
        <v>318</v>
      </c>
      <c r="B62" s="2" t="str">
        <f>IFERROR(__xludf.DUMMYFUNCTION("""COMPUTED_VALUE"""),"Eghezée")</f>
        <v>Eghezée</v>
      </c>
      <c r="C62" s="2" t="str">
        <f>IFERROR(__xludf.DUMMYFUNCTION("""COMPUTED_VALUE"""),"Eghezée ")</f>
        <v>Eghezée </v>
      </c>
      <c r="D62" s="2" t="str">
        <f>IFERROR(__xludf.DUMMYFUNCTION("""COMPUTED_VALUE"""),"N643 Eghezée - Andenne")</f>
        <v>N643 Eghezée - Andenne</v>
      </c>
      <c r="E62" s="2" t="str">
        <f>IFERROR(__xludf.DUMMYFUNCTION("""COMPUTED_VALUE"""),"Andenne")</f>
        <v>Andenne</v>
      </c>
      <c r="F62" s="2" t="str">
        <f>IFERROR(__xludf.DUMMYFUNCTION("""COMPUTED_VALUE"""),"Éghezée")</f>
        <v>Éghezée</v>
      </c>
      <c r="G62" s="62" t="str">
        <f>IFERROR(__xludf.DUMMYFUNCTION("""COMPUTED_VALUE"""),"Namur")</f>
        <v>Namur</v>
      </c>
      <c r="H62" s="24" t="str">
        <f>IFERROR(__xludf.DUMMYFUNCTION("""COMPUTED_VALUE"""),"50.590045, 4.920695")</f>
        <v>50.590045, 4.920695</v>
      </c>
      <c r="I62" s="60" t="str">
        <f>IFERROR(__xludf.DUMMYFUNCTION("""COMPUTED_VALUE"""),"https://remorquepublicitaire.be/remorque/318")</f>
        <v>https://remorquepublicitaire.be/remorque/318</v>
      </c>
      <c r="J62" s="38"/>
      <c r="K62" s="58"/>
      <c r="L62" s="38"/>
      <c r="M62" s="38"/>
    </row>
    <row r="63">
      <c r="A63" s="24">
        <f>IFERROR(__xludf.DUMMYFUNCTION("""COMPUTED_VALUE"""),319.0)</f>
        <v>319</v>
      </c>
      <c r="B63" s="2" t="str">
        <f>IFERROR(__xludf.DUMMYFUNCTION("""COMPUTED_VALUE"""),"Ciney")</f>
        <v>Ciney</v>
      </c>
      <c r="C63" s="2" t="str">
        <f>IFERROR(__xludf.DUMMYFUNCTION("""COMPUTED_VALUE"""),"Lienne Haut")</f>
        <v>Lienne Haut</v>
      </c>
      <c r="D63" s="2" t="str">
        <f>IFERROR(__xludf.DUMMYFUNCTION("""COMPUTED_VALUE"""),"Ciney-Andenne (sortie Ciney)")</f>
        <v>Ciney-Andenne (sortie Ciney)</v>
      </c>
      <c r="E63" s="2" t="str">
        <f>IFERROR(__xludf.DUMMYFUNCTION("""COMPUTED_VALUE"""),"Andenne")</f>
        <v>Andenne</v>
      </c>
      <c r="F63" s="2" t="str">
        <f>IFERROR(__xludf.DUMMYFUNCTION("""COMPUTED_VALUE"""),"Ciney")</f>
        <v>Ciney</v>
      </c>
      <c r="G63" s="2" t="str">
        <f>IFERROR(__xludf.DUMMYFUNCTION("""COMPUTED_VALUE"""),"Namur")</f>
        <v>Namur</v>
      </c>
      <c r="H63" s="24" t="str">
        <f>IFERROR(__xludf.DUMMYFUNCTION("""COMPUTED_VALUE"""),"50.3121467, 5.0986829")</f>
        <v>50.3121467, 5.0986829</v>
      </c>
      <c r="I63" s="60" t="str">
        <f>IFERROR(__xludf.DUMMYFUNCTION("""COMPUTED_VALUE"""),"https://remorquepublicitaire.be/remorque/319")</f>
        <v>https://remorquepublicitaire.be/remorque/319</v>
      </c>
      <c r="J63" s="38"/>
      <c r="K63" s="58"/>
      <c r="L63" s="38"/>
      <c r="M63" s="38"/>
    </row>
    <row r="64">
      <c r="A64" s="24">
        <f>IFERROR(__xludf.DUMMYFUNCTION("""COMPUTED_VALUE"""),320.0)</f>
        <v>320</v>
      </c>
      <c r="B64" s="2" t="str">
        <f>IFERROR(__xludf.DUMMYFUNCTION("""COMPUTED_VALUE"""),"Eghezée")</f>
        <v>Eghezée</v>
      </c>
      <c r="C64" s="2" t="str">
        <f>IFERROR(__xludf.DUMMYFUNCTION("""COMPUTED_VALUE"""),"Eghezée")</f>
        <v>Eghezée</v>
      </c>
      <c r="D64" s="2" t="str">
        <f>IFERROR(__xludf.DUMMYFUNCTION("""COMPUTED_VALUE"""),"N91 Chée de Namur")</f>
        <v>N91 Chée de Namur</v>
      </c>
      <c r="E64" s="2" t="str">
        <f>IFERROR(__xludf.DUMMYFUNCTION("""COMPUTED_VALUE"""),"Eghezee")</f>
        <v>Eghezee</v>
      </c>
      <c r="F64" s="2" t="str">
        <f>IFERROR(__xludf.DUMMYFUNCTION("""COMPUTED_VALUE"""),"Namur")</f>
        <v>Namur</v>
      </c>
      <c r="G64" s="2" t="str">
        <f>IFERROR(__xludf.DUMMYFUNCTION("""COMPUTED_VALUE"""),"Namur")</f>
        <v>Namur</v>
      </c>
      <c r="H64" s="24" t="str">
        <f>IFERROR(__xludf.DUMMYFUNCTION("""COMPUTED_VALUE"""),"50.581932, 4.9114519")</f>
        <v>50.581932, 4.9114519</v>
      </c>
      <c r="I64" s="60" t="str">
        <f>IFERROR(__xludf.DUMMYFUNCTION("""COMPUTED_VALUE"""),"https://remorquepublicitaire.be/remorque/320")</f>
        <v>https://remorquepublicitaire.be/remorque/320</v>
      </c>
      <c r="J64" s="38"/>
      <c r="K64" s="58"/>
      <c r="L64" s="38"/>
      <c r="M64" s="38"/>
    </row>
    <row r="65">
      <c r="A65" s="24">
        <f>IFERROR(__xludf.DUMMYFUNCTION("""COMPUTED_VALUE"""),321.0)</f>
        <v>321</v>
      </c>
      <c r="B65" s="2" t="str">
        <f>IFERROR(__xludf.DUMMYFUNCTION("""COMPUTED_VALUE"""),"Eghezée")</f>
        <v>Eghezée</v>
      </c>
      <c r="C65" s="2" t="str">
        <f>IFERROR(__xludf.DUMMYFUNCTION("""COMPUTED_VALUE"""),"Longchamps N912")</f>
        <v>Longchamps N912</v>
      </c>
      <c r="D65" s="2" t="str">
        <f>IFERROR(__xludf.DUMMYFUNCTION("""COMPUTED_VALUE"""),"Saint-Denis - Eghezée")</f>
        <v>Saint-Denis - Eghezée</v>
      </c>
      <c r="E65" s="2" t="str">
        <f>IFERROR(__xludf.DUMMYFUNCTION("""COMPUTED_VALUE"""),"E411")</f>
        <v>E411</v>
      </c>
      <c r="F65" s="2" t="str">
        <f>IFERROR(__xludf.DUMMYFUNCTION("""COMPUTED_VALUE"""),"Éghezée")</f>
        <v>Éghezée</v>
      </c>
      <c r="G65" s="2" t="str">
        <f>IFERROR(__xludf.DUMMYFUNCTION("""COMPUTED_VALUE"""),"Namur")</f>
        <v>Namur</v>
      </c>
      <c r="H65" s="24" t="str">
        <f>IFERROR(__xludf.DUMMYFUNCTION("""COMPUTED_VALUE"""),"50.575197, 4.860442")</f>
        <v>50.575197, 4.860442</v>
      </c>
      <c r="I65" s="60" t="str">
        <f>IFERROR(__xludf.DUMMYFUNCTION("""COMPUTED_VALUE"""),"https://remorquepublicitaire.be/remorque/321")</f>
        <v>https://remorquepublicitaire.be/remorque/321</v>
      </c>
      <c r="J65" s="38"/>
      <c r="K65" s="58"/>
      <c r="L65" s="38"/>
      <c r="M65" s="38"/>
    </row>
    <row r="66">
      <c r="A66" s="24">
        <f>IFERROR(__xludf.DUMMYFUNCTION("""COMPUTED_VALUE"""),322.0)</f>
        <v>322</v>
      </c>
      <c r="B66" s="2" t="str">
        <f>IFERROR(__xludf.DUMMYFUNCTION("""COMPUTED_VALUE"""),"Gembloux")</f>
        <v>Gembloux</v>
      </c>
      <c r="C66" s="2" t="str">
        <f>IFERROR(__xludf.DUMMYFUNCTION("""COMPUTED_VALUE"""),"3 clés")</f>
        <v>3 clés</v>
      </c>
      <c r="D66" s="2" t="str">
        <f>IFERROR(__xludf.DUMMYFUNCTION("""COMPUTED_VALUE"""),"Chée de Tirlemont")</f>
        <v>Chée de Tirlemont</v>
      </c>
      <c r="E66" s="2" t="str">
        <f>IFERROR(__xludf.DUMMYFUNCTION("""COMPUTED_VALUE"""),"E411")</f>
        <v>E411</v>
      </c>
      <c r="F66" s="2" t="str">
        <f>IFERROR(__xludf.DUMMYFUNCTION("""COMPUTED_VALUE"""),"Gembloux")</f>
        <v>Gembloux</v>
      </c>
      <c r="G66" s="2" t="str">
        <f>IFERROR(__xludf.DUMMYFUNCTION("""COMPUTED_VALUE"""),"Namur")</f>
        <v>Namur</v>
      </c>
      <c r="H66" s="24" t="str">
        <f>IFERROR(__xludf.DUMMYFUNCTION("""COMPUTED_VALUE"""),"50.5734752, 4.6992597")</f>
        <v>50.5734752, 4.6992597</v>
      </c>
      <c r="I66" s="60" t="str">
        <f>IFERROR(__xludf.DUMMYFUNCTION("""COMPUTED_VALUE"""),"https://remorquepublicitaire.be/remorque/322")</f>
        <v>https://remorquepublicitaire.be/remorque/322</v>
      </c>
      <c r="J66" s="38"/>
      <c r="K66" s="38"/>
      <c r="L66" s="38"/>
      <c r="M66" s="38"/>
    </row>
    <row r="67">
      <c r="A67" s="24">
        <f>IFERROR(__xludf.DUMMYFUNCTION("""COMPUTED_VALUE"""),323.0)</f>
        <v>323</v>
      </c>
      <c r="B67" s="2" t="str">
        <f>IFERROR(__xludf.DUMMYFUNCTION("""COMPUTED_VALUE"""),"Gembloux")</f>
        <v>Gembloux</v>
      </c>
      <c r="C67" s="2" t="str">
        <f>IFERROR(__xludf.DUMMYFUNCTION("""COMPUTED_VALUE"""),"Sauvenière 2")</f>
        <v>Sauvenière 2</v>
      </c>
      <c r="D67" s="2" t="str">
        <f>IFERROR(__xludf.DUMMYFUNCTION("""COMPUTED_VALUE"""),"E411 vers Gembloux")</f>
        <v>E411 vers Gembloux</v>
      </c>
      <c r="E67" s="2" t="str">
        <f>IFERROR(__xludf.DUMMYFUNCTION("""COMPUTED_VALUE"""),"Gembloux")</f>
        <v>Gembloux</v>
      </c>
      <c r="F67" s="2" t="str">
        <f>IFERROR(__xludf.DUMMYFUNCTION("""COMPUTED_VALUE"""),"E411")</f>
        <v>E411</v>
      </c>
      <c r="G67" s="2" t="str">
        <f>IFERROR(__xludf.DUMMYFUNCTION("""COMPUTED_VALUE"""),"Namur")</f>
        <v>Namur</v>
      </c>
      <c r="H67" s="24" t="str">
        <f>IFERROR(__xludf.DUMMYFUNCTION("""COMPUTED_VALUE"""),"50.580176, 4.707086")</f>
        <v>50.580176, 4.707086</v>
      </c>
      <c r="I67" s="60" t="str">
        <f>IFERROR(__xludf.DUMMYFUNCTION("""COMPUTED_VALUE"""),"https://remorquepublicitaire.be/remorque/323")</f>
        <v>https://remorquepublicitaire.be/remorque/323</v>
      </c>
      <c r="J67" s="38"/>
      <c r="K67" s="58"/>
      <c r="L67" s="38"/>
      <c r="M67" s="38"/>
    </row>
    <row r="68">
      <c r="A68" s="24">
        <f>IFERROR(__xludf.DUMMYFUNCTION("""COMPUTED_VALUE"""),324.0)</f>
        <v>324</v>
      </c>
      <c r="B68" s="2" t="str">
        <f>IFERROR(__xludf.DUMMYFUNCTION("""COMPUTED_VALUE"""),"Gembloux")</f>
        <v>Gembloux</v>
      </c>
      <c r="C68" s="2" t="str">
        <f>IFERROR(__xludf.DUMMYFUNCTION("""COMPUTED_VALUE"""),"Meux")</f>
        <v>Meux</v>
      </c>
      <c r="D68" s="2" t="str">
        <f>IFERROR(__xludf.DUMMYFUNCTION("""COMPUTED_VALUE"""),"Chée d'Eghezée")</f>
        <v>Chée d'Eghezée</v>
      </c>
      <c r="E68" s="2" t="str">
        <f>IFERROR(__xludf.DUMMYFUNCTION("""COMPUTED_VALUE"""),"E411")</f>
        <v>E411</v>
      </c>
      <c r="F68" s="2" t="str">
        <f>IFERROR(__xludf.DUMMYFUNCTION("""COMPUTED_VALUE"""),"Gembloux")</f>
        <v>Gembloux</v>
      </c>
      <c r="G68" s="2" t="str">
        <f>IFERROR(__xludf.DUMMYFUNCTION("""COMPUTED_VALUE"""),"Namur")</f>
        <v>Namur</v>
      </c>
      <c r="H68" s="24" t="str">
        <f>IFERROR(__xludf.DUMMYFUNCTION("""COMPUTED_VALUE"""),"50.539585, 4.790066")</f>
        <v>50.539585, 4.790066</v>
      </c>
      <c r="I68" s="60" t="str">
        <f>IFERROR(__xludf.DUMMYFUNCTION("""COMPUTED_VALUE"""),"https://remorquepublicitaire.be/remorque/324")</f>
        <v>https://remorquepublicitaire.be/remorque/324</v>
      </c>
      <c r="J68" s="42"/>
      <c r="K68" s="58"/>
      <c r="L68" s="38"/>
      <c r="M68" s="38"/>
    </row>
    <row r="69">
      <c r="A69" s="24">
        <f>IFERROR(__xludf.DUMMYFUNCTION("""COMPUTED_VALUE"""),325.0)</f>
        <v>325</v>
      </c>
      <c r="B69" s="2" t="str">
        <f>IFERROR(__xludf.DUMMYFUNCTION("""COMPUTED_VALUE"""),"Gembloux")</f>
        <v>Gembloux</v>
      </c>
      <c r="C69" s="2" t="str">
        <f>IFERROR(__xludf.DUMMYFUNCTION("""COMPUTED_VALUE"""),"Corroy-le-Château")</f>
        <v>Corroy-le-Château</v>
      </c>
      <c r="D69" s="2" t="str">
        <f>IFERROR(__xludf.DUMMYFUNCTION("""COMPUTED_VALUE"""),"N29 Chée de Charleroi")</f>
        <v>N29 Chée de Charleroi</v>
      </c>
      <c r="E69" s="2" t="str">
        <f>IFERROR(__xludf.DUMMYFUNCTION("""COMPUTED_VALUE"""),"Gembloux")</f>
        <v>Gembloux</v>
      </c>
      <c r="F69" s="2" t="str">
        <f>IFERROR(__xludf.DUMMYFUNCTION("""COMPUTED_VALUE"""),"Charleroi")</f>
        <v>Charleroi</v>
      </c>
      <c r="G69" s="2" t="str">
        <f>IFERROR(__xludf.DUMMYFUNCTION("""COMPUTED_VALUE"""),"Namur")</f>
        <v>Namur</v>
      </c>
      <c r="H69" s="24" t="str">
        <f>IFERROR(__xludf.DUMMYFUNCTION("""COMPUTED_VALUE"""),"50.5416541,4.6493314")</f>
        <v>50.5416541,4.6493314</v>
      </c>
      <c r="I69" s="60" t="str">
        <f>IFERROR(__xludf.DUMMYFUNCTION("""COMPUTED_VALUE"""),"https://remorquepublicitaire.be/remorque/325")</f>
        <v>https://remorquepublicitaire.be/remorque/325</v>
      </c>
      <c r="J69" s="38"/>
      <c r="K69" s="58"/>
      <c r="L69" s="38"/>
      <c r="M69" s="38"/>
    </row>
    <row r="70">
      <c r="A70" s="24">
        <f>IFERROR(__xludf.DUMMYFUNCTION("""COMPUTED_VALUE"""),326.0)</f>
        <v>326</v>
      </c>
      <c r="B70" s="2" t="str">
        <f>IFERROR(__xludf.DUMMYFUNCTION("""COMPUTED_VALUE"""),"Gembloux")</f>
        <v>Gembloux</v>
      </c>
      <c r="C70" s="2" t="str">
        <f>IFERROR(__xludf.DUMMYFUNCTION("""COMPUTED_VALUE"""),"Carrefour Didi - Les Isnes")</f>
        <v>Carrefour Didi - Les Isnes</v>
      </c>
      <c r="D70" s="2" t="str">
        <f>IFERROR(__xludf.DUMMYFUNCTION("""COMPUTED_VALUE"""),"N912 - Route d'Éghezée")</f>
        <v>N912 - Route d'Éghezée</v>
      </c>
      <c r="E70" s="2" t="str">
        <f>IFERROR(__xludf.DUMMYFUNCTION("""COMPUTED_VALUE"""),"Eghezée")</f>
        <v>Eghezée</v>
      </c>
      <c r="F70" s="2" t="str">
        <f>IFERROR(__xludf.DUMMYFUNCTION("""COMPUTED_VALUE"""),"E42")</f>
        <v>E42</v>
      </c>
      <c r="G70" s="2" t="str">
        <f>IFERROR(__xludf.DUMMYFUNCTION("""COMPUTED_VALUE"""),"Namur")</f>
        <v>Namur</v>
      </c>
      <c r="H70" s="24" t="str">
        <f>IFERROR(__xludf.DUMMYFUNCTION("""COMPUTED_VALUE"""),"50.5136363, 4.7586424")</f>
        <v>50.5136363, 4.7586424</v>
      </c>
      <c r="I70" s="60" t="str">
        <f>IFERROR(__xludf.DUMMYFUNCTION("""COMPUTED_VALUE"""),"https://remorquepublicitaire.be/remorque/326")</f>
        <v>https://remorquepublicitaire.be/remorque/326</v>
      </c>
      <c r="J70" s="38"/>
      <c r="K70" s="58"/>
      <c r="L70" s="38"/>
      <c r="M70" s="38"/>
    </row>
    <row r="71">
      <c r="A71" s="24">
        <f>IFERROR(__xludf.DUMMYFUNCTION("""COMPUTED_VALUE"""),327.0)</f>
        <v>327</v>
      </c>
      <c r="B71" s="2" t="str">
        <f>IFERROR(__xludf.DUMMYFUNCTION("""COMPUTED_VALUE"""),"Gembloux")</f>
        <v>Gembloux</v>
      </c>
      <c r="C71" s="2" t="str">
        <f>IFERROR(__xludf.DUMMYFUNCTION("""COMPUTED_VALUE"""),"Carrefour Didi - Gembloux")</f>
        <v>Carrefour Didi - Gembloux</v>
      </c>
      <c r="D71" s="2" t="str">
        <f>IFERROR(__xludf.DUMMYFUNCTION("""COMPUTED_VALUE"""),"N4 - Chée de Namur")</f>
        <v>N4 - Chée de Namur</v>
      </c>
      <c r="E71" s="2" t="str">
        <f>IFERROR(__xludf.DUMMYFUNCTION("""COMPUTED_VALUE"""),"Namur")</f>
        <v>Namur</v>
      </c>
      <c r="F71" s="2" t="str">
        <f>IFERROR(__xludf.DUMMYFUNCTION("""COMPUTED_VALUE"""),"Gembloux")</f>
        <v>Gembloux</v>
      </c>
      <c r="G71" s="2" t="str">
        <f>IFERROR(__xludf.DUMMYFUNCTION("""COMPUTED_VALUE"""),"Namur")</f>
        <v>Namur</v>
      </c>
      <c r="H71" s="24" t="str">
        <f>IFERROR(__xludf.DUMMYFUNCTION("""COMPUTED_VALUE"""),"50.5208923, 4.7608459")</f>
        <v>50.5208923, 4.7608459</v>
      </c>
      <c r="I71" s="60" t="str">
        <f>IFERROR(__xludf.DUMMYFUNCTION("""COMPUTED_VALUE"""),"https://remorquepublicitaire.be/remorque/327")</f>
        <v>https://remorquepublicitaire.be/remorque/327</v>
      </c>
      <c r="J71" s="38"/>
      <c r="K71" s="58"/>
      <c r="L71" s="38"/>
      <c r="M71" s="38"/>
    </row>
    <row r="72">
      <c r="A72" s="24">
        <f>IFERROR(__xludf.DUMMYFUNCTION("""COMPUTED_VALUE"""),328.0)</f>
        <v>328</v>
      </c>
      <c r="B72" s="2" t="str">
        <f>IFERROR(__xludf.DUMMYFUNCTION("""COMPUTED_VALUE"""),"Gembloux")</f>
        <v>Gembloux</v>
      </c>
      <c r="C72" s="2" t="str">
        <f>IFERROR(__xludf.DUMMYFUNCTION("""COMPUTED_VALUE"""),"Sauvenière")</f>
        <v>Sauvenière</v>
      </c>
      <c r="D72" s="2" t="str">
        <f>IFERROR(__xludf.DUMMYFUNCTION("""COMPUTED_VALUE"""),"Chée de Tirlemont")</f>
        <v>Chée de Tirlemont</v>
      </c>
      <c r="E72" s="2" t="str">
        <f>IFERROR(__xludf.DUMMYFUNCTION("""COMPUTED_VALUE"""),"E411")</f>
        <v>E411</v>
      </c>
      <c r="F72" s="2" t="str">
        <f>IFERROR(__xludf.DUMMYFUNCTION("""COMPUTED_VALUE"""),"Gembloux")</f>
        <v>Gembloux</v>
      </c>
      <c r="G72" s="2" t="str">
        <f>IFERROR(__xludf.DUMMYFUNCTION("""COMPUTED_VALUE"""),"Namur")</f>
        <v>Namur</v>
      </c>
      <c r="H72" s="24" t="str">
        <f>IFERROR(__xludf.DUMMYFUNCTION("""COMPUTED_VALUE"""),"50.5816383, 4.7096707")</f>
        <v>50.5816383, 4.7096707</v>
      </c>
      <c r="I72" s="60" t="str">
        <f>IFERROR(__xludf.DUMMYFUNCTION("""COMPUTED_VALUE"""),"https://remorquepublicitaire.be/remorque/328")</f>
        <v>https://remorquepublicitaire.be/remorque/328</v>
      </c>
      <c r="J72" s="58"/>
      <c r="K72" s="38"/>
      <c r="L72" s="38"/>
      <c r="M72" s="38"/>
    </row>
    <row r="73">
      <c r="A73" s="24">
        <f>IFERROR(__xludf.DUMMYFUNCTION("""COMPUTED_VALUE"""),329.0)</f>
        <v>329</v>
      </c>
      <c r="B73" s="2" t="str">
        <f>IFERROR(__xludf.DUMMYFUNCTION("""COMPUTED_VALUE"""),"Gembloux")</f>
        <v>Gembloux</v>
      </c>
      <c r="C73" s="2" t="str">
        <f>IFERROR(__xludf.DUMMYFUNCTION("""COMPUTED_VALUE"""),"Ernage/Walhain")</f>
        <v>Ernage/Walhain</v>
      </c>
      <c r="D73" s="2" t="str">
        <f>IFERROR(__xludf.DUMMYFUNCTION("""COMPUTED_VALUE"""),"N4 LLN - Gembloux")</f>
        <v>N4 LLN - Gembloux</v>
      </c>
      <c r="E73" s="2" t="str">
        <f>IFERROR(__xludf.DUMMYFUNCTION("""COMPUTED_VALUE"""),"LLN")</f>
        <v>LLN</v>
      </c>
      <c r="F73" s="2" t="str">
        <f>IFERROR(__xludf.DUMMYFUNCTION("""COMPUTED_VALUE"""),"Gembloux")</f>
        <v>Gembloux</v>
      </c>
      <c r="G73" s="2" t="str">
        <f>IFERROR(__xludf.DUMMYFUNCTION("""COMPUTED_VALUE"""),"Namur")</f>
        <v>Namur</v>
      </c>
      <c r="H73" s="24" t="str">
        <f>IFERROR(__xludf.DUMMYFUNCTION("""COMPUTED_VALUE"""),"50.6051349, 4.670823")</f>
        <v>50.6051349, 4.670823</v>
      </c>
      <c r="I73" s="60" t="str">
        <f>IFERROR(__xludf.DUMMYFUNCTION("""COMPUTED_VALUE"""),"https://remorquepublicitaire.be/remorque/329")</f>
        <v>https://remorquepublicitaire.be/remorque/329</v>
      </c>
      <c r="J73" s="38"/>
      <c r="K73" s="58"/>
      <c r="L73" s="38"/>
      <c r="M73" s="38"/>
    </row>
    <row r="74">
      <c r="A74" s="24">
        <f>IFERROR(__xludf.DUMMYFUNCTION("""COMPUTED_VALUE"""),330.0)</f>
        <v>330</v>
      </c>
      <c r="B74" s="2" t="str">
        <f>IFERROR(__xludf.DUMMYFUNCTION("""COMPUTED_VALUE"""),"Namur")</f>
        <v>Namur</v>
      </c>
      <c r="C74" s="2" t="str">
        <f>IFERROR(__xludf.DUMMYFUNCTION("""COMPUTED_VALUE"""),"Waret-La-Chée - Leuze")</f>
        <v>Waret-La-Chée - Leuze</v>
      </c>
      <c r="D74" s="2" t="str">
        <f>IFERROR(__xludf.DUMMYFUNCTION("""COMPUTED_VALUE"""),"Eghezée-Namur")</f>
        <v>Eghezée-Namur</v>
      </c>
      <c r="E74" s="2" t="str">
        <f>IFERROR(__xludf.DUMMYFUNCTION("""COMPUTED_VALUE"""),"Eghezee")</f>
        <v>Eghezee</v>
      </c>
      <c r="F74" s="2" t="str">
        <f>IFERROR(__xludf.DUMMYFUNCTION("""COMPUTED_VALUE"""),"E411 (Champion)")</f>
        <v>E411 (Champion)</v>
      </c>
      <c r="G74" s="2" t="str">
        <f>IFERROR(__xludf.DUMMYFUNCTION("""COMPUTED_VALUE"""),"Namur")</f>
        <v>Namur</v>
      </c>
      <c r="H74" s="24" t="str">
        <f>IFERROR(__xludf.DUMMYFUNCTION("""COMPUTED_VALUE"""),"50.536964, 4.9058462")</f>
        <v>50.536964, 4.9058462</v>
      </c>
      <c r="I74" s="60" t="str">
        <f>IFERROR(__xludf.DUMMYFUNCTION("""COMPUTED_VALUE"""),"https://remorquepublicitaire.be/remorque/330")</f>
        <v>https://remorquepublicitaire.be/remorque/330</v>
      </c>
      <c r="J74" s="38"/>
      <c r="K74" s="58"/>
      <c r="L74" s="38"/>
      <c r="M74" s="38"/>
    </row>
    <row r="75">
      <c r="A75" s="24">
        <f>IFERROR(__xludf.DUMMYFUNCTION("""COMPUTED_VALUE"""),331.0)</f>
        <v>331</v>
      </c>
      <c r="B75" s="2" t="str">
        <f>IFERROR(__xludf.DUMMYFUNCTION("""COMPUTED_VALUE"""),"Namur")</f>
        <v>Namur</v>
      </c>
      <c r="C75" s="2" t="str">
        <f>IFERROR(__xludf.DUMMYFUNCTION("""COMPUTED_VALUE"""),"Bouge")</f>
        <v>Bouge</v>
      </c>
      <c r="D75" s="2" t="str">
        <f>IFERROR(__xludf.DUMMYFUNCTION("""COMPUTED_VALUE"""),"Namur-Hannut")</f>
        <v>Namur-Hannut</v>
      </c>
      <c r="E75" s="2" t="str">
        <f>IFERROR(__xludf.DUMMYFUNCTION("""COMPUTED_VALUE"""),"Hannut")</f>
        <v>Hannut</v>
      </c>
      <c r="F75" s="2" t="str">
        <f>IFERROR(__xludf.DUMMYFUNCTION("""COMPUTED_VALUE"""),"Namur")</f>
        <v>Namur</v>
      </c>
      <c r="G75" s="2" t="str">
        <f>IFERROR(__xludf.DUMMYFUNCTION("""COMPUTED_VALUE"""),"Namur")</f>
        <v>Namur</v>
      </c>
      <c r="H75" s="24" t="str">
        <f>IFERROR(__xludf.DUMMYFUNCTION("""COMPUTED_VALUE"""),"50.4862185, 4.9209107")</f>
        <v>50.4862185, 4.9209107</v>
      </c>
      <c r="I75" s="60" t="str">
        <f>IFERROR(__xludf.DUMMYFUNCTION("""COMPUTED_VALUE"""),"https://remorquepublicitaire.be/remorque/331")</f>
        <v>https://remorquepublicitaire.be/remorque/331</v>
      </c>
      <c r="J75" s="38"/>
      <c r="K75" s="58"/>
      <c r="L75" s="38"/>
      <c r="M75" s="38"/>
    </row>
    <row r="76">
      <c r="A76" s="24">
        <f>IFERROR(__xludf.DUMMYFUNCTION("""COMPUTED_VALUE"""),332.0)</f>
        <v>332</v>
      </c>
      <c r="B76" s="2" t="str">
        <f>IFERROR(__xludf.DUMMYFUNCTION("""COMPUTED_VALUE"""),"Namur")</f>
        <v>Namur</v>
      </c>
      <c r="C76" s="2" t="str">
        <f>IFERROR(__xludf.DUMMYFUNCTION("""COMPUTED_VALUE"""),"Flawinne")</f>
        <v>Flawinne</v>
      </c>
      <c r="D76" s="2" t="str">
        <f>IFERROR(__xludf.DUMMYFUNCTION("""COMPUTED_VALUE"""),"Floreffe-Namur")</f>
        <v>Floreffe-Namur</v>
      </c>
      <c r="E76" s="2" t="str">
        <f>IFERROR(__xludf.DUMMYFUNCTION("""COMPUTED_VALUE"""),"Namur")</f>
        <v>Namur</v>
      </c>
      <c r="F76" s="2" t="str">
        <f>IFERROR(__xludf.DUMMYFUNCTION("""COMPUTED_VALUE"""),"Floreffe")</f>
        <v>Floreffe</v>
      </c>
      <c r="G76" s="2" t="str">
        <f>IFERROR(__xludf.DUMMYFUNCTION("""COMPUTED_VALUE"""),"Namur")</f>
        <v>Namur</v>
      </c>
      <c r="H76" s="24" t="str">
        <f>IFERROR(__xludf.DUMMYFUNCTION("""COMPUTED_VALUE"""),"50.450562, 4.8107028")</f>
        <v>50.450562, 4.8107028</v>
      </c>
      <c r="I76" s="60" t="str">
        <f>IFERROR(__xludf.DUMMYFUNCTION("""COMPUTED_VALUE"""),"https://remorquepublicitaire.be/remorque/332")</f>
        <v>https://remorquepublicitaire.be/remorque/332</v>
      </c>
      <c r="J76" s="38"/>
      <c r="K76" s="58"/>
      <c r="L76" s="38"/>
      <c r="M76" s="38"/>
    </row>
    <row r="77">
      <c r="A77" s="24">
        <f>IFERROR(__xludf.DUMMYFUNCTION("""COMPUTED_VALUE"""),333.0)</f>
        <v>333</v>
      </c>
      <c r="B77" s="2" t="str">
        <f>IFERROR(__xludf.DUMMYFUNCTION("""COMPUTED_VALUE"""),"Namur")</f>
        <v>Namur</v>
      </c>
      <c r="C77" s="2" t="str">
        <f>IFERROR(__xludf.DUMMYFUNCTION("""COMPUTED_VALUE"""),"Malonne - Tonton Tapis")</f>
        <v>Malonne - Tonton Tapis</v>
      </c>
      <c r="D77" s="2" t="str">
        <f>IFERROR(__xludf.DUMMYFUNCTION("""COMPUTED_VALUE"""),"Namur-Floreffe")</f>
        <v>Namur-Floreffe</v>
      </c>
      <c r="E77" s="2" t="str">
        <f>IFERROR(__xludf.DUMMYFUNCTION("""COMPUTED_VALUE"""),"Floreffe")</f>
        <v>Floreffe</v>
      </c>
      <c r="F77" s="2" t="str">
        <f>IFERROR(__xludf.DUMMYFUNCTION("""COMPUTED_VALUE"""),"Namur")</f>
        <v>Namur</v>
      </c>
      <c r="G77" s="2" t="str">
        <f>IFERROR(__xludf.DUMMYFUNCTION("""COMPUTED_VALUE"""),"Namur")</f>
        <v>Namur</v>
      </c>
      <c r="H77" s="24" t="str">
        <f>IFERROR(__xludf.DUMMYFUNCTION("""COMPUTED_VALUE"""),"50.4488541, 4.8304734")</f>
        <v>50.4488541, 4.8304734</v>
      </c>
      <c r="I77" s="60" t="str">
        <f>IFERROR(__xludf.DUMMYFUNCTION("""COMPUTED_VALUE"""),"https://remorquepublicitaire.be/remorque/333")</f>
        <v>https://remorquepublicitaire.be/remorque/333</v>
      </c>
      <c r="J77" s="38"/>
      <c r="K77" s="58"/>
      <c r="L77" s="38"/>
      <c r="M77" s="38"/>
    </row>
    <row r="78">
      <c r="A78" s="24">
        <f>IFERROR(__xludf.DUMMYFUNCTION("""COMPUTED_VALUE"""),334.0)</f>
        <v>334</v>
      </c>
      <c r="B78" s="2" t="str">
        <f>IFERROR(__xludf.DUMMYFUNCTION("""COMPUTED_VALUE"""),"Namur")</f>
        <v>Namur</v>
      </c>
      <c r="C78" s="2" t="str">
        <f>IFERROR(__xludf.DUMMYFUNCTION("""COMPUTED_VALUE"""),"Rhisnes")</f>
        <v>Rhisnes</v>
      </c>
      <c r="D78" s="2" t="str">
        <f>IFERROR(__xludf.DUMMYFUNCTION("""COMPUTED_VALUE"""),"Gembloux-Namur (entrée Namur)")</f>
        <v>Gembloux-Namur (entrée Namur)</v>
      </c>
      <c r="E78" s="2" t="str">
        <f>IFERROR(__xludf.DUMMYFUNCTION("""COMPUTED_VALUE"""),"Namur")</f>
        <v>Namur</v>
      </c>
      <c r="F78" s="2" t="str">
        <f>IFERROR(__xludf.DUMMYFUNCTION("""COMPUTED_VALUE"""),"Gembloux")</f>
        <v>Gembloux</v>
      </c>
      <c r="G78" s="2" t="str">
        <f>IFERROR(__xludf.DUMMYFUNCTION("""COMPUTED_VALUE"""),"Namur")</f>
        <v>Namur</v>
      </c>
      <c r="H78" s="24" t="str">
        <f>IFERROR(__xludf.DUMMYFUNCTION("""COMPUTED_VALUE"""),"50.4927261, 4.7878357")</f>
        <v>50.4927261, 4.7878357</v>
      </c>
      <c r="I78" s="60" t="str">
        <f>IFERROR(__xludf.DUMMYFUNCTION("""COMPUTED_VALUE"""),"https://remorquepublicitaire.be/remorque/334")</f>
        <v>https://remorquepublicitaire.be/remorque/334</v>
      </c>
      <c r="J78" s="38"/>
      <c r="K78" s="58"/>
      <c r="L78" s="38"/>
      <c r="M78" s="38"/>
    </row>
    <row r="79">
      <c r="A79" s="24">
        <f>IFERROR(__xludf.DUMMYFUNCTION("""COMPUTED_VALUE"""),335.0)</f>
        <v>335</v>
      </c>
      <c r="B79" s="2" t="str">
        <f>IFERROR(__xludf.DUMMYFUNCTION("""COMPUTED_VALUE"""),"Namur")</f>
        <v>Namur</v>
      </c>
      <c r="C79" s="2" t="str">
        <f>IFERROR(__xludf.DUMMYFUNCTION("""COMPUTED_VALUE"""),"Temploux")</f>
        <v>Temploux</v>
      </c>
      <c r="D79" s="2" t="str">
        <f>IFERROR(__xludf.DUMMYFUNCTION("""COMPUTED_VALUE"""),"Sombreffe-Namur (entrée Namur)")</f>
        <v>Sombreffe-Namur (entrée Namur)</v>
      </c>
      <c r="E79" s="2" t="str">
        <f>IFERROR(__xludf.DUMMYFUNCTION("""COMPUTED_VALUE"""),"Namur")</f>
        <v>Namur</v>
      </c>
      <c r="F79" s="2" t="str">
        <f>IFERROR(__xludf.DUMMYFUNCTION("""COMPUTED_VALUE"""),"Nivelles")</f>
        <v>Nivelles</v>
      </c>
      <c r="G79" s="2" t="str">
        <f>IFERROR(__xludf.DUMMYFUNCTION("""COMPUTED_VALUE"""),"Namur")</f>
        <v>Namur</v>
      </c>
      <c r="H79" s="24" t="str">
        <f>IFERROR(__xludf.DUMMYFUNCTION("""COMPUTED_VALUE"""),"50.4885326, 4.7495484")</f>
        <v>50.4885326, 4.7495484</v>
      </c>
      <c r="I79" s="60" t="str">
        <f>IFERROR(__xludf.DUMMYFUNCTION("""COMPUTED_VALUE"""),"https://remorquepublicitaire.be/remorque/335")</f>
        <v>https://remorquepublicitaire.be/remorque/335</v>
      </c>
      <c r="J79" s="38"/>
      <c r="K79" s="58"/>
      <c r="L79" s="38"/>
      <c r="M79" s="38"/>
    </row>
    <row r="80">
      <c r="A80" s="24">
        <f>IFERROR(__xludf.DUMMYFUNCTION("""COMPUTED_VALUE"""),336.0)</f>
        <v>336</v>
      </c>
      <c r="B80" s="2" t="str">
        <f>IFERROR(__xludf.DUMMYFUNCTION("""COMPUTED_VALUE"""),"Namur")</f>
        <v>Namur</v>
      </c>
      <c r="C80" s="2" t="str">
        <f>IFERROR(__xludf.DUMMYFUNCTION("""COMPUTED_VALUE"""),"Bois de villers")</f>
        <v>Bois de villers</v>
      </c>
      <c r="D80" s="2" t="str">
        <f>IFERROR(__xludf.DUMMYFUNCTION("""COMPUTED_VALUE"""),"Av les 6 bras Floreffe-Bois de Villers")</f>
        <v>Av les 6 bras Floreffe-Bois de Villers</v>
      </c>
      <c r="E80" s="2" t="str">
        <f>IFERROR(__xludf.DUMMYFUNCTION("""COMPUTED_VALUE"""),"Bois de Villers")</f>
        <v>Bois de Villers</v>
      </c>
      <c r="F80" s="2" t="str">
        <f>IFERROR(__xludf.DUMMYFUNCTION("""COMPUTED_VALUE"""),"Floreffe")</f>
        <v>Floreffe</v>
      </c>
      <c r="G80" s="2" t="str">
        <f>IFERROR(__xludf.DUMMYFUNCTION("""COMPUTED_VALUE"""),"Namur")</f>
        <v>Namur</v>
      </c>
      <c r="H80" s="24" t="str">
        <f>IFERROR(__xludf.DUMMYFUNCTION("""COMPUTED_VALUE"""),"50.3922977, 4.7997178")</f>
        <v>50.3922977, 4.7997178</v>
      </c>
      <c r="I80" s="60" t="str">
        <f>IFERROR(__xludf.DUMMYFUNCTION("""COMPUTED_VALUE"""),"https://remorquepublicitaire.be/remorque/336")</f>
        <v>https://remorquepublicitaire.be/remorque/336</v>
      </c>
      <c r="J80" s="38"/>
      <c r="K80" s="58"/>
      <c r="L80" s="38"/>
      <c r="M80" s="38"/>
    </row>
    <row r="81">
      <c r="A81" s="24">
        <f>IFERROR(__xludf.DUMMYFUNCTION("""COMPUTED_VALUE"""),337.0)</f>
        <v>337</v>
      </c>
      <c r="B81" s="2" t="str">
        <f>IFERROR(__xludf.DUMMYFUNCTION("""COMPUTED_VALUE"""),"Namur")</f>
        <v>Namur</v>
      </c>
      <c r="C81" s="2" t="str">
        <f>IFERROR(__xludf.DUMMYFUNCTION("""COMPUTED_VALUE"""),"Wépion Criée")</f>
        <v>Wépion Criée</v>
      </c>
      <c r="D81" s="2" t="str">
        <f>IFERROR(__xludf.DUMMYFUNCTION("""COMPUTED_VALUE"""),"St Gerard-Namur")</f>
        <v>St Gerard-Namur</v>
      </c>
      <c r="E81" s="2" t="str">
        <f>IFERROR(__xludf.DUMMYFUNCTION("""COMPUTED_VALUE"""),"Wépion")</f>
        <v>Wépion</v>
      </c>
      <c r="F81" s="2" t="str">
        <f>IFERROR(__xludf.DUMMYFUNCTION("""COMPUTED_VALUE"""),"Bois de Villers")</f>
        <v>Bois de Villers</v>
      </c>
      <c r="G81" s="2" t="str">
        <f>IFERROR(__xludf.DUMMYFUNCTION("""COMPUTED_VALUE"""),"Namur")</f>
        <v>Namur</v>
      </c>
      <c r="H81" s="24" t="str">
        <f>IFERROR(__xludf.DUMMYFUNCTION("""COMPUTED_VALUE"""),"50.4101372, 4.8409662")</f>
        <v>50.4101372, 4.8409662</v>
      </c>
      <c r="I81" s="60" t="str">
        <f>IFERROR(__xludf.DUMMYFUNCTION("""COMPUTED_VALUE"""),"https://remorquepublicitaire.be/remorque/337")</f>
        <v>https://remorquepublicitaire.be/remorque/337</v>
      </c>
      <c r="J81" s="38"/>
      <c r="K81" s="58"/>
      <c r="L81" s="38"/>
      <c r="M81" s="38"/>
    </row>
    <row r="82">
      <c r="A82" s="24">
        <f>IFERROR(__xludf.DUMMYFUNCTION("""COMPUTED_VALUE"""),338.0)</f>
        <v>338</v>
      </c>
      <c r="B82" s="2" t="str">
        <f>IFERROR(__xludf.DUMMYFUNCTION("""COMPUTED_VALUE"""),"Namur")</f>
        <v>Namur</v>
      </c>
      <c r="C82" s="2" t="str">
        <f>IFERROR(__xludf.DUMMYFUNCTION("""COMPUTED_VALUE"""),"Floriffoux")</f>
        <v>Floriffoux</v>
      </c>
      <c r="D82" s="2" t="str">
        <f>IFERROR(__xludf.DUMMYFUNCTION("""COMPUTED_VALUE"""),"N958 - Suarlée - Floreffe")</f>
        <v>N958 - Suarlée - Floreffe</v>
      </c>
      <c r="E82" s="2" t="str">
        <f>IFERROR(__xludf.DUMMYFUNCTION("""COMPUTED_VALUE"""),"Floreffe")</f>
        <v>Floreffe</v>
      </c>
      <c r="F82" s="2" t="str">
        <f>IFERROR(__xludf.DUMMYFUNCTION("""COMPUTED_VALUE"""),"Suarlée")</f>
        <v>Suarlée</v>
      </c>
      <c r="G82" s="2" t="str">
        <f>IFERROR(__xludf.DUMMYFUNCTION("""COMPUTED_VALUE"""),"Namur")</f>
        <v>Namur</v>
      </c>
      <c r="H82" s="24" t="str">
        <f>IFERROR(__xludf.DUMMYFUNCTION("""COMPUTED_VALUE"""),"50.4645005, 4.7675327")</f>
        <v>50.4645005, 4.7675327</v>
      </c>
      <c r="I82" s="60" t="str">
        <f>IFERROR(__xludf.DUMMYFUNCTION("""COMPUTED_VALUE"""),"https://remorquepublicitaire.be/remorque/338")</f>
        <v>https://remorquepublicitaire.be/remorque/338</v>
      </c>
      <c r="J82" s="38"/>
      <c r="K82" s="58"/>
      <c r="L82" s="38"/>
      <c r="M82" s="38"/>
    </row>
    <row r="83">
      <c r="A83" s="24">
        <f>IFERROR(__xludf.DUMMYFUNCTION("""COMPUTED_VALUE"""),339.0)</f>
        <v>339</v>
      </c>
      <c r="B83" s="2" t="str">
        <f>IFERROR(__xludf.DUMMYFUNCTION("""COMPUTED_VALUE"""),"Namur")</f>
        <v>Namur</v>
      </c>
      <c r="C83" s="2" t="str">
        <f>IFERROR(__xludf.DUMMYFUNCTION("""COMPUTED_VALUE"""),"Fosses la Ville")</f>
        <v>Fosses la Ville</v>
      </c>
      <c r="D83" s="2" t="str">
        <f>IFERROR(__xludf.DUMMYFUNCTION("""COMPUTED_VALUE"""),"N922 vers Fosses la Ville")</f>
        <v>N922 vers Fosses la Ville</v>
      </c>
      <c r="E83" s="2" t="str">
        <f>IFERROR(__xludf.DUMMYFUNCTION("""COMPUTED_VALUE"""),"Fosses")</f>
        <v>Fosses</v>
      </c>
      <c r="F83" s="2" t="str">
        <f>IFERROR(__xludf.DUMMYFUNCTION("""COMPUTED_VALUE"""),"Floreffe")</f>
        <v>Floreffe</v>
      </c>
      <c r="G83" s="2" t="str">
        <f>IFERROR(__xludf.DUMMYFUNCTION("""COMPUTED_VALUE"""),"Namur")</f>
        <v>Namur</v>
      </c>
      <c r="H83" s="24" t="str">
        <f>IFERROR(__xludf.DUMMYFUNCTION("""COMPUTED_VALUE"""),"50.3986841, 4.72681")</f>
        <v>50.3986841, 4.72681</v>
      </c>
      <c r="I83" s="60" t="str">
        <f>IFERROR(__xludf.DUMMYFUNCTION("""COMPUTED_VALUE"""),"https://remorquepublicitaire.be/remorque/339")</f>
        <v>https://remorquepublicitaire.be/remorque/339</v>
      </c>
      <c r="J83" s="38"/>
      <c r="K83" s="58"/>
      <c r="L83" s="38"/>
      <c r="M83" s="38"/>
    </row>
    <row r="84">
      <c r="A84" s="24">
        <f>IFERROR(__xludf.DUMMYFUNCTION("""COMPUTED_VALUE"""),340.0)</f>
        <v>340</v>
      </c>
      <c r="B84" s="2" t="str">
        <f>IFERROR(__xludf.DUMMYFUNCTION("""COMPUTED_VALUE"""),"Namur")</f>
        <v>Namur</v>
      </c>
      <c r="C84" s="2" t="str">
        <f>IFERROR(__xludf.DUMMYFUNCTION("""COMPUTED_VALUE"""),"Naninne")</f>
        <v>Naninne</v>
      </c>
      <c r="D84" s="2" t="str">
        <f>IFERROR(__xludf.DUMMYFUNCTION("""COMPUTED_VALUE"""),"N4 - Namur-Marche")</f>
        <v>N4 - Namur-Marche</v>
      </c>
      <c r="E84" s="2" t="str">
        <f>IFERROR(__xludf.DUMMYFUNCTION("""COMPUTED_VALUE"""),"Ciney")</f>
        <v>Ciney</v>
      </c>
      <c r="F84" s="2" t="str">
        <f>IFERROR(__xludf.DUMMYFUNCTION("""COMPUTED_VALUE"""),"Namur")</f>
        <v>Namur</v>
      </c>
      <c r="G84" s="2" t="str">
        <f>IFERROR(__xludf.DUMMYFUNCTION("""COMPUTED_VALUE"""),"Namur")</f>
        <v>Namur</v>
      </c>
      <c r="H84" s="24" t="str">
        <f>IFERROR(__xludf.DUMMYFUNCTION("""COMPUTED_VALUE"""),"50.415937, 4.9450598")</f>
        <v>50.415937, 4.9450598</v>
      </c>
      <c r="I84" s="60" t="str">
        <f>IFERROR(__xludf.DUMMYFUNCTION("""COMPUTED_VALUE"""),"https://remorquepublicitaire.be/remorque/340")</f>
        <v>https://remorquepublicitaire.be/remorque/340</v>
      </c>
      <c r="J84" s="38"/>
      <c r="K84" s="58"/>
      <c r="L84" s="38"/>
      <c r="M84" s="38"/>
    </row>
    <row r="85">
      <c r="A85" s="24">
        <f>IFERROR(__xludf.DUMMYFUNCTION("""COMPUTED_VALUE"""),341.0)</f>
        <v>341</v>
      </c>
      <c r="B85" s="2" t="str">
        <f>IFERROR(__xludf.DUMMYFUNCTION("""COMPUTED_VALUE"""),"Namur")</f>
        <v>Namur</v>
      </c>
      <c r="C85" s="2" t="str">
        <f>IFERROR(__xludf.DUMMYFUNCTION("""COMPUTED_VALUE"""),"Courrière")</f>
        <v>Courrière</v>
      </c>
      <c r="D85" s="2" t="str">
        <f>IFERROR(__xludf.DUMMYFUNCTION("""COMPUTED_VALUE"""),"N4 - Namur-Marche")</f>
        <v>N4 - Namur-Marche</v>
      </c>
      <c r="E85" s="2" t="str">
        <f>IFERROR(__xludf.DUMMYFUNCTION("""COMPUTED_VALUE"""),"Ciney")</f>
        <v>Ciney</v>
      </c>
      <c r="F85" s="2" t="str">
        <f>IFERROR(__xludf.DUMMYFUNCTION("""COMPUTED_VALUE"""),"Namur")</f>
        <v>Namur</v>
      </c>
      <c r="G85" s="2" t="str">
        <f>IFERROR(__xludf.DUMMYFUNCTION("""COMPUTED_VALUE"""),"Namur")</f>
        <v>Namur</v>
      </c>
      <c r="H85" s="24" t="str">
        <f>IFERROR(__xludf.DUMMYFUNCTION("""COMPUTED_VALUE"""),"50.384916, 4.995912")</f>
        <v>50.384916, 4.995912</v>
      </c>
      <c r="I85" s="60" t="str">
        <f>IFERROR(__xludf.DUMMYFUNCTION("""COMPUTED_VALUE"""),"https://remorquepublicitaire.be/remorque/341")</f>
        <v>https://remorquepublicitaire.be/remorque/341</v>
      </c>
      <c r="J85" s="38"/>
      <c r="K85" s="58"/>
      <c r="L85" s="38"/>
      <c r="M85" s="38"/>
    </row>
    <row r="86">
      <c r="A86" s="24">
        <f>IFERROR(__xludf.DUMMYFUNCTION("""COMPUTED_VALUE"""),342.0)</f>
        <v>342</v>
      </c>
      <c r="B86" s="2" t="str">
        <f>IFERROR(__xludf.DUMMYFUNCTION("""COMPUTED_VALUE"""),"Namur")</f>
        <v>Namur</v>
      </c>
      <c r="C86" s="2" t="str">
        <f>IFERROR(__xludf.DUMMYFUNCTION("""COMPUTED_VALUE"""),"Arville/Sart Bernard")</f>
        <v>Arville/Sart Bernard</v>
      </c>
      <c r="D86" s="2" t="str">
        <f>IFERROR(__xludf.DUMMYFUNCTION("""COMPUTED_VALUE"""),"N4 Ciney-Namur")</f>
        <v>N4 Ciney-Namur</v>
      </c>
      <c r="E86" s="2" t="str">
        <f>IFERROR(__xludf.DUMMYFUNCTION("""COMPUTED_VALUE"""),"Namur")</f>
        <v>Namur</v>
      </c>
      <c r="F86" s="2" t="str">
        <f>IFERROR(__xludf.DUMMYFUNCTION("""COMPUTED_VALUE"""),"Ciney")</f>
        <v>Ciney</v>
      </c>
      <c r="G86" s="2" t="str">
        <f>IFERROR(__xludf.DUMMYFUNCTION("""COMPUTED_VALUE"""),"Namur")</f>
        <v>Namur</v>
      </c>
      <c r="H86" s="24" t="str">
        <f>IFERROR(__xludf.DUMMYFUNCTION("""COMPUTED_VALUE"""),"50.4101432, 4.9550446")</f>
        <v>50.4101432, 4.9550446</v>
      </c>
      <c r="I86" s="60" t="str">
        <f>IFERROR(__xludf.DUMMYFUNCTION("""COMPUTED_VALUE"""),"https://remorquepublicitaire.be/remorque/342")</f>
        <v>https://remorquepublicitaire.be/remorque/342</v>
      </c>
      <c r="J86" s="38"/>
      <c r="K86" s="58"/>
      <c r="L86" s="38"/>
      <c r="M86" s="38"/>
    </row>
    <row r="87">
      <c r="A87" s="24">
        <f>IFERROR(__xludf.DUMMYFUNCTION("""COMPUTED_VALUE"""),343.0)</f>
        <v>343</v>
      </c>
      <c r="B87" s="2" t="str">
        <f>IFERROR(__xludf.DUMMYFUNCTION("""COMPUTED_VALUE"""),"Namur")</f>
        <v>Namur</v>
      </c>
      <c r="C87" s="2" t="str">
        <f>IFERROR(__xludf.DUMMYFUNCTION("""COMPUTED_VALUE"""),"Wierde")</f>
        <v>Wierde</v>
      </c>
      <c r="D87" s="2" t="str">
        <f>IFERROR(__xludf.DUMMYFUNCTION("""COMPUTED_VALUE"""),"entre sortie E411 et rond pt Naninne")</f>
        <v>entre sortie E411 et rond pt Naninne</v>
      </c>
      <c r="E87" s="2" t="str">
        <f>IFERROR(__xludf.DUMMYFUNCTION("""COMPUTED_VALUE"""),"E411")</f>
        <v>E411</v>
      </c>
      <c r="F87" s="2" t="str">
        <f>IFERROR(__xludf.DUMMYFUNCTION("""COMPUTED_VALUE"""),"Naninne")</f>
        <v>Naninne</v>
      </c>
      <c r="G87" s="2" t="str">
        <f>IFERROR(__xludf.DUMMYFUNCTION("""COMPUTED_VALUE"""),"Namur")</f>
        <v>Namur</v>
      </c>
      <c r="H87" s="24" t="str">
        <f>IFERROR(__xludf.DUMMYFUNCTION("""COMPUTED_VALUE"""),"50.4218746, 4.9412968")</f>
        <v>50.4218746, 4.9412968</v>
      </c>
      <c r="I87" s="60" t="str">
        <f>IFERROR(__xludf.DUMMYFUNCTION("""COMPUTED_VALUE"""),"https://remorquepublicitaire.be/remorque/343")</f>
        <v>https://remorquepublicitaire.be/remorque/343</v>
      </c>
      <c r="J87" s="38"/>
      <c r="K87" s="58"/>
      <c r="L87" s="38"/>
      <c r="M87" s="38"/>
    </row>
    <row r="88">
      <c r="A88" s="24">
        <f>IFERROR(__xludf.DUMMYFUNCTION("""COMPUTED_VALUE"""),344.0)</f>
        <v>344</v>
      </c>
      <c r="B88" s="2" t="str">
        <f>IFERROR(__xludf.DUMMYFUNCTION("""COMPUTED_VALUE"""),"Namur")</f>
        <v>Namur</v>
      </c>
      <c r="C88" s="2" t="str">
        <f>IFERROR(__xludf.DUMMYFUNCTION("""COMPUTED_VALUE"""),"Wierde 2")</f>
        <v>Wierde 2</v>
      </c>
      <c r="D88" s="2" t="str">
        <f>IFERROR(__xludf.DUMMYFUNCTION("""COMPUTED_VALUE"""),"entre sortie E411 et rond pt Naninne")</f>
        <v>entre sortie E411 et rond pt Naninne</v>
      </c>
      <c r="E88" s="2" t="str">
        <f>IFERROR(__xludf.DUMMYFUNCTION("""COMPUTED_VALUE"""),"E411")</f>
        <v>E411</v>
      </c>
      <c r="F88" s="2" t="str">
        <f>IFERROR(__xludf.DUMMYFUNCTION("""COMPUTED_VALUE"""),"Naninne")</f>
        <v>Naninne</v>
      </c>
      <c r="G88" s="2" t="str">
        <f>IFERROR(__xludf.DUMMYFUNCTION("""COMPUTED_VALUE"""),"Namur")</f>
        <v>Namur</v>
      </c>
      <c r="H88" s="24" t="str">
        <f>IFERROR(__xludf.DUMMYFUNCTION("""COMPUTED_VALUE"""),"50.4208783, 4.9400127")</f>
        <v>50.4208783, 4.9400127</v>
      </c>
      <c r="I88" s="60" t="str">
        <f>IFERROR(__xludf.DUMMYFUNCTION("""COMPUTED_VALUE"""),"https://remorquepublicitaire.be/remorque/344")</f>
        <v>https://remorquepublicitaire.be/remorque/344</v>
      </c>
      <c r="J88" s="38"/>
      <c r="K88" s="58"/>
      <c r="L88" s="38"/>
      <c r="M88" s="38"/>
    </row>
    <row r="89">
      <c r="A89" s="24">
        <f>IFERROR(__xludf.DUMMYFUNCTION("""COMPUTED_VALUE"""),345.0)</f>
        <v>345</v>
      </c>
      <c r="B89" s="2" t="str">
        <f>IFERROR(__xludf.DUMMYFUNCTION("""COMPUTED_VALUE"""),"Philippeville")</f>
        <v>Philippeville</v>
      </c>
      <c r="C89" s="2" t="str">
        <f>IFERROR(__xludf.DUMMYFUNCTION("""COMPUTED_VALUE"""),"Philippeville")</f>
        <v>Philippeville</v>
      </c>
      <c r="D89" s="2" t="str">
        <f>IFERROR(__xludf.DUMMYFUNCTION("""COMPUTED_VALUE"""),"Dinant-Philippeville")</f>
        <v>Dinant-Philippeville</v>
      </c>
      <c r="E89" s="2" t="str">
        <f>IFERROR(__xludf.DUMMYFUNCTION("""COMPUTED_VALUE"""),"Dinant")</f>
        <v>Dinant</v>
      </c>
      <c r="F89" s="2" t="str">
        <f>IFERROR(__xludf.DUMMYFUNCTION("""COMPUTED_VALUE"""),"Philippeville")</f>
        <v>Philippeville</v>
      </c>
      <c r="G89" s="2" t="str">
        <f>IFERROR(__xludf.DUMMYFUNCTION("""COMPUTED_VALUE"""),"Namur")</f>
        <v>Namur</v>
      </c>
      <c r="H89" s="24" t="str">
        <f>IFERROR(__xludf.DUMMYFUNCTION("""COMPUTED_VALUE"""),"50.2043852, 4.5804821")</f>
        <v>50.2043852, 4.5804821</v>
      </c>
      <c r="I89" s="60" t="str">
        <f>IFERROR(__xludf.DUMMYFUNCTION("""COMPUTED_VALUE"""),"https://remorquepublicitaire.be/remorque/345")</f>
        <v>https://remorquepublicitaire.be/remorque/345</v>
      </c>
      <c r="J89" s="38"/>
      <c r="K89" s="58"/>
      <c r="L89" s="38"/>
      <c r="M89" s="38"/>
    </row>
    <row r="90">
      <c r="A90" s="24">
        <f>IFERROR(__xludf.DUMMYFUNCTION("""COMPUTED_VALUE"""),346.0)</f>
        <v>346</v>
      </c>
      <c r="B90" s="2" t="str">
        <f>IFERROR(__xludf.DUMMYFUNCTION("""COMPUTED_VALUE"""),"Mettet")</f>
        <v>Mettet</v>
      </c>
      <c r="C90" s="2" t="str">
        <f>IFERROR(__xludf.DUMMYFUNCTION("""COMPUTED_VALUE"""),"Rond point circuit")</f>
        <v>Rond point circuit</v>
      </c>
      <c r="D90" s="2" t="str">
        <f>IFERROR(__xludf.DUMMYFUNCTION("""COMPUTED_VALUE"""),"Annevoie-Mettet")</f>
        <v>Annevoie-Mettet</v>
      </c>
      <c r="E90" s="2" t="str">
        <f>IFERROR(__xludf.DUMMYFUNCTION("""COMPUTED_VALUE"""),"Circuit")</f>
        <v>Circuit</v>
      </c>
      <c r="F90" s="2" t="str">
        <f>IFERROR(__xludf.DUMMYFUNCTION("""COMPUTED_VALUE"""),"Annevoie")</f>
        <v>Annevoie</v>
      </c>
      <c r="G90" s="2" t="str">
        <f>IFERROR(__xludf.DUMMYFUNCTION("""COMPUTED_VALUE"""),"Namur")</f>
        <v>Namur</v>
      </c>
      <c r="H90" s="24" t="str">
        <f>IFERROR(__xludf.DUMMYFUNCTION("""COMPUTED_VALUE"""),"50.305536, 4.6635488")</f>
        <v>50.305536, 4.6635488</v>
      </c>
      <c r="I90" s="60" t="str">
        <f>IFERROR(__xludf.DUMMYFUNCTION("""COMPUTED_VALUE"""),"https://remorquepublicitaire.be/remorque/346")</f>
        <v>https://remorquepublicitaire.be/remorque/346</v>
      </c>
      <c r="J90" s="38"/>
      <c r="K90" s="58"/>
      <c r="L90" s="38"/>
      <c r="M90" s="38"/>
    </row>
    <row r="91">
      <c r="A91" s="24">
        <f>IFERROR(__xludf.DUMMYFUNCTION("""COMPUTED_VALUE"""),347.0)</f>
        <v>347</v>
      </c>
      <c r="B91" s="2" t="str">
        <f>IFERROR(__xludf.DUMMYFUNCTION("""COMPUTED_VALUE"""),"Marche")</f>
        <v>Marche</v>
      </c>
      <c r="C91" s="2" t="str">
        <f>IFERROR(__xludf.DUMMYFUNCTION("""COMPUTED_VALUE"""),"Sinsin")</f>
        <v>Sinsin</v>
      </c>
      <c r="D91" s="2" t="str">
        <f>IFERROR(__xludf.DUMMYFUNCTION("""COMPUTED_VALUE"""),"Namur-Marche")</f>
        <v>Namur-Marche</v>
      </c>
      <c r="E91" s="2" t="str">
        <f>IFERROR(__xludf.DUMMYFUNCTION("""COMPUTED_VALUE"""),"Marche")</f>
        <v>Marche</v>
      </c>
      <c r="F91" s="2" t="str">
        <f>IFERROR(__xludf.DUMMYFUNCTION("""COMPUTED_VALUE"""),"Namur")</f>
        <v>Namur</v>
      </c>
      <c r="G91" s="2" t="str">
        <f>IFERROR(__xludf.DUMMYFUNCTION("""COMPUTED_VALUE"""),"Namur")</f>
        <v>Namur</v>
      </c>
      <c r="H91" s="24" t="str">
        <f>IFERROR(__xludf.DUMMYFUNCTION("""COMPUTED_VALUE"""),"50.2664714, 5.2477486")</f>
        <v>50.2664714, 5.2477486</v>
      </c>
      <c r="I91" s="60" t="str">
        <f>IFERROR(__xludf.DUMMYFUNCTION("""COMPUTED_VALUE"""),"https://remorquepublicitaire.be/remorque/347")</f>
        <v>https://remorquepublicitaire.be/remorque/347</v>
      </c>
      <c r="J91" s="38"/>
      <c r="K91" s="58"/>
      <c r="L91" s="38"/>
      <c r="M91" s="38"/>
    </row>
    <row r="92">
      <c r="A92" s="24">
        <f>IFERROR(__xludf.DUMMYFUNCTION("""COMPUTED_VALUE"""),348.0)</f>
        <v>348</v>
      </c>
      <c r="B92" s="2" t="str">
        <f>IFERROR(__xludf.DUMMYFUNCTION("""COMPUTED_VALUE"""),"Marche")</f>
        <v>Marche</v>
      </c>
      <c r="C92" s="2" t="str">
        <f>IFERROR(__xludf.DUMMYFUNCTION("""COMPUTED_VALUE"""),"Baillonville")</f>
        <v>Baillonville</v>
      </c>
      <c r="D92" s="2" t="str">
        <f>IFERROR(__xludf.DUMMYFUNCTION("""COMPUTED_VALUE"""),"Liège-Marche")</f>
        <v>Liège-Marche</v>
      </c>
      <c r="E92" s="2" t="str">
        <f>IFERROR(__xludf.DUMMYFUNCTION("""COMPUTED_VALUE"""),"Liège")</f>
        <v>Liège</v>
      </c>
      <c r="F92" s="2" t="str">
        <f>IFERROR(__xludf.DUMMYFUNCTION("""COMPUTED_VALUE"""),"Marche-en-Famenne")</f>
        <v>Marche-en-Famenne</v>
      </c>
      <c r="G92" s="2" t="str">
        <f>IFERROR(__xludf.DUMMYFUNCTION("""COMPUTED_VALUE"""),"Namur")</f>
        <v>Namur</v>
      </c>
      <c r="H92" s="24" t="str">
        <f>IFERROR(__xludf.DUMMYFUNCTION("""COMPUTED_VALUE"""),"50.288265,5.348775")</f>
        <v>50.288265,5.348775</v>
      </c>
      <c r="I92" s="60" t="str">
        <f>IFERROR(__xludf.DUMMYFUNCTION("""COMPUTED_VALUE"""),"https://remorquepublicitaire.be/remorque/348")</f>
        <v>https://remorquepublicitaire.be/remorque/348</v>
      </c>
      <c r="J92" s="38"/>
      <c r="K92" s="58"/>
      <c r="L92" s="38"/>
      <c r="M92" s="38"/>
    </row>
    <row r="93">
      <c r="A93" s="24">
        <f>IFERROR(__xludf.DUMMYFUNCTION("""COMPUTED_VALUE"""),349.0)</f>
        <v>349</v>
      </c>
      <c r="B93" s="2" t="str">
        <f>IFERROR(__xludf.DUMMYFUNCTION("""COMPUTED_VALUE"""),"Marche")</f>
        <v>Marche</v>
      </c>
      <c r="C93" s="2" t="str">
        <f>IFERROR(__xludf.DUMMYFUNCTION("""COMPUTED_VALUE"""),"Chaussée de liège")</f>
        <v>Chaussée de liège</v>
      </c>
      <c r="D93" s="2" t="str">
        <f>IFERROR(__xludf.DUMMYFUNCTION("""COMPUTED_VALUE"""),"N63 Chée de Liège")</f>
        <v>N63 Chée de Liège</v>
      </c>
      <c r="E93" s="2" t="str">
        <f>IFERROR(__xludf.DUMMYFUNCTION("""COMPUTED_VALUE"""),"Marche")</f>
        <v>Marche</v>
      </c>
      <c r="F93" s="2" t="str">
        <f>IFERROR(__xludf.DUMMYFUNCTION("""COMPUTED_VALUE"""),"Liège")</f>
        <v>Liège</v>
      </c>
      <c r="G93" s="2" t="str">
        <f>IFERROR(__xludf.DUMMYFUNCTION("""COMPUTED_VALUE"""),"Namur")</f>
        <v>Namur</v>
      </c>
      <c r="H93" s="24" t="str">
        <f>IFERROR(__xludf.DUMMYFUNCTION("""COMPUTED_VALUE"""),"50.25252, 5.3457687")</f>
        <v>50.25252, 5.3457687</v>
      </c>
      <c r="I93" s="60" t="str">
        <f>IFERROR(__xludf.DUMMYFUNCTION("""COMPUTED_VALUE"""),"https://remorquepublicitaire.be/remorque/349")</f>
        <v>https://remorquepublicitaire.be/remorque/349</v>
      </c>
      <c r="J93" s="38"/>
      <c r="K93" s="58"/>
      <c r="L93" s="38"/>
      <c r="M93" s="38"/>
    </row>
    <row r="94">
      <c r="A94" s="24">
        <f>IFERROR(__xludf.DUMMYFUNCTION("""COMPUTED_VALUE"""),350.0)</f>
        <v>350</v>
      </c>
      <c r="B94" s="2" t="str">
        <f>IFERROR(__xludf.DUMMYFUNCTION("""COMPUTED_VALUE"""),"Marche")</f>
        <v>Marche</v>
      </c>
      <c r="C94" s="2" t="str">
        <f>IFERROR(__xludf.DUMMYFUNCTION("""COMPUTED_VALUE"""),"Wex")</f>
        <v>Wex</v>
      </c>
      <c r="D94" s="2" t="str">
        <f>IFERROR(__xludf.DUMMYFUNCTION("""COMPUTED_VALUE"""),"N839")</f>
        <v>N839</v>
      </c>
      <c r="E94" s="2" t="str">
        <f>IFERROR(__xludf.DUMMYFUNCTION("""COMPUTED_VALUE"""),"Marche")</f>
        <v>Marche</v>
      </c>
      <c r="F94" s="2" t="str">
        <f>IFERROR(__xludf.DUMMYFUNCTION("""COMPUTED_VALUE"""),"N4 (Aye)")</f>
        <v>N4 (Aye)</v>
      </c>
      <c r="G94" s="2" t="str">
        <f>IFERROR(__xludf.DUMMYFUNCTION("""COMPUTED_VALUE"""),"Namur")</f>
        <v>Namur</v>
      </c>
      <c r="H94" s="24" t="str">
        <f>IFERROR(__xludf.DUMMYFUNCTION("""COMPUTED_VALUE"""),"50.2381666, 5.3414369")</f>
        <v>50.2381666, 5.3414369</v>
      </c>
      <c r="I94" s="60" t="str">
        <f>IFERROR(__xludf.DUMMYFUNCTION("""COMPUTED_VALUE"""),"https://remorquepublicitaire.be/remorque/350")</f>
        <v>https://remorquepublicitaire.be/remorque/350</v>
      </c>
      <c r="J94" s="38"/>
      <c r="K94" s="58"/>
      <c r="L94" s="38"/>
      <c r="M94" s="38"/>
    </row>
    <row r="95">
      <c r="A95" s="24">
        <f>IFERROR(__xludf.DUMMYFUNCTION("""COMPUTED_VALUE"""),351.0)</f>
        <v>351</v>
      </c>
      <c r="B95" s="2" t="str">
        <f>IFERROR(__xludf.DUMMYFUNCTION("""COMPUTED_VALUE"""),"Marche")</f>
        <v>Marche</v>
      </c>
      <c r="C95" s="2" t="str">
        <f>IFERROR(__xludf.DUMMYFUNCTION("""COMPUTED_VALUE"""),"Bourdon")</f>
        <v>Bourdon</v>
      </c>
      <c r="D95" s="2" t="str">
        <f>IFERROR(__xludf.DUMMYFUNCTION("""COMPUTED_VALUE"""),"N86 - Entre Hotton et Marche")</f>
        <v>N86 - Entre Hotton et Marche</v>
      </c>
      <c r="E95" s="2" t="str">
        <f>IFERROR(__xludf.DUMMYFUNCTION("""COMPUTED_VALUE"""),"Marche")</f>
        <v>Marche</v>
      </c>
      <c r="F95" s="2" t="str">
        <f>IFERROR(__xludf.DUMMYFUNCTION("""COMPUTED_VALUE"""),"Hotton")</f>
        <v>Hotton</v>
      </c>
      <c r="G95" s="2" t="str">
        <f>IFERROR(__xludf.DUMMYFUNCTION("""COMPUTED_VALUE"""),"Namur")</f>
        <v>Namur</v>
      </c>
      <c r="H95" s="24" t="str">
        <f>IFERROR(__xludf.DUMMYFUNCTION("""COMPUTED_VALUE"""),"50.2580763, 5.4210824")</f>
        <v>50.2580763, 5.4210824</v>
      </c>
      <c r="I95" s="60" t="str">
        <f>IFERROR(__xludf.DUMMYFUNCTION("""COMPUTED_VALUE"""),"https://remorquepublicitaire.be/remorque/351")</f>
        <v>https://remorquepublicitaire.be/remorque/351</v>
      </c>
      <c r="J95" s="38"/>
      <c r="K95" s="58"/>
      <c r="L95" s="38"/>
      <c r="M95" s="38"/>
    </row>
    <row r="96">
      <c r="A96" s="24">
        <f>IFERROR(__xludf.DUMMYFUNCTION("""COMPUTED_VALUE"""),352.0)</f>
        <v>352</v>
      </c>
      <c r="B96" s="2" t="str">
        <f>IFERROR(__xludf.DUMMYFUNCTION("""COMPUTED_VALUE"""),"Rochefort")</f>
        <v>Rochefort</v>
      </c>
      <c r="C96" s="2" t="str">
        <f>IFERROR(__xludf.DUMMYFUNCTION("""COMPUTED_VALUE"""),"Zonning")</f>
        <v>Zonning</v>
      </c>
      <c r="D96" s="2" t="str">
        <f>IFERROR(__xludf.DUMMYFUNCTION("""COMPUTED_VALUE"""),"Axe Ciney Rochefort N949 Zoning ")</f>
        <v>Axe Ciney Rochefort N949 Zoning </v>
      </c>
      <c r="E96" s="42" t="str">
        <f>IFERROR(__xludf.DUMMYFUNCTION("""COMPUTED_VALUE"""),"Ciney")</f>
        <v>Ciney</v>
      </c>
      <c r="F96" s="2" t="str">
        <f>IFERROR(__xludf.DUMMYFUNCTION("""COMPUTED_VALUE"""),"Rochefort")</f>
        <v>Rochefort</v>
      </c>
      <c r="G96" s="2" t="str">
        <f>IFERROR(__xludf.DUMMYFUNCTION("""COMPUTED_VALUE"""),"Namur")</f>
        <v>Namur</v>
      </c>
      <c r="H96" s="24" t="str">
        <f>IFERROR(__xludf.DUMMYFUNCTION("""COMPUTED_VALUE"""),"50.1803352, 5.2105317")</f>
        <v>50.1803352, 5.2105317</v>
      </c>
      <c r="I96" s="55" t="str">
        <f>IFERROR(__xludf.DUMMYFUNCTION("""COMPUTED_VALUE"""),"https://remorquepublicitaire.be/remorque/352")</f>
        <v>https://remorquepublicitaire.be/remorque/352</v>
      </c>
      <c r="J96" s="38"/>
      <c r="K96" s="58"/>
      <c r="L96" s="38"/>
      <c r="M96" s="38"/>
    </row>
    <row r="97">
      <c r="A97" s="24">
        <f>IFERROR(__xludf.DUMMYFUNCTION("""COMPUTED_VALUE"""),353.0)</f>
        <v>353</v>
      </c>
      <c r="B97" s="2" t="str">
        <f>IFERROR(__xludf.DUMMYFUNCTION("""COMPUTED_VALUE"""),"Rochefort")</f>
        <v>Rochefort</v>
      </c>
      <c r="C97" s="2" t="str">
        <f>IFERROR(__xludf.DUMMYFUNCTION("""COMPUTED_VALUE"""),"Hamerenne")</f>
        <v>Hamerenne</v>
      </c>
      <c r="D97" s="2" t="str">
        <f>IFERROR(__xludf.DUMMYFUNCTION("""COMPUTED_VALUE"""),"N803 ")</f>
        <v>N803 </v>
      </c>
      <c r="E97" s="2" t="str">
        <f>IFERROR(__xludf.DUMMYFUNCTION("""COMPUTED_VALUE"""),"Saint-Hubert")</f>
        <v>Saint-Hubert</v>
      </c>
      <c r="F97" s="2" t="str">
        <f>IFERROR(__xludf.DUMMYFUNCTION("""COMPUTED_VALUE"""),"Rochefort")</f>
        <v>Rochefort</v>
      </c>
      <c r="G97" s="2" t="str">
        <f>IFERROR(__xludf.DUMMYFUNCTION("""COMPUTED_VALUE"""),"Namur")</f>
        <v>Namur</v>
      </c>
      <c r="H97" s="24" t="str">
        <f>IFERROR(__xludf.DUMMYFUNCTION("""COMPUTED_VALUE"""),"50.140178, 5.222276")</f>
        <v>50.140178, 5.222276</v>
      </c>
      <c r="I97" s="60" t="str">
        <f>IFERROR(__xludf.DUMMYFUNCTION("""COMPUTED_VALUE"""),"https://remorquepublicitaire.be/remorque/353")</f>
        <v>https://remorquepublicitaire.be/remorque/353</v>
      </c>
      <c r="J97" s="38"/>
      <c r="K97" s="38"/>
      <c r="L97" s="38"/>
      <c r="M97" s="38"/>
    </row>
    <row r="98">
      <c r="A98" s="34">
        <f>IFERROR(__xludf.DUMMYFUNCTION("""COMPUTED_VALUE"""),354.0)</f>
        <v>354</v>
      </c>
      <c r="B98" s="38" t="str">
        <f>IFERROR(__xludf.DUMMYFUNCTION("""COMPUTED_VALUE"""),"Basse Sambre")</f>
        <v>Basse Sambre</v>
      </c>
      <c r="C98" s="38" t="str">
        <f>IFERROR(__xludf.DUMMYFUNCTION("""COMPUTED_VALUE"""),"Sambreville 1")</f>
        <v>Sambreville 1</v>
      </c>
      <c r="D98" s="38" t="str">
        <f>IFERROR(__xludf.DUMMYFUNCTION("""COMPUTED_VALUE"""),"N98 Sambreville-Sombreffe")</f>
        <v>N98 Sambreville-Sombreffe</v>
      </c>
      <c r="E98" s="38" t="str">
        <f>IFERROR(__xludf.DUMMYFUNCTION("""COMPUTED_VALUE"""),"Sombreffe")</f>
        <v>Sombreffe</v>
      </c>
      <c r="F98" s="38" t="str">
        <f>IFERROR(__xludf.DUMMYFUNCTION("""COMPUTED_VALUE"""),"Jemeppe-sur-Sambre")</f>
        <v>Jemeppe-sur-Sambre</v>
      </c>
      <c r="G98" s="38" t="str">
        <f>IFERROR(__xludf.DUMMYFUNCTION("""COMPUTED_VALUE"""),"Namur")</f>
        <v>Namur</v>
      </c>
      <c r="H98" s="34" t="str">
        <f>IFERROR(__xludf.DUMMYFUNCTION("""COMPUTED_VALUE"""),"50.4654396, 4.6316961")</f>
        <v>50.4654396, 4.6316961</v>
      </c>
      <c r="I98" s="108" t="str">
        <f>IFERROR(__xludf.DUMMYFUNCTION("""COMPUTED_VALUE"""),"https://remorquepublicitaire.be/remorque/354")</f>
        <v>https://remorquepublicitaire.be/remorque/354</v>
      </c>
      <c r="J98" s="34"/>
      <c r="K98" s="123"/>
      <c r="L98" s="38"/>
      <c r="M98" s="38"/>
    </row>
    <row r="99">
      <c r="A99" s="34">
        <f>IFERROR(__xludf.DUMMYFUNCTION("""COMPUTED_VALUE"""),355.0)</f>
        <v>355</v>
      </c>
      <c r="B99" s="38" t="str">
        <f>IFERROR(__xludf.DUMMYFUNCTION("""COMPUTED_VALUE"""),"Basse Sambre")</f>
        <v>Basse Sambre</v>
      </c>
      <c r="C99" s="38" t="str">
        <f>IFERROR(__xludf.DUMMYFUNCTION("""COMPUTED_VALUE"""),"Sambreville 2")</f>
        <v>Sambreville 2</v>
      </c>
      <c r="D99" s="38" t="str">
        <f>IFERROR(__xludf.DUMMYFUNCTION("""COMPUTED_VALUE"""),"N98 Sombreffe-Mettet")</f>
        <v>N98 Sombreffe-Mettet</v>
      </c>
      <c r="E99" s="38" t="str">
        <f>IFERROR(__xludf.DUMMYFUNCTION("""COMPUTED_VALUE"""),"Mettet")</f>
        <v>Mettet</v>
      </c>
      <c r="F99" s="38" t="str">
        <f>IFERROR(__xludf.DUMMYFUNCTION("""COMPUTED_VALUE"""),"E42 Velaine")</f>
        <v>E42 Velaine</v>
      </c>
      <c r="G99" s="38" t="str">
        <f>IFERROR(__xludf.DUMMYFUNCTION("""COMPUTED_VALUE"""),"Namur")</f>
        <v>Namur</v>
      </c>
      <c r="H99" s="34" t="str">
        <f>IFERROR(__xludf.DUMMYFUNCTION("""COMPUTED_VALUE"""),"50.4652645, 4.6312375")</f>
        <v>50.4652645, 4.6312375</v>
      </c>
      <c r="I99" s="108" t="str">
        <f>IFERROR(__xludf.DUMMYFUNCTION("""COMPUTED_VALUE"""),"https://remorquepublicitaire.be/remorque/355")</f>
        <v>https://remorquepublicitaire.be/remorque/355</v>
      </c>
      <c r="J99" s="34"/>
      <c r="K99" s="123"/>
      <c r="L99" s="38"/>
      <c r="M99" s="38"/>
    </row>
    <row r="100">
      <c r="A100" s="34">
        <f>IFERROR(__xludf.DUMMYFUNCTION("""COMPUTED_VALUE"""),356.0)</f>
        <v>356</v>
      </c>
      <c r="B100" s="38" t="str">
        <f>IFERROR(__xludf.DUMMYFUNCTION("""COMPUTED_VALUE"""),"Basse Sambre")</f>
        <v>Basse Sambre</v>
      </c>
      <c r="C100" s="38" t="str">
        <f>IFERROR(__xludf.DUMMYFUNCTION("""COMPUTED_VALUE"""),"Moustier")</f>
        <v>Moustier</v>
      </c>
      <c r="D100" s="38" t="str">
        <f>IFERROR(__xludf.DUMMYFUNCTION("""COMPUTED_VALUE"""),"N90 Sambreville-Floreffe/Namur")</f>
        <v>N90 Sambreville-Floreffe/Namur</v>
      </c>
      <c r="E100" s="38" t="str">
        <f>IFERROR(__xludf.DUMMYFUNCTION("""COMPUTED_VALUE"""),"Namur")</f>
        <v>Namur</v>
      </c>
      <c r="F100" s="38" t="str">
        <f>IFERROR(__xludf.DUMMYFUNCTION("""COMPUTED_VALUE"""),"Charleroi")</f>
        <v>Charleroi</v>
      </c>
      <c r="G100" s="38" t="str">
        <f>IFERROR(__xludf.DUMMYFUNCTION("""COMPUTED_VALUE"""),"Namur")</f>
        <v>Namur</v>
      </c>
      <c r="H100" s="38" t="str">
        <f>IFERROR(__xludf.DUMMYFUNCTION("""COMPUTED_VALUE"""),"50.4608517, 4.6859654")</f>
        <v>50.4608517, 4.6859654</v>
      </c>
      <c r="I100" s="108" t="str">
        <f>IFERROR(__xludf.DUMMYFUNCTION("""COMPUTED_VALUE"""),"https://remorquepublicitaire.be/remorque/356")</f>
        <v>https://remorquepublicitaire.be/remorque/356</v>
      </c>
      <c r="J100" s="123"/>
      <c r="K100" s="123"/>
      <c r="L100" s="38"/>
      <c r="M100" s="38"/>
    </row>
    <row r="101">
      <c r="A101" s="24">
        <f>IFERROR(__xludf.DUMMYFUNCTION("""COMPUTED_VALUE"""),357.0)</f>
        <v>357</v>
      </c>
      <c r="B101" s="2" t="str">
        <f>IFERROR(__xludf.DUMMYFUNCTION("""COMPUTED_VALUE"""),"Havelange")</f>
        <v>Havelange</v>
      </c>
      <c r="C101" s="2" t="str">
        <f>IFERROR(__xludf.DUMMYFUNCTION("""COMPUTED_VALUE"""),"Verlée")</f>
        <v>Verlée</v>
      </c>
      <c r="D101" s="2" t="str">
        <f>IFERROR(__xludf.DUMMYFUNCTION("""COMPUTED_VALUE"""),"N983 Havelange - Durbuy")</f>
        <v>N983 Havelange - Durbuy</v>
      </c>
      <c r="E101" s="2" t="str">
        <f>IFERROR(__xludf.DUMMYFUNCTION("""COMPUTED_VALUE"""),"Durbuy")</f>
        <v>Durbuy</v>
      </c>
      <c r="F101" s="2" t="str">
        <f>IFERROR(__xludf.DUMMYFUNCTION("""COMPUTED_VALUE"""),"Havelange")</f>
        <v>Havelange</v>
      </c>
      <c r="G101" s="2" t="str">
        <f>IFERROR(__xludf.DUMMYFUNCTION("""COMPUTED_VALUE"""),"Namur")</f>
        <v>Namur</v>
      </c>
      <c r="H101" s="24" t="str">
        <f>IFERROR(__xludf.DUMMYFUNCTION("""COMPUTED_VALUE"""),"50.3674764, 5.2800542")</f>
        <v>50.3674764, 5.2800542</v>
      </c>
      <c r="I101" s="60" t="str">
        <f>IFERROR(__xludf.DUMMYFUNCTION("""COMPUTED_VALUE"""),"https://remorquepublicitaire.be/remorque/357")</f>
        <v>https://remorquepublicitaire.be/remorque/357</v>
      </c>
      <c r="J101" s="38"/>
      <c r="K101" s="58"/>
      <c r="L101" s="38"/>
      <c r="M101" s="38"/>
    </row>
    <row r="102">
      <c r="A102" s="24">
        <f>IFERROR(__xludf.DUMMYFUNCTION("""COMPUTED_VALUE"""),359.0)</f>
        <v>359</v>
      </c>
      <c r="B102" s="2" t="str">
        <f>IFERROR(__xludf.DUMMYFUNCTION("""COMPUTED_VALUE"""),"Florenne")</f>
        <v>Florenne</v>
      </c>
      <c r="C102" s="2" t="str">
        <f>IFERROR(__xludf.DUMMYFUNCTION("""COMPUTED_VALUE"""),"Mettet")</f>
        <v>Mettet</v>
      </c>
      <c r="D102" s="2" t="str">
        <f>IFERROR(__xludf.DUMMYFUNCTION("""COMPUTED_VALUE"""),"N98 Rue du Try Marie")</f>
        <v>N98 Rue du Try Marie</v>
      </c>
      <c r="E102" s="2" t="str">
        <f>IFERROR(__xludf.DUMMYFUNCTION("""COMPUTED_VALUE"""),"Florennes")</f>
        <v>Florennes</v>
      </c>
      <c r="F102" s="2" t="str">
        <f>IFERROR(__xludf.DUMMYFUNCTION("""COMPUTED_VALUE"""),"Mettet")</f>
        <v>Mettet</v>
      </c>
      <c r="G102" s="2" t="str">
        <f>IFERROR(__xludf.DUMMYFUNCTION("""COMPUTED_VALUE"""),"Namur")</f>
        <v>Namur</v>
      </c>
      <c r="H102" s="24" t="str">
        <f>IFERROR(__xludf.DUMMYFUNCTION("""COMPUTED_VALUE"""),"50.2798913, 4.6333607")</f>
        <v>50.2798913, 4.6333607</v>
      </c>
      <c r="I102" s="60" t="str">
        <f>IFERROR(__xludf.DUMMYFUNCTION("""COMPUTED_VALUE"""),"https://remorquepublicitaire.be/remorque/359")</f>
        <v>https://remorquepublicitaire.be/remorque/359</v>
      </c>
      <c r="J102" s="38"/>
      <c r="K102" s="38"/>
      <c r="L102" s="38"/>
      <c r="M102" s="38"/>
    </row>
    <row r="103">
      <c r="A103" s="24">
        <f>IFERROR(__xludf.DUMMYFUNCTION("""COMPUTED_VALUE"""),360.0)</f>
        <v>360</v>
      </c>
      <c r="B103" s="2" t="str">
        <f>IFERROR(__xludf.DUMMYFUNCTION("""COMPUTED_VALUE"""),"Neuville")</f>
        <v>Neuville</v>
      </c>
      <c r="C103" s="2" t="str">
        <f>IFERROR(__xludf.DUMMYFUNCTION("""COMPUTED_VALUE"""),"Philippeville-Couvin")</f>
        <v>Philippeville-Couvin</v>
      </c>
      <c r="D103" s="2" t="str">
        <f>IFERROR(__xludf.DUMMYFUNCTION("""COMPUTED_VALUE"""),"N5 Philippeville-Couvin")</f>
        <v>N5 Philippeville-Couvin</v>
      </c>
      <c r="E103" s="2" t="str">
        <f>IFERROR(__xludf.DUMMYFUNCTION("""COMPUTED_VALUE"""),"Couvin")</f>
        <v>Couvin</v>
      </c>
      <c r="F103" s="2" t="str">
        <f>IFERROR(__xludf.DUMMYFUNCTION("""COMPUTED_VALUE"""),"Philippeville")</f>
        <v>Philippeville</v>
      </c>
      <c r="G103" s="2" t="str">
        <f>IFERROR(__xludf.DUMMYFUNCTION("""COMPUTED_VALUE"""),"Namur")</f>
        <v>Namur</v>
      </c>
      <c r="H103" s="24" t="str">
        <f>IFERROR(__xludf.DUMMYFUNCTION("""COMPUTED_VALUE"""),"50.1491228, 4.5040198")</f>
        <v>50.1491228, 4.5040198</v>
      </c>
      <c r="I103" s="60" t="str">
        <f>IFERROR(__xludf.DUMMYFUNCTION("""COMPUTED_VALUE"""),"https://remorquepublicitaire.be/remorque/360")</f>
        <v>https://remorquepublicitaire.be/remorque/360</v>
      </c>
      <c r="J103" s="38"/>
      <c r="K103" s="58"/>
      <c r="L103" s="38"/>
      <c r="M103" s="38"/>
    </row>
    <row r="104">
      <c r="A104" s="24">
        <f>IFERROR(__xludf.DUMMYFUNCTION("""COMPUTED_VALUE"""),361.0)</f>
        <v>361</v>
      </c>
      <c r="B104" s="2" t="str">
        <f>IFERROR(__xludf.DUMMYFUNCTION("""COMPUTED_VALUE"""),"Lacs de l'Eau d'Heure")</f>
        <v>Lacs de l'Eau d'Heure</v>
      </c>
      <c r="C104" s="2" t="str">
        <f>IFERROR(__xludf.DUMMYFUNCTION("""COMPUTED_VALUE"""),"Silenrieux")</f>
        <v>Silenrieux</v>
      </c>
      <c r="D104" s="2" t="str">
        <f>IFERROR(__xludf.DUMMYFUNCTION("""COMPUTED_VALUE"""),"N40 Rue de Beaumont")</f>
        <v>N40 Rue de Beaumont</v>
      </c>
      <c r="E104" s="2" t="str">
        <f>IFERROR(__xludf.DUMMYFUNCTION("""COMPUTED_VALUE"""),"Silenrieux")</f>
        <v>Silenrieux</v>
      </c>
      <c r="F104" s="2" t="str">
        <f>IFERROR(__xludf.DUMMYFUNCTION("""COMPUTED_VALUE"""),"Philippeville")</f>
        <v>Philippeville</v>
      </c>
      <c r="G104" s="2" t="str">
        <f>IFERROR(__xludf.DUMMYFUNCTION("""COMPUTED_VALUE"""),"Namur")</f>
        <v>Namur</v>
      </c>
      <c r="H104" s="24" t="str">
        <f>IFERROR(__xludf.DUMMYFUNCTION("""COMPUTED_VALUE"""),"50.223312, 4.424686")</f>
        <v>50.223312, 4.424686</v>
      </c>
      <c r="I104" s="60" t="str">
        <f>IFERROR(__xludf.DUMMYFUNCTION("""COMPUTED_VALUE"""),"https://remorquepublicitaire.be/remorque/361")</f>
        <v>https://remorquepublicitaire.be/remorque/361</v>
      </c>
      <c r="J104" s="38"/>
      <c r="K104" s="58"/>
      <c r="L104" s="38"/>
      <c r="M104" s="38"/>
    </row>
    <row r="105">
      <c r="A105" s="24">
        <f>IFERROR(__xludf.DUMMYFUNCTION("""COMPUTED_VALUE"""),362.0)</f>
        <v>362</v>
      </c>
      <c r="B105" s="2" t="str">
        <f>IFERROR(__xludf.DUMMYFUNCTION("""COMPUTED_VALUE"""),"Couvin")</f>
        <v>Couvin</v>
      </c>
      <c r="C105" s="2" t="str">
        <f>IFERROR(__xludf.DUMMYFUNCTION("""COMPUTED_VALUE"""),"Pesche")</f>
        <v>Pesche</v>
      </c>
      <c r="D105" s="2" t="str">
        <f>IFERROR(__xludf.DUMMYFUNCTION("""COMPUTED_VALUE"""),"N99 Couvin - Chimay")</f>
        <v>N99 Couvin - Chimay</v>
      </c>
      <c r="E105" s="2" t="str">
        <f>IFERROR(__xludf.DUMMYFUNCTION("""COMPUTED_VALUE"""),"Chimay")</f>
        <v>Chimay</v>
      </c>
      <c r="F105" s="2" t="str">
        <f>IFERROR(__xludf.DUMMYFUNCTION("""COMPUTED_VALUE"""),"Couvin")</f>
        <v>Couvin</v>
      </c>
      <c r="G105" s="2" t="str">
        <f>IFERROR(__xludf.DUMMYFUNCTION("""COMPUTED_VALUE"""),"Namur")</f>
        <v>Namur</v>
      </c>
      <c r="H105" s="24" t="str">
        <f>IFERROR(__xludf.DUMMYFUNCTION("""COMPUTED_VALUE"""),"50.050896, 4.461401")</f>
        <v>50.050896, 4.461401</v>
      </c>
      <c r="I105" s="60" t="str">
        <f>IFERROR(__xludf.DUMMYFUNCTION("""COMPUTED_VALUE"""),"https://remorquepublicitaire.be/remorque/362")</f>
        <v>https://remorquepublicitaire.be/remorque/362</v>
      </c>
      <c r="J105" s="38"/>
      <c r="K105" s="58"/>
      <c r="L105" s="38"/>
      <c r="M105" s="38"/>
    </row>
    <row r="106">
      <c r="A106" s="24">
        <f>IFERROR(__xludf.DUMMYFUNCTION("""COMPUTED_VALUE"""),363.0)</f>
        <v>363</v>
      </c>
      <c r="B106" s="2" t="str">
        <f>IFERROR(__xludf.DUMMYFUNCTION("""COMPUTED_VALUE"""),"Namur")</f>
        <v>Namur</v>
      </c>
      <c r="C106" s="2" t="str">
        <f>IFERROR(__xludf.DUMMYFUNCTION("""COMPUTED_VALUE"""),"Erpent")</f>
        <v>Erpent</v>
      </c>
      <c r="D106" s="2" t="str">
        <f>IFERROR(__xludf.DUMMYFUNCTION("""COMPUTED_VALUE"""),"N4 Marche - Namur")</f>
        <v>N4 Marche - Namur</v>
      </c>
      <c r="E106" s="2" t="str">
        <f>IFERROR(__xludf.DUMMYFUNCTION("""COMPUTED_VALUE"""),"Namur")</f>
        <v>Namur</v>
      </c>
      <c r="F106" s="2" t="str">
        <f>IFERROR(__xludf.DUMMYFUNCTION("""COMPUTED_VALUE"""),"Marche-en-Famenne")</f>
        <v>Marche-en-Famenne</v>
      </c>
      <c r="G106" s="2" t="str">
        <f>IFERROR(__xludf.DUMMYFUNCTION("""COMPUTED_VALUE"""),"Namur")</f>
        <v>Namur</v>
      </c>
      <c r="H106" s="24" t="str">
        <f>IFERROR(__xludf.DUMMYFUNCTION("""COMPUTED_VALUE"""),"50.428248, 4.926309")</f>
        <v>50.428248, 4.926309</v>
      </c>
      <c r="I106" s="60" t="str">
        <f>IFERROR(__xludf.DUMMYFUNCTION("""COMPUTED_VALUE"""),"https://remorquepublicitaire.be/remorque/363")</f>
        <v>https://remorquepublicitaire.be/remorque/363</v>
      </c>
      <c r="J106" s="38"/>
      <c r="K106" s="38"/>
      <c r="L106" s="38"/>
      <c r="M106" s="38"/>
    </row>
    <row r="107">
      <c r="A107" s="24">
        <f>IFERROR(__xludf.DUMMYFUNCTION("""COMPUTED_VALUE"""),364.0)</f>
        <v>364</v>
      </c>
      <c r="B107" s="2" t="str">
        <f>IFERROR(__xludf.DUMMYFUNCTION("""COMPUTED_VALUE"""),"Rochefort (à placer)")</f>
        <v>Rochefort (à placer)</v>
      </c>
      <c r="C107" s="2" t="str">
        <f>IFERROR(__xludf.DUMMYFUNCTION("""COMPUTED_VALUE"""),"Ciergnon")</f>
        <v>Ciergnon</v>
      </c>
      <c r="D107" s="2" t="str">
        <f>IFERROR(__xludf.DUMMYFUNCTION("""COMPUTED_VALUE"""),"N911 Rochefort - E411")</f>
        <v>N911 Rochefort - E411</v>
      </c>
      <c r="E107" s="2"/>
      <c r="F107" s="2"/>
      <c r="G107" s="2" t="str">
        <f>IFERROR(__xludf.DUMMYFUNCTION("""COMPUTED_VALUE"""),"Namur")</f>
        <v>Namur</v>
      </c>
      <c r="H107" s="24"/>
      <c r="I107" s="2"/>
      <c r="J107" s="38"/>
      <c r="K107" s="38"/>
      <c r="L107" s="38"/>
      <c r="M107" s="38"/>
    </row>
    <row r="108">
      <c r="A108" s="24">
        <f>IFERROR(__xludf.DUMMYFUNCTION("""COMPUTED_VALUE"""),365.0)</f>
        <v>365</v>
      </c>
      <c r="B108" s="2" t="str">
        <f>IFERROR(__xludf.DUMMYFUNCTION("""COMPUTED_VALUE"""),"Namur")</f>
        <v>Namur</v>
      </c>
      <c r="C108" s="2" t="str">
        <f>IFERROR(__xludf.DUMMYFUNCTION("""COMPUTED_VALUE"""),"Courrière 2")</f>
        <v>Courrière 2</v>
      </c>
      <c r="D108" s="2" t="str">
        <f>IFERROR(__xludf.DUMMYFUNCTION("""COMPUTED_VALUE"""),"N4 - Namur - Ciney")</f>
        <v>N4 - Namur - Ciney</v>
      </c>
      <c r="E108" s="2" t="str">
        <f>IFERROR(__xludf.DUMMYFUNCTION("""COMPUTED_VALUE"""),"Ciney")</f>
        <v>Ciney</v>
      </c>
      <c r="F108" s="2" t="str">
        <f>IFERROR(__xludf.DUMMYFUNCTION("""COMPUTED_VALUE"""),"Namur")</f>
        <v>Namur</v>
      </c>
      <c r="G108" s="2" t="str">
        <f>IFERROR(__xludf.DUMMYFUNCTION("""COMPUTED_VALUE"""),"Namur")</f>
        <v>Namur</v>
      </c>
      <c r="H108" s="24" t="str">
        <f>IFERROR(__xludf.DUMMYFUNCTION("""COMPUTED_VALUE"""),"50.384916, 4.995912")</f>
        <v>50.384916, 4.995912</v>
      </c>
      <c r="I108" s="60" t="str">
        <f>IFERROR(__xludf.DUMMYFUNCTION("""COMPUTED_VALUE"""),"https://remorquepublicitaire.be/remorque/341")</f>
        <v>https://remorquepublicitaire.be/remorque/341</v>
      </c>
      <c r="J108" s="38"/>
      <c r="K108" s="42"/>
      <c r="L108" s="38"/>
      <c r="M108" s="38"/>
    </row>
    <row r="109">
      <c r="A109" s="24">
        <f>IFERROR(__xludf.DUMMYFUNCTION("""COMPUTED_VALUE"""),367.0)</f>
        <v>367</v>
      </c>
      <c r="B109" s="2" t="str">
        <f>IFERROR(__xludf.DUMMYFUNCTION("""COMPUTED_VALUE"""),"Hamois")</f>
        <v>Hamois</v>
      </c>
      <c r="C109" s="2" t="str">
        <f>IFERROR(__xludf.DUMMYFUNCTION("""COMPUTED_VALUE"""),"Hamois 2")</f>
        <v>Hamois 2</v>
      </c>
      <c r="D109" s="2" t="str">
        <f>IFERROR(__xludf.DUMMYFUNCTION("""COMPUTED_VALUE"""),"Ciney-Havelange-Liège")</f>
        <v>Ciney-Havelange-Liège</v>
      </c>
      <c r="E109" s="2" t="str">
        <f>IFERROR(__xludf.DUMMYFUNCTION("""COMPUTED_VALUE"""),"Ciney")</f>
        <v>Ciney</v>
      </c>
      <c r="F109" s="2" t="str">
        <f>IFERROR(__xludf.DUMMYFUNCTION("""COMPUTED_VALUE"""),"Havelange")</f>
        <v>Havelange</v>
      </c>
      <c r="G109" s="2" t="str">
        <f>IFERROR(__xludf.DUMMYFUNCTION("""COMPUTED_VALUE"""),"Namur")</f>
        <v>Namur</v>
      </c>
      <c r="H109" s="24" t="str">
        <f>IFERROR(__xludf.DUMMYFUNCTION("""COMPUTED_VALUE"""),"50.3254984, 5.1380244")</f>
        <v>50.3254984, 5.1380244</v>
      </c>
      <c r="I109" s="60" t="str">
        <f>IFERROR(__xludf.DUMMYFUNCTION("""COMPUTED_VALUE"""),"https://remorquepublicitaire.be/remorque/307")</f>
        <v>https://remorquepublicitaire.be/remorque/307</v>
      </c>
      <c r="J109" s="38"/>
      <c r="K109" s="38"/>
      <c r="L109" s="38"/>
      <c r="M109" s="38"/>
    </row>
    <row r="110">
      <c r="A110" s="24">
        <f>IFERROR(__xludf.DUMMYFUNCTION("""COMPUTED_VALUE"""),401.0)</f>
        <v>401</v>
      </c>
      <c r="B110" s="2" t="str">
        <f>IFERROR(__xludf.DUMMYFUNCTION("""COMPUTED_VALUE"""),"Charleroi")</f>
        <v>Charleroi</v>
      </c>
      <c r="C110" s="2" t="str">
        <f>IFERROR(__xludf.DUMMYFUNCTION("""COMPUTED_VALUE"""),"Chatelet")</f>
        <v>Chatelet</v>
      </c>
      <c r="D110" s="2" t="str">
        <f>IFERROR(__xludf.DUMMYFUNCTION("""COMPUTED_VALUE"""),"N922 Rue de Namur vers Châtelet")</f>
        <v>N922 Rue de Namur vers Châtelet</v>
      </c>
      <c r="E110" s="2" t="str">
        <f>IFERROR(__xludf.DUMMYFUNCTION("""COMPUTED_VALUE"""),"Charleroi")</f>
        <v>Charleroi</v>
      </c>
      <c r="F110" s="2" t="str">
        <f>IFERROR(__xludf.DUMMYFUNCTION("""COMPUTED_VALUE"""),"Chatelet")</f>
        <v>Chatelet</v>
      </c>
      <c r="G110" s="2" t="str">
        <f>IFERROR(__xludf.DUMMYFUNCTION("""COMPUTED_VALUE"""),"Hainaut")</f>
        <v>Hainaut</v>
      </c>
      <c r="H110" s="24" t="str">
        <f>IFERROR(__xludf.DUMMYFUNCTION("""COMPUTED_VALUE"""),"50.3947959, 4.5457488")</f>
        <v>50.3947959, 4.5457488</v>
      </c>
      <c r="I110" s="60" t="str">
        <f>IFERROR(__xludf.DUMMYFUNCTION("""COMPUTED_VALUE"""),"https://remorquepublicitaire.be/remorque/401")</f>
        <v>https://remorquepublicitaire.be/remorque/401</v>
      </c>
      <c r="J110" s="38"/>
      <c r="K110" s="38"/>
      <c r="L110" s="38"/>
      <c r="M110" s="38"/>
    </row>
    <row r="111">
      <c r="A111" s="24">
        <f>IFERROR(__xludf.DUMMYFUNCTION("""COMPUTED_VALUE"""),402.0)</f>
        <v>402</v>
      </c>
      <c r="B111" s="2" t="str">
        <f>IFERROR(__xludf.DUMMYFUNCTION("""COMPUTED_VALUE"""),"Charleroi")</f>
        <v>Charleroi</v>
      </c>
      <c r="C111" s="2" t="str">
        <f>IFERROR(__xludf.DUMMYFUNCTION("""COMPUTED_VALUE"""),"Farcienne")</f>
        <v>Farcienne</v>
      </c>
      <c r="D111" s="2" t="str">
        <f>IFERROR(__xludf.DUMMYFUNCTION("""COMPUTED_VALUE"""),"Basse Sambre N 90")</f>
        <v>Basse Sambre N 90</v>
      </c>
      <c r="E111" s="2" t="str">
        <f>IFERROR(__xludf.DUMMYFUNCTION("""COMPUTED_VALUE"""),"Charleroi")</f>
        <v>Charleroi</v>
      </c>
      <c r="F111" s="2" t="str">
        <f>IFERROR(__xludf.DUMMYFUNCTION("""COMPUTED_VALUE"""),"Sambreville")</f>
        <v>Sambreville</v>
      </c>
      <c r="G111" s="2" t="str">
        <f>IFERROR(__xludf.DUMMYFUNCTION("""COMPUTED_VALUE"""),"Hainaut")</f>
        <v>Hainaut</v>
      </c>
      <c r="H111" s="24" t="str">
        <f>IFERROR(__xludf.DUMMYFUNCTION("""COMPUTED_VALUE"""),"50.4426897, 4.5487261")</f>
        <v>50.4426897, 4.5487261</v>
      </c>
      <c r="I111" s="60" t="str">
        <f>IFERROR(__xludf.DUMMYFUNCTION("""COMPUTED_VALUE"""),"https://remorquepublicitaire.be/remorque/402")</f>
        <v>https://remorquepublicitaire.be/remorque/402</v>
      </c>
      <c r="J111" s="38"/>
      <c r="K111" s="38"/>
      <c r="L111" s="38"/>
      <c r="M111" s="38"/>
    </row>
    <row r="112">
      <c r="A112" s="24">
        <f>IFERROR(__xludf.DUMMYFUNCTION("""COMPUTED_VALUE"""),403.0)</f>
        <v>403</v>
      </c>
      <c r="B112" s="2" t="str">
        <f>IFERROR(__xludf.DUMMYFUNCTION("""COMPUTED_VALUE"""),"Charleroi")</f>
        <v>Charleroi</v>
      </c>
      <c r="C112" s="2" t="str">
        <f>IFERROR(__xludf.DUMMYFUNCTION("""COMPUTED_VALUE"""),"Nalinnes")</f>
        <v>Nalinnes</v>
      </c>
      <c r="D112" s="2" t="str">
        <f>IFERROR(__xludf.DUMMYFUNCTION("""COMPUTED_VALUE"""),"N5 dir Charleroi")</f>
        <v>N5 dir Charleroi</v>
      </c>
      <c r="E112" s="2" t="str">
        <f>IFERROR(__xludf.DUMMYFUNCTION("""COMPUTED_VALUE"""),"Couvin")</f>
        <v>Couvin</v>
      </c>
      <c r="F112" s="2" t="str">
        <f>IFERROR(__xludf.DUMMYFUNCTION("""COMPUTED_VALUE"""),"Charleroi")</f>
        <v>Charleroi</v>
      </c>
      <c r="G112" s="2" t="str">
        <f>IFERROR(__xludf.DUMMYFUNCTION("""COMPUTED_VALUE"""),"Hainaut")</f>
        <v>Hainaut</v>
      </c>
      <c r="H112" s="24" t="str">
        <f>IFERROR(__xludf.DUMMYFUNCTION("""COMPUTED_VALUE"""),"50.327303, 4.4761777")</f>
        <v>50.327303, 4.4761777</v>
      </c>
      <c r="I112" s="60" t="str">
        <f>IFERROR(__xludf.DUMMYFUNCTION("""COMPUTED_VALUE"""),"https://remorquepublicitaire.be/remorque/403")</f>
        <v>https://remorquepublicitaire.be/remorque/403</v>
      </c>
      <c r="J112" s="38"/>
      <c r="K112" s="38"/>
      <c r="L112" s="38"/>
      <c r="M112" s="38"/>
    </row>
    <row r="113">
      <c r="A113" s="24">
        <f>IFERROR(__xludf.DUMMYFUNCTION("""COMPUTED_VALUE"""),404.0)</f>
        <v>404</v>
      </c>
      <c r="B113" s="2" t="str">
        <f>IFERROR(__xludf.DUMMYFUNCTION("""COMPUTED_VALUE"""),"Charleroi")</f>
        <v>Charleroi</v>
      </c>
      <c r="C113" s="2" t="str">
        <f>IFERROR(__xludf.DUMMYFUNCTION("""COMPUTED_VALUE"""),"Gosselies aéroport")</f>
        <v>Gosselies aéroport</v>
      </c>
      <c r="D113" s="2" t="str">
        <f>IFERROR(__xludf.DUMMYFUNCTION("""COMPUTED_VALUE"""),"N568 Charleroi Airport")</f>
        <v>N568 Charleroi Airport</v>
      </c>
      <c r="E113" s="2" t="str">
        <f>IFERROR(__xludf.DUMMYFUNCTION("""COMPUTED_VALUE"""),"Aeroport")</f>
        <v>Aeroport</v>
      </c>
      <c r="F113" s="2" t="str">
        <f>IFERROR(__xludf.DUMMYFUNCTION("""COMPUTED_VALUE"""),"E420 (Ransart)")</f>
        <v>E420 (Ransart)</v>
      </c>
      <c r="G113" s="2" t="str">
        <f>IFERROR(__xludf.DUMMYFUNCTION("""COMPUTED_VALUE"""),"Hainaut")</f>
        <v>Hainaut</v>
      </c>
      <c r="H113" s="24" t="str">
        <f>IFERROR(__xludf.DUMMYFUNCTION("""COMPUTED_VALUE"""),"50.4587762, 4.460299")</f>
        <v>50.4587762, 4.460299</v>
      </c>
      <c r="I113" s="60" t="str">
        <f>IFERROR(__xludf.DUMMYFUNCTION("""COMPUTED_VALUE"""),"https://remorquepublicitaire.be/remorque/404")</f>
        <v>https://remorquepublicitaire.be/remorque/404</v>
      </c>
      <c r="J113" s="38"/>
      <c r="K113" s="38"/>
      <c r="L113" s="38"/>
      <c r="M113" s="38"/>
    </row>
    <row r="114">
      <c r="A114" s="24">
        <f>IFERROR(__xludf.DUMMYFUNCTION("""COMPUTED_VALUE"""),405.0)</f>
        <v>405</v>
      </c>
      <c r="B114" s="2" t="str">
        <f>IFERROR(__xludf.DUMMYFUNCTION("""COMPUTED_VALUE"""),"Thuin")</f>
        <v>Thuin</v>
      </c>
      <c r="C114" s="2" t="str">
        <f>IFERROR(__xludf.DUMMYFUNCTION("""COMPUTED_VALUE"""),"Thuin N59")</f>
        <v>Thuin N59</v>
      </c>
      <c r="D114" s="2" t="str">
        <f>IFERROR(__xludf.DUMMYFUNCTION("""COMPUTED_VALUE"""),"Gozée venant de Thuin")</f>
        <v>Gozée venant de Thuin</v>
      </c>
      <c r="E114" s="2" t="str">
        <f>IFERROR(__xludf.DUMMYFUNCTION("""COMPUTED_VALUE"""),"Charleroi")</f>
        <v>Charleroi</v>
      </c>
      <c r="F114" s="2" t="str">
        <f>IFERROR(__xludf.DUMMYFUNCTION("""COMPUTED_VALUE"""),"Thuin")</f>
        <v>Thuin</v>
      </c>
      <c r="G114" s="2" t="str">
        <f>IFERROR(__xludf.DUMMYFUNCTION("""COMPUTED_VALUE"""),"Hainaut")</f>
        <v>Hainaut</v>
      </c>
      <c r="H114" s="24" t="str">
        <f>IFERROR(__xludf.DUMMYFUNCTION("""COMPUTED_VALUE"""),"50.3384483, 4.326508")</f>
        <v>50.3384483, 4.326508</v>
      </c>
      <c r="I114" s="60" t="str">
        <f>IFERROR(__xludf.DUMMYFUNCTION("""COMPUTED_VALUE"""),"https://remorquepublicitaire.be/remorque/405")</f>
        <v>https://remorquepublicitaire.be/remorque/405</v>
      </c>
      <c r="J114" s="38"/>
      <c r="K114" s="38"/>
      <c r="L114" s="38"/>
      <c r="M114" s="38"/>
    </row>
    <row r="115">
      <c r="A115" s="24">
        <f>IFERROR(__xludf.DUMMYFUNCTION("""COMPUTED_VALUE"""),406.0)</f>
        <v>406</v>
      </c>
      <c r="B115" s="2" t="str">
        <f>IFERROR(__xludf.DUMMYFUNCTION("""COMPUTED_VALUE"""),"Gozée")</f>
        <v>Gozée</v>
      </c>
      <c r="C115" s="2" t="str">
        <f>IFERROR(__xludf.DUMMYFUNCTION("""COMPUTED_VALUE"""),"N53  Charleroi - Beaumont")</f>
        <v>N53  Charleroi - Beaumont</v>
      </c>
      <c r="D115" s="2" t="str">
        <f>IFERROR(__xludf.DUMMYFUNCTION("""COMPUTED_VALUE"""),"Entre Gozée et Thuillies")</f>
        <v>Entre Gozée et Thuillies</v>
      </c>
      <c r="E115" s="2" t="str">
        <f>IFERROR(__xludf.DUMMYFUNCTION("""COMPUTED_VALUE"""),"Charleroi")</f>
        <v>Charleroi</v>
      </c>
      <c r="F115" s="2" t="str">
        <f>IFERROR(__xludf.DUMMYFUNCTION("""COMPUTED_VALUE"""),"Beaumont")</f>
        <v>Beaumont</v>
      </c>
      <c r="G115" s="2" t="str">
        <f>IFERROR(__xludf.DUMMYFUNCTION("""COMPUTED_VALUE"""),"Hainaut")</f>
        <v>Hainaut</v>
      </c>
      <c r="H115" s="24" t="str">
        <f>IFERROR(__xludf.DUMMYFUNCTION("""COMPUTED_VALUE"""),"50.3166654, 4.3336892")</f>
        <v>50.3166654, 4.3336892</v>
      </c>
      <c r="I115" s="60" t="str">
        <f>IFERROR(__xludf.DUMMYFUNCTION("""COMPUTED_VALUE"""),"https://remorquepublicitaire.be/remorque/406")</f>
        <v>https://remorquepublicitaire.be/remorque/406</v>
      </c>
      <c r="J115" s="38"/>
      <c r="K115" s="38"/>
      <c r="L115" s="38"/>
      <c r="M115" s="38"/>
    </row>
    <row r="116">
      <c r="A116" s="24">
        <f>IFERROR(__xludf.DUMMYFUNCTION("""COMPUTED_VALUE"""),407.0)</f>
        <v>407</v>
      </c>
      <c r="B116" s="2" t="str">
        <f>IFERROR(__xludf.DUMMYFUNCTION("""COMPUTED_VALUE"""),"Anderlues")</f>
        <v>Anderlues</v>
      </c>
      <c r="C116" s="2" t="str">
        <f>IFERROR(__xludf.DUMMYFUNCTION("""COMPUTED_VALUE"""),"Morlanwelz 1")</f>
        <v>Morlanwelz 1</v>
      </c>
      <c r="D116" s="2" t="str">
        <f>IFERROR(__xludf.DUMMYFUNCTION("""COMPUTED_VALUE"""),"N59 Chée de Bascoup")</f>
        <v>N59 Chée de Bascoup</v>
      </c>
      <c r="E116" s="2" t="str">
        <f>IFERROR(__xludf.DUMMYFUNCTION("""COMPUTED_VALUE"""),"E42")</f>
        <v>E42</v>
      </c>
      <c r="F116" s="2" t="str">
        <f>IFERROR(__xludf.DUMMYFUNCTION("""COMPUTED_VALUE"""),"Anderlues")</f>
        <v>Anderlues</v>
      </c>
      <c r="G116" s="2" t="str">
        <f>IFERROR(__xludf.DUMMYFUNCTION("""COMPUTED_VALUE"""),"Hainaut")</f>
        <v>Hainaut</v>
      </c>
      <c r="H116" s="24" t="str">
        <f>IFERROR(__xludf.DUMMYFUNCTION("""COMPUTED_VALUE"""),"50.450277, 4.277907")</f>
        <v>50.450277, 4.277907</v>
      </c>
      <c r="I116" s="60" t="str">
        <f>IFERROR(__xludf.DUMMYFUNCTION("""COMPUTED_VALUE"""),"https://remorquepublicitaire.be/remorque/407")</f>
        <v>https://remorquepublicitaire.be/remorque/407</v>
      </c>
      <c r="J116" s="38"/>
      <c r="K116" s="38"/>
      <c r="L116" s="38"/>
      <c r="M116" s="38"/>
    </row>
    <row r="117">
      <c r="A117" s="24">
        <f>IFERROR(__xludf.DUMMYFUNCTION("""COMPUTED_VALUE"""),408.0)</f>
        <v>408</v>
      </c>
      <c r="B117" s="2" t="str">
        <f>IFERROR(__xludf.DUMMYFUNCTION("""COMPUTED_VALUE"""),"Anderlues")</f>
        <v>Anderlues</v>
      </c>
      <c r="C117" s="2" t="str">
        <f>IFERROR(__xludf.DUMMYFUNCTION("""COMPUTED_VALUE"""),"Morlanwelz 2")</f>
        <v>Morlanwelz 2</v>
      </c>
      <c r="D117" s="2" t="str">
        <f>IFERROR(__xludf.DUMMYFUNCTION("""COMPUTED_VALUE"""),"N59 Chée de Bascoup")</f>
        <v>N59 Chée de Bascoup</v>
      </c>
      <c r="E117" s="2" t="str">
        <f>IFERROR(__xludf.DUMMYFUNCTION("""COMPUTED_VALUE"""),"E42")</f>
        <v>E42</v>
      </c>
      <c r="F117" s="2" t="str">
        <f>IFERROR(__xludf.DUMMYFUNCTION("""COMPUTED_VALUE"""),"Anderlues")</f>
        <v>Anderlues</v>
      </c>
      <c r="G117" s="2" t="str">
        <f>IFERROR(__xludf.DUMMYFUNCTION("""COMPUTED_VALUE"""),"Hainaut")</f>
        <v>Hainaut</v>
      </c>
      <c r="H117" s="24" t="str">
        <f>IFERROR(__xludf.DUMMYFUNCTION("""COMPUTED_VALUE"""),"50.446291, 4.277443")</f>
        <v>50.446291, 4.277443</v>
      </c>
      <c r="I117" s="60" t="str">
        <f>IFERROR(__xludf.DUMMYFUNCTION("""COMPUTED_VALUE"""),"https://remorquepublicitaire.be/remorque/408")</f>
        <v>https://remorquepublicitaire.be/remorque/408</v>
      </c>
      <c r="J117" s="38"/>
      <c r="K117" s="38"/>
      <c r="L117" s="38"/>
      <c r="M117" s="38"/>
    </row>
    <row r="118">
      <c r="A118" s="24">
        <f>IFERROR(__xludf.DUMMYFUNCTION("""COMPUTED_VALUE"""),409.0)</f>
        <v>409</v>
      </c>
      <c r="B118" s="2" t="str">
        <f>IFERROR(__xludf.DUMMYFUNCTION("""COMPUTED_VALUE"""),"Nivelles")</f>
        <v>Nivelles</v>
      </c>
      <c r="C118" s="2" t="str">
        <f>IFERROR(__xludf.DUMMYFUNCTION("""COMPUTED_VALUE"""),"Buzet")</f>
        <v>Buzet</v>
      </c>
      <c r="D118" s="2" t="str">
        <f>IFERROR(__xludf.DUMMYFUNCTION("""COMPUTED_VALUE"""),"Chaussée de Nivelles")</f>
        <v>Chaussée de Nivelles</v>
      </c>
      <c r="E118" s="2" t="str">
        <f>IFERROR(__xludf.DUMMYFUNCTION("""COMPUTED_VALUE"""),"Charleroi")</f>
        <v>Charleroi</v>
      </c>
      <c r="F118" s="2" t="str">
        <f>IFERROR(__xludf.DUMMYFUNCTION("""COMPUTED_VALUE"""),"Nivelles")</f>
        <v>Nivelles</v>
      </c>
      <c r="G118" s="2" t="str">
        <f>IFERROR(__xludf.DUMMYFUNCTION("""COMPUTED_VALUE"""),"Hainaut")</f>
        <v>Hainaut</v>
      </c>
      <c r="H118" s="24" t="str">
        <f>IFERROR(__xludf.DUMMYFUNCTION("""COMPUTED_VALUE"""),"50.528210, 4.390000")</f>
        <v>50.528210, 4.390000</v>
      </c>
      <c r="I118" s="60" t="str">
        <f>IFERROR(__xludf.DUMMYFUNCTION("""COMPUTED_VALUE"""),"https://remorquepublicitaire.be/remorque/409")</f>
        <v>https://remorquepublicitaire.be/remorque/409</v>
      </c>
      <c r="J118" s="38"/>
      <c r="K118" s="38"/>
      <c r="L118" s="38"/>
      <c r="M118" s="38"/>
    </row>
    <row r="119">
      <c r="A119" s="24">
        <f>IFERROR(__xludf.DUMMYFUNCTION("""COMPUTED_VALUE"""),415.0)</f>
        <v>415</v>
      </c>
      <c r="B119" s="2" t="str">
        <f>IFERROR(__xludf.DUMMYFUNCTION("""COMPUTED_VALUE"""),"Binche")</f>
        <v>Binche</v>
      </c>
      <c r="C119" s="2" t="str">
        <f>IFERROR(__xludf.DUMMYFUNCTION("""COMPUTED_VALUE"""),"Péronnes-lez-Binche")</f>
        <v>Péronnes-lez-Binche</v>
      </c>
      <c r="D119" s="2" t="str">
        <f>IFERROR(__xludf.DUMMYFUNCTION("""COMPUTED_VALUE"""),"N55 Rue Saint-Pie")</f>
        <v>N55 Rue Saint-Pie</v>
      </c>
      <c r="E119" s="2" t="str">
        <f>IFERROR(__xludf.DUMMYFUNCTION("""COMPUTED_VALUE"""),"La Louvière")</f>
        <v>La Louvière</v>
      </c>
      <c r="F119" s="2" t="str">
        <f>IFERROR(__xludf.DUMMYFUNCTION("""COMPUTED_VALUE"""),"Binche")</f>
        <v>Binche</v>
      </c>
      <c r="G119" s="2" t="str">
        <f>IFERROR(__xludf.DUMMYFUNCTION("""COMPUTED_VALUE"""),"Hainaut")</f>
        <v>Hainaut</v>
      </c>
      <c r="H119" s="24" t="str">
        <f>IFERROR(__xludf.DUMMYFUNCTION("""COMPUTED_VALUE"""),"50.416229, 4.182588")</f>
        <v>50.416229, 4.182588</v>
      </c>
      <c r="I119" s="2"/>
      <c r="J119" s="38"/>
      <c r="K119" s="38"/>
      <c r="L119" s="38"/>
      <c r="M119" s="38"/>
    </row>
    <row r="120">
      <c r="A120" s="24">
        <f>IFERROR(__xludf.DUMMYFUNCTION("""COMPUTED_VALUE"""),501.0)</f>
        <v>501</v>
      </c>
      <c r="B120" s="2" t="str">
        <f>IFERROR(__xludf.DUMMYFUNCTION("""COMPUTED_VALUE"""),"Habay-La-Neuve")</f>
        <v>Habay-La-Neuve</v>
      </c>
      <c r="C120" s="2" t="str">
        <f>IFERROR(__xludf.DUMMYFUNCTION("""COMPUTED_VALUE"""),"Truck center")</f>
        <v>Truck center</v>
      </c>
      <c r="D120" s="2" t="str">
        <f>IFERROR(__xludf.DUMMYFUNCTION("""COMPUTED_VALUE"""),"N87 Rue Belle-vue")</f>
        <v>N87 Rue Belle-vue</v>
      </c>
      <c r="E120" s="2" t="str">
        <f>IFERROR(__xludf.DUMMYFUNCTION("""COMPUTED_VALUE"""),"Étalle")</f>
        <v>Étalle</v>
      </c>
      <c r="F120" s="2" t="str">
        <f>IFERROR(__xludf.DUMMYFUNCTION("""COMPUTED_VALUE"""),"Habay-La-Neuve")</f>
        <v>Habay-La-Neuve</v>
      </c>
      <c r="G120" s="2" t="str">
        <f>IFERROR(__xludf.DUMMYFUNCTION("""COMPUTED_VALUE"""),"Luxembourg")</f>
        <v>Luxembourg</v>
      </c>
      <c r="H120" s="24" t="str">
        <f>IFERROR(__xludf.DUMMYFUNCTION("""COMPUTED_VALUE"""),"49.702853, 5.622425")</f>
        <v>49.702853, 5.622425</v>
      </c>
      <c r="I120" s="60" t="str">
        <f>IFERROR(__xludf.DUMMYFUNCTION("""COMPUTED_VALUE"""),"https://remorquepublicitaire.be/remorque/501")</f>
        <v>https://remorquepublicitaire.be/remorque/501</v>
      </c>
      <c r="J120" s="38"/>
      <c r="K120" s="38"/>
      <c r="L120" s="38"/>
      <c r="M120" s="38"/>
    </row>
    <row r="121">
      <c r="A121" s="24">
        <f>IFERROR(__xludf.DUMMYFUNCTION("""COMPUTED_VALUE"""),502.0)</f>
        <v>502</v>
      </c>
      <c r="B121" s="2" t="str">
        <f>IFERROR(__xludf.DUMMYFUNCTION("""COMPUTED_VALUE"""),"Bastogne")</f>
        <v>Bastogne</v>
      </c>
      <c r="C121" s="2" t="str">
        <f>IFERROR(__xludf.DUMMYFUNCTION("""COMPUTED_VALUE"""),"Entre Foy et Noville")</f>
        <v>Entre Foy et Noville</v>
      </c>
      <c r="D121" s="2" t="str">
        <f>IFERROR(__xludf.DUMMYFUNCTION("""COMPUTED_VALUE"""),"N30 route Bastogne-Houffalize")</f>
        <v>N30 route Bastogne-Houffalize</v>
      </c>
      <c r="E121" s="2" t="str">
        <f>IFERROR(__xludf.DUMMYFUNCTION("""COMPUTED_VALUE"""),"Houffalize")</f>
        <v>Houffalize</v>
      </c>
      <c r="F121" s="2" t="str">
        <f>IFERROR(__xludf.DUMMYFUNCTION("""COMPUTED_VALUE"""),"Bastogne")</f>
        <v>Bastogne</v>
      </c>
      <c r="G121" s="2" t="str">
        <f>IFERROR(__xludf.DUMMYFUNCTION("""COMPUTED_VALUE"""),"Luxembourg")</f>
        <v>Luxembourg</v>
      </c>
      <c r="H121" s="24" t="str">
        <f>IFERROR(__xludf.DUMMYFUNCTION("""COMPUTED_VALUE"""),"50.0530212, 5.7543602")</f>
        <v>50.0530212, 5.7543602</v>
      </c>
      <c r="I121" s="60" t="str">
        <f>IFERROR(__xludf.DUMMYFUNCTION("""COMPUTED_VALUE"""),"https://remorquepublicitaire.be/remorque/502")</f>
        <v>https://remorquepublicitaire.be/remorque/502</v>
      </c>
      <c r="J121" s="38"/>
      <c r="K121" s="38"/>
      <c r="L121" s="38"/>
      <c r="M121" s="38"/>
    </row>
    <row r="122">
      <c r="A122" s="24">
        <f>IFERROR(__xludf.DUMMYFUNCTION("""COMPUTED_VALUE"""),503.0)</f>
        <v>503</v>
      </c>
      <c r="B122" s="2" t="str">
        <f>IFERROR(__xludf.DUMMYFUNCTION("""COMPUTED_VALUE"""),"Bastogne")</f>
        <v>Bastogne</v>
      </c>
      <c r="C122" s="2" t="str">
        <f>IFERROR(__xludf.DUMMYFUNCTION("""COMPUTED_VALUE"""),"Bras 1")</f>
        <v>Bras 1</v>
      </c>
      <c r="D122" s="2" t="str">
        <f>IFERROR(__xludf.DUMMYFUNCTION("""COMPUTED_VALUE"""),"N84 route Bastogne-Wiltz")</f>
        <v>N84 route Bastogne-Wiltz</v>
      </c>
      <c r="E122" s="2" t="str">
        <f>IFERROR(__xludf.DUMMYFUNCTION("""COMPUTED_VALUE"""),"Luxembourg")</f>
        <v>Luxembourg</v>
      </c>
      <c r="F122" s="2" t="str">
        <f>IFERROR(__xludf.DUMMYFUNCTION("""COMPUTED_VALUE"""),"Bastogne")</f>
        <v>Bastogne</v>
      </c>
      <c r="G122" s="2" t="str">
        <f>IFERROR(__xludf.DUMMYFUNCTION("""COMPUTED_VALUE"""),"Luxembourg")</f>
        <v>Luxembourg</v>
      </c>
      <c r="H122" s="24" t="str">
        <f>IFERROR(__xludf.DUMMYFUNCTION("""COMPUTED_VALUE"""),"49.9848758, 5.8040964")</f>
        <v>49.9848758, 5.8040964</v>
      </c>
      <c r="I122" s="60" t="str">
        <f>IFERROR(__xludf.DUMMYFUNCTION("""COMPUTED_VALUE"""),"https://remorquepublicitaire.be/remorque/503")</f>
        <v>https://remorquepublicitaire.be/remorque/503</v>
      </c>
      <c r="J122" s="38"/>
      <c r="K122" s="38"/>
      <c r="L122" s="38"/>
      <c r="M122" s="38"/>
    </row>
    <row r="123">
      <c r="A123" s="24">
        <f>IFERROR(__xludf.DUMMYFUNCTION("""COMPUTED_VALUE"""),504.0)</f>
        <v>504</v>
      </c>
      <c r="B123" s="2" t="str">
        <f>IFERROR(__xludf.DUMMYFUNCTION("""COMPUTED_VALUE"""),"Bastogne")</f>
        <v>Bastogne</v>
      </c>
      <c r="C123" s="2" t="str">
        <f>IFERROR(__xludf.DUMMYFUNCTION("""COMPUTED_VALUE"""),"Bras 2")</f>
        <v>Bras 2</v>
      </c>
      <c r="D123" s="2" t="str">
        <f>IFERROR(__xludf.DUMMYFUNCTION("""COMPUTED_VALUE"""),"N84 route Bastogne-Wiltz")</f>
        <v>N84 route Bastogne-Wiltz</v>
      </c>
      <c r="E123" s="2" t="str">
        <f>IFERROR(__xludf.DUMMYFUNCTION("""COMPUTED_VALUE"""),"Luxembourg")</f>
        <v>Luxembourg</v>
      </c>
      <c r="F123" s="2" t="str">
        <f>IFERROR(__xludf.DUMMYFUNCTION("""COMPUTED_VALUE"""),"Bastogne")</f>
        <v>Bastogne</v>
      </c>
      <c r="G123" s="2" t="str">
        <f>IFERROR(__xludf.DUMMYFUNCTION("""COMPUTED_VALUE"""),"Luxembourg")</f>
        <v>Luxembourg</v>
      </c>
      <c r="H123" s="24" t="str">
        <f>IFERROR(__xludf.DUMMYFUNCTION("""COMPUTED_VALUE"""),"49.9853027, 5.8088424")</f>
        <v>49.9853027, 5.8088424</v>
      </c>
      <c r="I123" s="60" t="str">
        <f>IFERROR(__xludf.DUMMYFUNCTION("""COMPUTED_VALUE"""),"https://remorquepublicitaire.be/remorque/504")</f>
        <v>https://remorquepublicitaire.be/remorque/504</v>
      </c>
      <c r="J123" s="38"/>
      <c r="K123" s="38"/>
      <c r="L123" s="38"/>
      <c r="M123" s="38"/>
    </row>
    <row r="124">
      <c r="A124" s="24">
        <f>IFERROR(__xludf.DUMMYFUNCTION("""COMPUTED_VALUE"""),505.0)</f>
        <v>505</v>
      </c>
      <c r="B124" s="2" t="str">
        <f>IFERROR(__xludf.DUMMYFUNCTION("""COMPUTED_VALUE"""),"Bastogne")</f>
        <v>Bastogne</v>
      </c>
      <c r="C124" s="2" t="str">
        <f>IFERROR(__xludf.DUMMYFUNCTION("""COMPUTED_VALUE"""),"Neffe")</f>
        <v>Neffe</v>
      </c>
      <c r="D124" s="2" t="str">
        <f>IFERROR(__xludf.DUMMYFUNCTION("""COMPUTED_VALUE"""),"N874 route Bastogne-Clervaux")</f>
        <v>N874 route Bastogne-Clervaux</v>
      </c>
      <c r="E124" s="2" t="str">
        <f>IFERROR(__xludf.DUMMYFUNCTION("""COMPUTED_VALUE"""),"Clervaux")</f>
        <v>Clervaux</v>
      </c>
      <c r="F124" s="2" t="str">
        <f>IFERROR(__xludf.DUMMYFUNCTION("""COMPUTED_VALUE"""),"Bastogne")</f>
        <v>Bastogne</v>
      </c>
      <c r="G124" s="2" t="str">
        <f>IFERROR(__xludf.DUMMYFUNCTION("""COMPUTED_VALUE"""),"Luxembourg")</f>
        <v>Luxembourg</v>
      </c>
      <c r="H124" s="24" t="str">
        <f>IFERROR(__xludf.DUMMYFUNCTION("""COMPUTED_VALUE"""),"50.0060471, 5.7585364")</f>
        <v>50.0060471, 5.7585364</v>
      </c>
      <c r="I124" s="60" t="str">
        <f>IFERROR(__xludf.DUMMYFUNCTION("""COMPUTED_VALUE"""),"https://remorquepublicitaire.be/remorque/505")</f>
        <v>https://remorquepublicitaire.be/remorque/505</v>
      </c>
      <c r="J124" s="38"/>
      <c r="K124" s="38"/>
      <c r="L124" s="38"/>
      <c r="M124" s="38"/>
    </row>
    <row r="125">
      <c r="A125" s="24">
        <f>IFERROR(__xludf.DUMMYFUNCTION("""COMPUTED_VALUE"""),506.0)</f>
        <v>506</v>
      </c>
      <c r="B125" s="2" t="str">
        <f>IFERROR(__xludf.DUMMYFUNCTION("""COMPUTED_VALUE"""),"Bouillon")</f>
        <v>Bouillon</v>
      </c>
      <c r="C125" s="2" t="str">
        <f>IFERROR(__xludf.DUMMYFUNCTION("""COMPUTED_VALUE"""),"Noirefontaine")</f>
        <v>Noirefontaine</v>
      </c>
      <c r="D125" s="2" t="str">
        <f>IFERROR(__xludf.DUMMYFUNCTION("""COMPUTED_VALUE"""),"N865 route Libramont-Bouillon")</f>
        <v>N865 route Libramont-Bouillon</v>
      </c>
      <c r="E125" s="2" t="str">
        <f>IFERROR(__xludf.DUMMYFUNCTION("""COMPUTED_VALUE"""),"Bouillon")</f>
        <v>Bouillon</v>
      </c>
      <c r="F125" s="2" t="str">
        <f>IFERROR(__xludf.DUMMYFUNCTION("""COMPUTED_VALUE"""),"Libramont")</f>
        <v>Libramont</v>
      </c>
      <c r="G125" s="2" t="str">
        <f>IFERROR(__xludf.DUMMYFUNCTION("""COMPUTED_VALUE"""),"Luxembourg")</f>
        <v>Luxembourg</v>
      </c>
      <c r="H125" s="24" t="str">
        <f>IFERROR(__xludf.DUMMYFUNCTION("""COMPUTED_VALUE"""),"49.8167382, 5.0860316")</f>
        <v>49.8167382, 5.0860316</v>
      </c>
      <c r="I125" s="60" t="str">
        <f>IFERROR(__xludf.DUMMYFUNCTION("""COMPUTED_VALUE"""),"https://remorquepublicitaire.be/remorque/506")</f>
        <v>https://remorquepublicitaire.be/remorque/506</v>
      </c>
      <c r="J125" s="38"/>
      <c r="K125" s="38"/>
      <c r="L125" s="38"/>
      <c r="M125" s="38"/>
    </row>
    <row r="126">
      <c r="A126" s="24">
        <f>IFERROR(__xludf.DUMMYFUNCTION("""COMPUTED_VALUE"""),507.0)</f>
        <v>507</v>
      </c>
      <c r="B126" s="2" t="str">
        <f>IFERROR(__xludf.DUMMYFUNCTION("""COMPUTED_VALUE"""),"La Roche en Ardenne")</f>
        <v>La Roche en Ardenne</v>
      </c>
      <c r="C126" s="2" t="str">
        <f>IFERROR(__xludf.DUMMYFUNCTION("""COMPUTED_VALUE"""),"Vecmont")</f>
        <v>Vecmont</v>
      </c>
      <c r="D126" s="2" t="str">
        <f>IFERROR(__xludf.DUMMYFUNCTION("""COMPUTED_VALUE"""),"Vecmont N89")</f>
        <v>Vecmont N89</v>
      </c>
      <c r="E126" s="2" t="str">
        <f>IFERROR(__xludf.DUMMYFUNCTION("""COMPUTED_VALUE"""),"Saint-Hubert")</f>
        <v>Saint-Hubert</v>
      </c>
      <c r="F126" s="2" t="str">
        <f>IFERROR(__xludf.DUMMYFUNCTION("""COMPUTED_VALUE"""),"La Roche en Ardenne")</f>
        <v>La Roche en Ardenne</v>
      </c>
      <c r="G126" s="2" t="str">
        <f>IFERROR(__xludf.DUMMYFUNCTION("""COMPUTED_VALUE"""),"Luxembourg")</f>
        <v>Luxembourg</v>
      </c>
      <c r="H126" s="24" t="str">
        <f>IFERROR(__xludf.DUMMYFUNCTION("""COMPUTED_VALUE"""),"50.1551922, 5.52465")</f>
        <v>50.1551922, 5.52465</v>
      </c>
      <c r="I126" s="60" t="str">
        <f>IFERROR(__xludf.DUMMYFUNCTION("""COMPUTED_VALUE"""),"https://remorquepublicitaire.be/remorque/507")</f>
        <v>https://remorquepublicitaire.be/remorque/507</v>
      </c>
      <c r="J126" s="38"/>
      <c r="K126" s="58"/>
      <c r="L126" s="38"/>
      <c r="M126" s="38"/>
    </row>
    <row r="127">
      <c r="A127" s="24">
        <f>IFERROR(__xludf.DUMMYFUNCTION("""COMPUTED_VALUE"""),508.0)</f>
        <v>508</v>
      </c>
      <c r="B127" s="2" t="str">
        <f>IFERROR(__xludf.DUMMYFUNCTION("""COMPUTED_VALUE"""),"Etalle")</f>
        <v>Etalle</v>
      </c>
      <c r="C127" s="2" t="str">
        <f>IFERROR(__xludf.DUMMYFUNCTION("""COMPUTED_VALUE"""),"Vance")</f>
        <v>Vance</v>
      </c>
      <c r="D127" s="2" t="str">
        <f>IFERROR(__xludf.DUMMYFUNCTION("""COMPUTED_VALUE"""),"N83 Route d'Arlon La Brelotte")</f>
        <v>N83 Route d'Arlon La Brelotte</v>
      </c>
      <c r="E127" s="2" t="str">
        <f>IFERROR(__xludf.DUMMYFUNCTION("""COMPUTED_VALUE"""),"Étalle")</f>
        <v>Étalle</v>
      </c>
      <c r="F127" s="2" t="str">
        <f>IFERROR(__xludf.DUMMYFUNCTION("""COMPUTED_VALUE"""),"Arlon")</f>
        <v>Arlon</v>
      </c>
      <c r="G127" s="2" t="str">
        <f>IFERROR(__xludf.DUMMYFUNCTION("""COMPUTED_VALUE"""),"Luxembourg")</f>
        <v>Luxembourg</v>
      </c>
      <c r="H127" s="24" t="str">
        <f>IFERROR(__xludf.DUMMYFUNCTION("""COMPUTED_VALUE"""),"49.6756266, 5.6229401")</f>
        <v>49.6756266, 5.6229401</v>
      </c>
      <c r="I127" s="60" t="str">
        <f>IFERROR(__xludf.DUMMYFUNCTION("""COMPUTED_VALUE"""),"https://remorquepublicitaire.be/remorque/508")</f>
        <v>https://remorquepublicitaire.be/remorque/508</v>
      </c>
      <c r="J127" s="38"/>
      <c r="K127" s="38"/>
      <c r="L127" s="38"/>
      <c r="M127" s="38"/>
    </row>
    <row r="128">
      <c r="A128" s="34">
        <f>IFERROR(__xludf.DUMMYFUNCTION("""COMPUTED_VALUE"""),509.0)</f>
        <v>509</v>
      </c>
      <c r="B128" s="38" t="str">
        <f>IFERROR(__xludf.DUMMYFUNCTION("""COMPUTED_VALUE"""),"Gouvy")</f>
        <v>Gouvy</v>
      </c>
      <c r="C128" s="38" t="str">
        <f>IFERROR(__xludf.DUMMYFUNCTION("""COMPUTED_VALUE"""),"Cherain")</f>
        <v>Cherain</v>
      </c>
      <c r="D128" s="38" t="str">
        <f>IFERROR(__xludf.DUMMYFUNCTION("""COMPUTED_VALUE"""),"N82 route Houffalize-Gouvy")</f>
        <v>N82 route Houffalize-Gouvy</v>
      </c>
      <c r="E128" s="38" t="str">
        <f>IFERROR(__xludf.DUMMYFUNCTION("""COMPUTED_VALUE"""),"Gouvy")</f>
        <v>Gouvy</v>
      </c>
      <c r="F128" s="2" t="str">
        <f>IFERROR(__xludf.DUMMYFUNCTION("""COMPUTED_VALUE"""),"Houffalize")</f>
        <v>Houffalize</v>
      </c>
      <c r="G128" s="38" t="str">
        <f>IFERROR(__xludf.DUMMYFUNCTION("""COMPUTED_VALUE"""),"Luxembourg")</f>
        <v>Luxembourg</v>
      </c>
      <c r="H128" s="34" t="str">
        <f>IFERROR(__xludf.DUMMYFUNCTION("""COMPUTED_VALUE"""),"50.1776961, 5.8524861")</f>
        <v>50.1776961, 5.8524861</v>
      </c>
      <c r="I128" s="108" t="str">
        <f>IFERROR(__xludf.DUMMYFUNCTION("""COMPUTED_VALUE"""),"https://remorquepublicitaire.be/remorque/509")</f>
        <v>https://remorquepublicitaire.be/remorque/509</v>
      </c>
      <c r="J128" s="34"/>
      <c r="K128" s="123"/>
      <c r="L128" s="38"/>
      <c r="M128" s="38"/>
    </row>
    <row r="129">
      <c r="A129" s="34">
        <f>IFERROR(__xludf.DUMMYFUNCTION("""COMPUTED_VALUE"""),510.0)</f>
        <v>510</v>
      </c>
      <c r="B129" s="38" t="str">
        <f>IFERROR(__xludf.DUMMYFUNCTION("""COMPUTED_VALUE"""),"Libramont")</f>
        <v>Libramont</v>
      </c>
      <c r="C129" s="38" t="str">
        <f>IFERROR(__xludf.DUMMYFUNCTION("""COMPUTED_VALUE"""),"Verlaine")</f>
        <v>Verlaine</v>
      </c>
      <c r="D129" s="38" t="str">
        <f>IFERROR(__xludf.DUMMYFUNCTION("""COMPUTED_VALUE"""),"N40 route Libramont-Neufchateau")</f>
        <v>N40 route Libramont-Neufchateau</v>
      </c>
      <c r="E129" s="38" t="str">
        <f>IFERROR(__xludf.DUMMYFUNCTION("""COMPUTED_VALUE"""),"Neufchateau")</f>
        <v>Neufchateau</v>
      </c>
      <c r="F129" s="38" t="str">
        <f>IFERROR(__xludf.DUMMYFUNCTION("""COMPUTED_VALUE"""),"Libramont")</f>
        <v>Libramont</v>
      </c>
      <c r="G129" s="38" t="str">
        <f>IFERROR(__xludf.DUMMYFUNCTION("""COMPUTED_VALUE"""),"Luxembourg")</f>
        <v>Luxembourg</v>
      </c>
      <c r="H129" s="34" t="str">
        <f>IFERROR(__xludf.DUMMYFUNCTION("""COMPUTED_VALUE"""),"49.872283, 5.416942")</f>
        <v>49.872283, 5.416942</v>
      </c>
      <c r="I129" s="108" t="str">
        <f>IFERROR(__xludf.DUMMYFUNCTION("""COMPUTED_VALUE"""),"https://remorquepublicitaire.be/remorque/510")</f>
        <v>https://remorquepublicitaire.be/remorque/510</v>
      </c>
      <c r="J129" s="123"/>
      <c r="K129" s="38"/>
      <c r="L129" s="38"/>
      <c r="M129" s="38"/>
    </row>
    <row r="130">
      <c r="A130" s="34">
        <f>IFERROR(__xludf.DUMMYFUNCTION("""COMPUTED_VALUE"""),511.0)</f>
        <v>511</v>
      </c>
      <c r="B130" s="38" t="str">
        <f>IFERROR(__xludf.DUMMYFUNCTION("""COMPUTED_VALUE"""),"Libramont")</f>
        <v>Libramont</v>
      </c>
      <c r="C130" s="38" t="str">
        <f>IFERROR(__xludf.DUMMYFUNCTION("""COMPUTED_VALUE"""),"Recogne 2")</f>
        <v>Recogne 2</v>
      </c>
      <c r="D130" s="38" t="str">
        <f>IFERROR(__xludf.DUMMYFUNCTION("""COMPUTED_VALUE"""),"N89 route Barrière de Champlon-Libramont")</f>
        <v>N89 route Barrière de Champlon-Libramont</v>
      </c>
      <c r="E130" s="38" t="str">
        <f>IFERROR(__xludf.DUMMYFUNCTION("""COMPUTED_VALUE"""),"Libramont")</f>
        <v>Libramont</v>
      </c>
      <c r="F130" s="38" t="str">
        <f>IFERROR(__xludf.DUMMYFUNCTION("""COMPUTED_VALUE"""),"La Roche en Ardenne")</f>
        <v>La Roche en Ardenne</v>
      </c>
      <c r="G130" s="38" t="str">
        <f>IFERROR(__xludf.DUMMYFUNCTION("""COMPUTED_VALUE"""),"Luxembourg")</f>
        <v>Luxembourg</v>
      </c>
      <c r="H130" s="38" t="str">
        <f>IFERROR(__xludf.DUMMYFUNCTION("""COMPUTED_VALUE"""),"49.9176821, 5.3522059")</f>
        <v>49.9176821, 5.3522059</v>
      </c>
      <c r="I130" s="108" t="str">
        <f>IFERROR(__xludf.DUMMYFUNCTION("""COMPUTED_VALUE"""),"https://remorquepublicitaire.be/remorque/511")</f>
        <v>https://remorquepublicitaire.be/remorque/511</v>
      </c>
      <c r="J130" s="123"/>
      <c r="K130" s="123"/>
      <c r="L130" s="38"/>
      <c r="M130" s="38"/>
    </row>
    <row r="131">
      <c r="A131" s="34">
        <f>IFERROR(__xludf.DUMMYFUNCTION("""COMPUTED_VALUE"""),512.0)</f>
        <v>512</v>
      </c>
      <c r="B131" s="38" t="str">
        <f>IFERROR(__xludf.DUMMYFUNCTION("""COMPUTED_VALUE"""),"Tenneville")</f>
        <v>Tenneville</v>
      </c>
      <c r="C131" s="38" t="str">
        <f>IFERROR(__xludf.DUMMYFUNCTION("""COMPUTED_VALUE"""),"Tenneville")</f>
        <v>Tenneville</v>
      </c>
      <c r="D131" s="38" t="str">
        <f>IFERROR(__xludf.DUMMYFUNCTION("""COMPUTED_VALUE"""),"N4 route Marche-Bastogne")</f>
        <v>N4 route Marche-Bastogne</v>
      </c>
      <c r="E131" s="38" t="str">
        <f>IFERROR(__xludf.DUMMYFUNCTION("""COMPUTED_VALUE"""),"Bastogne")</f>
        <v>Bastogne</v>
      </c>
      <c r="F131" s="38" t="str">
        <f>IFERROR(__xludf.DUMMYFUNCTION("""COMPUTED_VALUE"""),"Marche-en-Famenne")</f>
        <v>Marche-en-Famenne</v>
      </c>
      <c r="G131" s="38" t="str">
        <f>IFERROR(__xludf.DUMMYFUNCTION("""COMPUTED_VALUE"""),"Luxembourg")</f>
        <v>Luxembourg</v>
      </c>
      <c r="H131" s="38" t="str">
        <f>IFERROR(__xludf.DUMMYFUNCTION("""COMPUTED_VALUE"""),"50.092434, 5.5064901")</f>
        <v>50.092434, 5.5064901</v>
      </c>
      <c r="I131" s="108" t="str">
        <f>IFERROR(__xludf.DUMMYFUNCTION("""COMPUTED_VALUE"""),"https://remorquepublicitaire.be/remorque/512")</f>
        <v>https://remorquepublicitaire.be/remorque/512</v>
      </c>
      <c r="J131" s="38"/>
      <c r="K131" s="38"/>
      <c r="L131" s="38"/>
      <c r="M131" s="38"/>
    </row>
    <row r="132">
      <c r="A132" s="34">
        <f>IFERROR(__xludf.DUMMYFUNCTION("""COMPUTED_VALUE"""),513.0)</f>
        <v>513</v>
      </c>
      <c r="B132" s="38" t="str">
        <f>IFERROR(__xludf.DUMMYFUNCTION("""COMPUTED_VALUE"""),"Saint Vith")</f>
        <v>Saint Vith</v>
      </c>
      <c r="C132" s="38" t="str">
        <f>IFERROR(__xludf.DUMMYFUNCTION("""COMPUTED_VALUE"""),"Hotel Furellenhof ")</f>
        <v>Hotel Furellenhof </v>
      </c>
      <c r="D132" s="38" t="str">
        <f>IFERROR(__xludf.DUMMYFUNCTION("""COMPUTED_VALUE"""),"N62 vers le Luxembourg")</f>
        <v>N62 vers le Luxembourg</v>
      </c>
      <c r="E132" s="38" t="str">
        <f>IFERROR(__xludf.DUMMYFUNCTION("""COMPUTED_VALUE"""),"Luxembourg")</f>
        <v>Luxembourg</v>
      </c>
      <c r="F132" s="38" t="str">
        <f>IFERROR(__xludf.DUMMYFUNCTION("""COMPUTED_VALUE"""),"Saint-Vith")</f>
        <v>Saint-Vith</v>
      </c>
      <c r="G132" s="38" t="str">
        <f>IFERROR(__xludf.DUMMYFUNCTION("""COMPUTED_VALUE"""),"Luxembourg")</f>
        <v>Luxembourg</v>
      </c>
      <c r="H132" s="38" t="str">
        <f>IFERROR(__xludf.DUMMYFUNCTION("""COMPUTED_VALUE"""),"50.2454228, 6.0965757")</f>
        <v>50.2454228, 6.0965757</v>
      </c>
      <c r="I132" s="108" t="str">
        <f>IFERROR(__xludf.DUMMYFUNCTION("""COMPUTED_VALUE"""),"https://remorquepublicitaire.be/remorque/513")</f>
        <v>https://remorquepublicitaire.be/remorque/513</v>
      </c>
      <c r="J132" s="38"/>
      <c r="K132" s="38"/>
      <c r="L132" s="38"/>
      <c r="M132" s="38"/>
    </row>
    <row r="133">
      <c r="A133" s="34">
        <f>IFERROR(__xludf.DUMMYFUNCTION("""COMPUTED_VALUE"""),514.0)</f>
        <v>514</v>
      </c>
      <c r="B133" s="38" t="str">
        <f>IFERROR(__xludf.DUMMYFUNCTION("""COMPUTED_VALUE"""),"Burg Reuland")</f>
        <v>Burg Reuland</v>
      </c>
      <c r="C133" s="38" t="str">
        <f>IFERROR(__xludf.DUMMYFUNCTION("""COMPUTED_VALUE"""),"East Karting ")</f>
        <v>East Karting </v>
      </c>
      <c r="D133" s="38" t="str">
        <f>IFERROR(__xludf.DUMMYFUNCTION("""COMPUTED_VALUE"""),"N62 vers Saintt Vith")</f>
        <v>N62 vers Saintt Vith</v>
      </c>
      <c r="E133" s="38" t="str">
        <f>IFERROR(__xludf.DUMMYFUNCTION("""COMPUTED_VALUE"""),"Saint Vith")</f>
        <v>Saint Vith</v>
      </c>
      <c r="F133" s="38" t="str">
        <f>IFERROR(__xludf.DUMMYFUNCTION("""COMPUTED_VALUE"""),"Luxembourg")</f>
        <v>Luxembourg</v>
      </c>
      <c r="G133" s="38" t="str">
        <f>IFERROR(__xludf.DUMMYFUNCTION("""COMPUTED_VALUE"""),"Luxembourg")</f>
        <v>Luxembourg</v>
      </c>
      <c r="H133" s="38" t="str">
        <f>IFERROR(__xludf.DUMMYFUNCTION("""COMPUTED_VALUE"""),"50.2380225, 6.0893461")</f>
        <v>50.2380225, 6.0893461</v>
      </c>
      <c r="I133" s="108" t="str">
        <f>IFERROR(__xludf.DUMMYFUNCTION("""COMPUTED_VALUE"""),"https://remorquepublicitaire.be/remorque/514")</f>
        <v>https://remorquepublicitaire.be/remorque/514</v>
      </c>
      <c r="J133" s="38"/>
      <c r="K133" s="38"/>
      <c r="L133" s="38"/>
      <c r="M133" s="38"/>
    </row>
    <row r="134">
      <c r="A134" s="34">
        <f>IFERROR(__xludf.DUMMYFUNCTION("""COMPUTED_VALUE"""),515.0)</f>
        <v>515</v>
      </c>
      <c r="B134" s="38" t="str">
        <f>IFERROR(__xludf.DUMMYFUNCTION("""COMPUTED_VALUE"""),"Burg Reuland")</f>
        <v>Burg Reuland</v>
      </c>
      <c r="C134" s="38" t="str">
        <f>IFERROR(__xludf.DUMMYFUNCTION("""COMPUTED_VALUE"""),"Durler ")</f>
        <v>Durler </v>
      </c>
      <c r="D134" s="38" t="str">
        <f>IFERROR(__xludf.DUMMYFUNCTION("""COMPUTED_VALUE"""),"N62")</f>
        <v>N62</v>
      </c>
      <c r="E134" s="38" t="str">
        <f>IFERROR(__xludf.DUMMYFUNCTION("""COMPUTED_VALUE"""),"Saint Vith")</f>
        <v>Saint Vith</v>
      </c>
      <c r="F134" s="38" t="str">
        <f>IFERROR(__xludf.DUMMYFUNCTION("""COMPUTED_VALUE"""),"Luxembourg")</f>
        <v>Luxembourg</v>
      </c>
      <c r="G134" s="38" t="str">
        <f>IFERROR(__xludf.DUMMYFUNCTION("""COMPUTED_VALUE"""),"Luxembourg")</f>
        <v>Luxembourg</v>
      </c>
      <c r="H134" s="38" t="str">
        <f>IFERROR(__xludf.DUMMYFUNCTION("""COMPUTED_VALUE"""),"50.1864985, 6.0723991")</f>
        <v>50.1864985, 6.0723991</v>
      </c>
      <c r="I134" s="108" t="str">
        <f>IFERROR(__xludf.DUMMYFUNCTION("""COMPUTED_VALUE"""),"https://remorquepublicitaire.be/remorque/515")</f>
        <v>https://remorquepublicitaire.be/remorque/515</v>
      </c>
      <c r="J134" s="38"/>
      <c r="K134" s="38"/>
      <c r="L134" s="38"/>
      <c r="M134" s="38"/>
    </row>
    <row r="135">
      <c r="A135" s="34">
        <f>IFERROR(__xludf.DUMMYFUNCTION("""COMPUTED_VALUE"""),516.0)</f>
        <v>516</v>
      </c>
      <c r="B135" s="38" t="str">
        <f>IFERROR(__xludf.DUMMYFUNCTION("""COMPUTED_VALUE"""),"Deiffelt")</f>
        <v>Deiffelt</v>
      </c>
      <c r="C135" s="38" t="str">
        <f>IFERROR(__xludf.DUMMYFUNCTION("""COMPUTED_VALUE"""),"Relais du Campagnard")</f>
        <v>Relais du Campagnard</v>
      </c>
      <c r="D135" s="38" t="str">
        <f>IFERROR(__xludf.DUMMYFUNCTION("""COMPUTED_VALUE"""),"N68 ")</f>
        <v>N68 </v>
      </c>
      <c r="E135" s="38" t="str">
        <f>IFERROR(__xludf.DUMMYFUNCTION("""COMPUTED_VALUE"""),"Luxembourg")</f>
        <v>Luxembourg</v>
      </c>
      <c r="F135" s="38" t="str">
        <f>IFERROR(__xludf.DUMMYFUNCTION("""COMPUTED_VALUE"""),"Deiffelt")</f>
        <v>Deiffelt</v>
      </c>
      <c r="G135" s="38" t="str">
        <f>IFERROR(__xludf.DUMMYFUNCTION("""COMPUTED_VALUE"""),"Luxembourg")</f>
        <v>Luxembourg</v>
      </c>
      <c r="H135" s="38" t="str">
        <f>IFERROR(__xludf.DUMMYFUNCTION("""COMPUTED_VALUE"""),"50.18796, 6.01738")</f>
        <v>50.18796, 6.01738</v>
      </c>
      <c r="I135" s="108" t="str">
        <f>IFERROR(__xludf.DUMMYFUNCTION("""COMPUTED_VALUE"""),"https://remorquepublicitaire.be/remorque/516")</f>
        <v>https://remorquepublicitaire.be/remorque/516</v>
      </c>
      <c r="J135" s="38"/>
      <c r="K135" s="38"/>
      <c r="L135" s="38"/>
      <c r="M135" s="38"/>
    </row>
    <row r="136">
      <c r="A136" s="34">
        <f>IFERROR(__xludf.DUMMYFUNCTION("""COMPUTED_VALUE"""),517.0)</f>
        <v>517</v>
      </c>
      <c r="B136" s="38" t="str">
        <f>IFERROR(__xludf.DUMMYFUNCTION("""COMPUTED_VALUE"""),"Beho")</f>
        <v>Beho</v>
      </c>
      <c r="C136" s="38" t="str">
        <f>IFERROR(__xludf.DUMMYFUNCTION("""COMPUTED_VALUE"""),"Silot 1")</f>
        <v>Silot 1</v>
      </c>
      <c r="D136" s="38" t="str">
        <f>IFERROR(__xludf.DUMMYFUNCTION("""COMPUTED_VALUE"""),"N68 vers Luxembourg")</f>
        <v>N68 vers Luxembourg</v>
      </c>
      <c r="E136" s="38" t="str">
        <f>IFERROR(__xludf.DUMMYFUNCTION("""COMPUTED_VALUE"""),"Luxembourg")</f>
        <v>Luxembourg</v>
      </c>
      <c r="F136" s="38" t="str">
        <f>IFERROR(__xludf.DUMMYFUNCTION("""COMPUTED_VALUE"""),"Salm Château")</f>
        <v>Salm Château</v>
      </c>
      <c r="G136" s="38" t="str">
        <f>IFERROR(__xludf.DUMMYFUNCTION("""COMPUTED_VALUE"""),"Luxembourg")</f>
        <v>Luxembourg</v>
      </c>
      <c r="H136" s="38" t="str">
        <f>IFERROR(__xludf.DUMMYFUNCTION("""COMPUTED_VALUE"""),"50.216751, 5.9803426")</f>
        <v>50.216751, 5.9803426</v>
      </c>
      <c r="I136" s="108" t="str">
        <f>IFERROR(__xludf.DUMMYFUNCTION("""COMPUTED_VALUE"""),"https://remorquepublicitaire.be/remorque/517")</f>
        <v>https://remorquepublicitaire.be/remorque/517</v>
      </c>
      <c r="J136" s="38"/>
      <c r="K136" s="38"/>
      <c r="L136" s="38"/>
      <c r="M136" s="38"/>
    </row>
    <row r="137">
      <c r="A137" s="34">
        <f>IFERROR(__xludf.DUMMYFUNCTION("""COMPUTED_VALUE"""),518.0)</f>
        <v>518</v>
      </c>
      <c r="B137" s="38" t="str">
        <f>IFERROR(__xludf.DUMMYFUNCTION("""COMPUTED_VALUE"""),"Beho")</f>
        <v>Beho</v>
      </c>
      <c r="C137" s="38" t="str">
        <f>IFERROR(__xludf.DUMMYFUNCTION("""COMPUTED_VALUE"""),"Silot 2")</f>
        <v>Silot 2</v>
      </c>
      <c r="D137" s="38" t="str">
        <f>IFERROR(__xludf.DUMMYFUNCTION("""COMPUTED_VALUE"""),"N68 vers Salm Château")</f>
        <v>N68 vers Salm Château</v>
      </c>
      <c r="E137" s="38" t="str">
        <f>IFERROR(__xludf.DUMMYFUNCTION("""COMPUTED_VALUE"""),"Salm Château")</f>
        <v>Salm Château</v>
      </c>
      <c r="F137" s="38" t="str">
        <f>IFERROR(__xludf.DUMMYFUNCTION("""COMPUTED_VALUE"""),"Luxembourg")</f>
        <v>Luxembourg</v>
      </c>
      <c r="G137" s="38" t="str">
        <f>IFERROR(__xludf.DUMMYFUNCTION("""COMPUTED_VALUE"""),"Luxembourg")</f>
        <v>Luxembourg</v>
      </c>
      <c r="H137" s="38" t="str">
        <f>IFERROR(__xludf.DUMMYFUNCTION("""COMPUTED_VALUE"""),"50.2167579, 5.980753")</f>
        <v>50.2167579, 5.980753</v>
      </c>
      <c r="I137" s="108" t="str">
        <f>IFERROR(__xludf.DUMMYFUNCTION("""COMPUTED_VALUE"""),"https://remorquepublicitaire.be/remorque/518")</f>
        <v>https://remorquepublicitaire.be/remorque/518</v>
      </c>
      <c r="J137" s="38"/>
      <c r="K137" s="38"/>
      <c r="L137" s="38"/>
      <c r="M137" s="38"/>
    </row>
    <row r="138">
      <c r="A138" s="34">
        <f>IFERROR(__xludf.DUMMYFUNCTION("""COMPUTED_VALUE"""),519.0)</f>
        <v>519</v>
      </c>
      <c r="B138" s="38" t="str">
        <f>IFERROR(__xludf.DUMMYFUNCTION("""COMPUTED_VALUE"""),"Vielsam")</f>
        <v>Vielsam</v>
      </c>
      <c r="C138" s="38" t="str">
        <f>IFERROR(__xludf.DUMMYFUNCTION("""COMPUTED_VALUE"""),"Hebronval")</f>
        <v>Hebronval</v>
      </c>
      <c r="D138" s="38" t="str">
        <f>IFERROR(__xludf.DUMMYFUNCTION("""COMPUTED_VALUE"""),"N89")</f>
        <v>N89</v>
      </c>
      <c r="E138" s="38" t="str">
        <f>IFERROR(__xludf.DUMMYFUNCTION("""COMPUTED_VALUE"""),"Baraque Fraiture")</f>
        <v>Baraque Fraiture</v>
      </c>
      <c r="F138" s="38" t="str">
        <f>IFERROR(__xludf.DUMMYFUNCTION("""COMPUTED_VALUE"""),"Vielsam")</f>
        <v>Vielsam</v>
      </c>
      <c r="G138" s="38" t="str">
        <f>IFERROR(__xludf.DUMMYFUNCTION("""COMPUTED_VALUE"""),"Luxembourg")</f>
        <v>Luxembourg</v>
      </c>
      <c r="H138" s="38" t="str">
        <f>IFERROR(__xludf.DUMMYFUNCTION("""COMPUTED_VALUE"""),"50.26126, 5.82579")</f>
        <v>50.26126, 5.82579</v>
      </c>
      <c r="I138" s="108" t="str">
        <f>IFERROR(__xludf.DUMMYFUNCTION("""COMPUTED_VALUE"""),"https://remorquepublicitaire.be/remorque/519")</f>
        <v>https://remorquepublicitaire.be/remorque/519</v>
      </c>
      <c r="J138" s="38"/>
      <c r="K138" s="38"/>
      <c r="L138" s="38"/>
      <c r="M138" s="38"/>
    </row>
    <row r="139">
      <c r="A139" s="34">
        <f>IFERROR(__xludf.DUMMYFUNCTION("""COMPUTED_VALUE"""),520.0)</f>
        <v>520</v>
      </c>
      <c r="B139" s="38" t="str">
        <f>IFERROR(__xludf.DUMMYFUNCTION("""COMPUTED_VALUE"""),"Vielsam")</f>
        <v>Vielsam</v>
      </c>
      <c r="C139" s="38" t="str">
        <f>IFERROR(__xludf.DUMMYFUNCTION("""COMPUTED_VALUE"""),"Regné")</f>
        <v>Regné</v>
      </c>
      <c r="D139" s="38" t="str">
        <f>IFERROR(__xludf.DUMMYFUNCTION("""COMPUTED_VALUE"""),"N89")</f>
        <v>N89</v>
      </c>
      <c r="E139" s="38" t="str">
        <f>IFERROR(__xludf.DUMMYFUNCTION("""COMPUTED_VALUE"""),"Vielsam")</f>
        <v>Vielsam</v>
      </c>
      <c r="F139" s="38" t="str">
        <f>IFERROR(__xludf.DUMMYFUNCTION("""COMPUTED_VALUE"""),"Baraque de Fraiture")</f>
        <v>Baraque de Fraiture</v>
      </c>
      <c r="G139" s="38" t="str">
        <f>IFERROR(__xludf.DUMMYFUNCTION("""COMPUTED_VALUE"""),"Luxembourg")</f>
        <v>Luxembourg</v>
      </c>
      <c r="H139" s="38" t="str">
        <f>IFERROR(__xludf.DUMMYFUNCTION("""COMPUTED_VALUE"""),"50.252555, 5.787834")</f>
        <v>50.252555, 5.787834</v>
      </c>
      <c r="I139" s="108" t="str">
        <f>IFERROR(__xludf.DUMMYFUNCTION("""COMPUTED_VALUE"""),"https://remorquepublicitaire.be/remorque/520")</f>
        <v>https://remorquepublicitaire.be/remorque/520</v>
      </c>
      <c r="J139" s="38"/>
      <c r="K139" s="38"/>
      <c r="L139" s="38"/>
      <c r="M139" s="38"/>
    </row>
    <row r="140">
      <c r="A140" s="34">
        <f>IFERROR(__xludf.DUMMYFUNCTION("""COMPUTED_VALUE"""),521.0)</f>
        <v>521</v>
      </c>
      <c r="B140" s="38" t="str">
        <f>IFERROR(__xludf.DUMMYFUNCTION("""COMPUTED_VALUE"""),"Vielsam")</f>
        <v>Vielsam</v>
      </c>
      <c r="C140" s="38" t="str">
        <f>IFERROR(__xludf.DUMMYFUNCTION("""COMPUTED_VALUE"""),"Fraiture")</f>
        <v>Fraiture</v>
      </c>
      <c r="D140" s="38" t="str">
        <f>IFERROR(__xludf.DUMMYFUNCTION("""COMPUTED_VALUE"""),"N89")</f>
        <v>N89</v>
      </c>
      <c r="E140" s="38" t="str">
        <f>IFERROR(__xludf.DUMMYFUNCTION("""COMPUTED_VALUE"""),"Baraque Fraiture")</f>
        <v>Baraque Fraiture</v>
      </c>
      <c r="F140" s="38" t="str">
        <f>IFERROR(__xludf.DUMMYFUNCTION("""COMPUTED_VALUE"""),"Vielsam")</f>
        <v>Vielsam</v>
      </c>
      <c r="G140" s="38" t="str">
        <f>IFERROR(__xludf.DUMMYFUNCTION("""COMPUTED_VALUE"""),"Luxembourg")</f>
        <v>Luxembourg</v>
      </c>
      <c r="H140" s="38" t="str">
        <f>IFERROR(__xludf.DUMMYFUNCTION("""COMPUTED_VALUE"""),"50.249421, 5.756968")</f>
        <v>50.249421, 5.756968</v>
      </c>
      <c r="I140" s="108" t="str">
        <f>IFERROR(__xludf.DUMMYFUNCTION("""COMPUTED_VALUE"""),"https://remorquepublicitaire.be/remorque/521")</f>
        <v>https://remorquepublicitaire.be/remorque/521</v>
      </c>
      <c r="J140" s="38"/>
      <c r="K140" s="38"/>
      <c r="L140" s="38"/>
      <c r="M140" s="38"/>
    </row>
    <row r="141">
      <c r="A141" s="34">
        <f>IFERROR(__xludf.DUMMYFUNCTION("""COMPUTED_VALUE"""),524.0)</f>
        <v>524</v>
      </c>
      <c r="B141" s="38" t="str">
        <f>IFERROR(__xludf.DUMMYFUNCTION("""COMPUTED_VALUE"""),"Libramont")</f>
        <v>Libramont</v>
      </c>
      <c r="C141" s="38" t="str">
        <f>IFERROR(__xludf.DUMMYFUNCTION("""COMPUTED_VALUE"""),"Recogne")</f>
        <v>Recogne</v>
      </c>
      <c r="D141" s="38" t="str">
        <f>IFERROR(__xludf.DUMMYFUNCTION("""COMPUTED_VALUE"""),"N40")</f>
        <v>N40</v>
      </c>
      <c r="E141" s="38" t="str">
        <f>IFERROR(__xludf.DUMMYFUNCTION("""COMPUTED_VALUE"""),"Neufchateau")</f>
        <v>Neufchateau</v>
      </c>
      <c r="F141" s="38" t="str">
        <f>IFERROR(__xludf.DUMMYFUNCTION("""COMPUTED_VALUE"""),"Libramont")</f>
        <v>Libramont</v>
      </c>
      <c r="G141" s="38" t="str">
        <f>IFERROR(__xludf.DUMMYFUNCTION("""COMPUTED_VALUE"""),"Luxembourg")</f>
        <v>Luxembourg</v>
      </c>
      <c r="H141" s="38" t="str">
        <f>IFERROR(__xludf.DUMMYFUNCTION("""COMPUTED_VALUE"""),"49.904828, 5.371937")</f>
        <v>49.904828, 5.371937</v>
      </c>
      <c r="I141" s="108" t="str">
        <f>IFERROR(__xludf.DUMMYFUNCTION("""COMPUTED_VALUE"""),"https://remorquepublicitaire.be/remorque/524")</f>
        <v>https://remorquepublicitaire.be/remorque/524</v>
      </c>
      <c r="J141" s="38"/>
      <c r="K141" s="38"/>
      <c r="L141" s="38"/>
      <c r="M141" s="38"/>
    </row>
    <row r="142">
      <c r="A142" s="34">
        <f>IFERROR(__xludf.DUMMYFUNCTION("""COMPUTED_VALUE"""),525.0)</f>
        <v>525</v>
      </c>
      <c r="B142" s="38" t="str">
        <f>IFERROR(__xludf.DUMMYFUNCTION("""COMPUTED_VALUE"""),"Durbuy")</f>
        <v>Durbuy</v>
      </c>
      <c r="C142" s="38" t="str">
        <f>IFERROR(__xludf.DUMMYFUNCTION("""COMPUTED_VALUE"""),"Grandhan")</f>
        <v>Grandhan</v>
      </c>
      <c r="D142" s="38" t="str">
        <f>IFERROR(__xludf.DUMMYFUNCTION("""COMPUTED_VALUE"""),"N929")</f>
        <v>N929</v>
      </c>
      <c r="E142" s="38" t="str">
        <f>IFERROR(__xludf.DUMMYFUNCTION("""COMPUTED_VALUE"""),"Durbuy")</f>
        <v>Durbuy</v>
      </c>
      <c r="F142" s="38" t="str">
        <f>IFERROR(__xludf.DUMMYFUNCTION("""COMPUTED_VALUE"""),"Baillonville")</f>
        <v>Baillonville</v>
      </c>
      <c r="G142" s="38" t="str">
        <f>IFERROR(__xludf.DUMMYFUNCTION("""COMPUTED_VALUE"""),"Luxembourg")</f>
        <v>Luxembourg</v>
      </c>
      <c r="H142" s="38" t="str">
        <f>IFERROR(__xludf.DUMMYFUNCTION("""COMPUTED_VALUE"""),"50.304441, 5.386318")</f>
        <v>50.304441, 5.386318</v>
      </c>
      <c r="I142" s="108" t="str">
        <f>IFERROR(__xludf.DUMMYFUNCTION("""COMPUTED_VALUE"""),"https://remorquepublicitaire.be/remorque/525")</f>
        <v>https://remorquepublicitaire.be/remorque/525</v>
      </c>
      <c r="J142" s="38"/>
      <c r="K142" s="38"/>
      <c r="L142" s="38"/>
      <c r="M142" s="38"/>
    </row>
    <row r="143">
      <c r="A143" s="34">
        <f>IFERROR(__xludf.DUMMYFUNCTION("""COMPUTED_VALUE"""),526.0)</f>
        <v>526</v>
      </c>
      <c r="B143" s="38" t="str">
        <f>IFERROR(__xludf.DUMMYFUNCTION("""COMPUTED_VALUE"""),"Durbuy")</f>
        <v>Durbuy</v>
      </c>
      <c r="C143" s="38" t="str">
        <f>IFERROR(__xludf.DUMMYFUNCTION("""COMPUTED_VALUE"""),"Barvaux")</f>
        <v>Barvaux</v>
      </c>
      <c r="D143" s="38" t="str">
        <f>IFERROR(__xludf.DUMMYFUNCTION("""COMPUTED_VALUE"""),"Route de Marche")</f>
        <v>Route de Marche</v>
      </c>
      <c r="E143" s="38" t="str">
        <f>IFERROR(__xludf.DUMMYFUNCTION("""COMPUTED_VALUE"""),"Aywaille")</f>
        <v>Aywaille</v>
      </c>
      <c r="F143" s="38" t="str">
        <f>IFERROR(__xludf.DUMMYFUNCTION("""COMPUTED_VALUE"""),"Marche-en-Famenne")</f>
        <v>Marche-en-Famenne</v>
      </c>
      <c r="G143" s="38" t="str">
        <f>IFERROR(__xludf.DUMMYFUNCTION("""COMPUTED_VALUE"""),"Luxembourg")</f>
        <v>Luxembourg</v>
      </c>
      <c r="H143" s="38" t="str">
        <f>IFERROR(__xludf.DUMMYFUNCTION("""COMPUTED_VALUE"""),"50.3415071, 5.4859946")</f>
        <v>50.3415071, 5.4859946</v>
      </c>
      <c r="I143" s="38"/>
      <c r="J143" s="38"/>
      <c r="K143" s="38"/>
      <c r="L143" s="38"/>
      <c r="M143" s="38"/>
    </row>
    <row r="144">
      <c r="A144" s="34">
        <f>IFERROR(__xludf.DUMMYFUNCTION("""COMPUTED_VALUE"""),527.0)</f>
        <v>527</v>
      </c>
      <c r="B144" s="38" t="str">
        <f>IFERROR(__xludf.DUMMYFUNCTION("""COMPUTED_VALUE"""),"Tenneville")</f>
        <v>Tenneville</v>
      </c>
      <c r="C144" s="38" t="str">
        <f>IFERROR(__xludf.DUMMYFUNCTION("""COMPUTED_VALUE"""),"Moriville")</f>
        <v>Moriville</v>
      </c>
      <c r="D144" s="38" t="str">
        <f>IFERROR(__xludf.DUMMYFUNCTION("""COMPUTED_VALUE"""),"N4 entre Barrière Hinck et Tenneville")</f>
        <v>N4 entre Barrière Hinck et Tenneville</v>
      </c>
      <c r="E144" s="38" t="str">
        <f>IFERROR(__xludf.DUMMYFUNCTION("""COMPUTED_VALUE"""),"Tenneville")</f>
        <v>Tenneville</v>
      </c>
      <c r="F144" s="38" t="str">
        <f>IFERROR(__xludf.DUMMYFUNCTION("""COMPUTED_VALUE"""),"Barrière Hinck")</f>
        <v>Barrière Hinck</v>
      </c>
      <c r="G144" s="38" t="str">
        <f>IFERROR(__xludf.DUMMYFUNCTION("""COMPUTED_VALUE"""),"Luxembourg")</f>
        <v>Luxembourg</v>
      </c>
      <c r="H144" s="38" t="str">
        <f>IFERROR(__xludf.DUMMYFUNCTION("""COMPUTED_VALUE"""),"50.064811, 5.539296")</f>
        <v>50.064811, 5.539296</v>
      </c>
      <c r="I144" s="108" t="str">
        <f>IFERROR(__xludf.DUMMYFUNCTION("""COMPUTED_VALUE"""),"https://remorquepublicitaire.be/remorque/527")</f>
        <v>https://remorquepublicitaire.be/remorque/527</v>
      </c>
      <c r="J144" s="38"/>
      <c r="K144" s="38"/>
      <c r="L144" s="38"/>
      <c r="M144" s="38"/>
    </row>
    <row r="145">
      <c r="A145" s="34">
        <f>IFERROR(__xludf.DUMMYFUNCTION("""COMPUTED_VALUE"""),530.0)</f>
        <v>530</v>
      </c>
      <c r="B145" s="38" t="str">
        <f>IFERROR(__xludf.DUMMYFUNCTION("""COMPUTED_VALUE"""),"Arlon")</f>
        <v>Arlon</v>
      </c>
      <c r="C145" s="38" t="str">
        <f>IFERROR(__xludf.DUMMYFUNCTION("""COMPUTED_VALUE"""),"Wolberg")</f>
        <v>Wolberg</v>
      </c>
      <c r="D145" s="38" t="str">
        <f>IFERROR(__xludf.DUMMYFUNCTION("""COMPUTED_VALUE"""),"N4 Arlon - Stienfort")</f>
        <v>N4 Arlon - Stienfort</v>
      </c>
      <c r="E145" s="38" t="str">
        <f>IFERROR(__xludf.DUMMYFUNCTION("""COMPUTED_VALUE"""),"Arlon")</f>
        <v>Arlon</v>
      </c>
      <c r="F145" s="38" t="str">
        <f>IFERROR(__xludf.DUMMYFUNCTION("""COMPUTED_VALUE"""),"Stienfort")</f>
        <v>Stienfort</v>
      </c>
      <c r="G145" s="38" t="str">
        <f>IFERROR(__xludf.DUMMYFUNCTION("""COMPUTED_VALUE"""),"Luxembourg")</f>
        <v>Luxembourg</v>
      </c>
      <c r="H145" s="38" t="str">
        <f>IFERROR(__xludf.DUMMYFUNCTION("""COMPUTED_VALUE"""),"49.658113, 5.863581")</f>
        <v>49.658113, 5.863581</v>
      </c>
      <c r="I145" s="108" t="str">
        <f>IFERROR(__xludf.DUMMYFUNCTION("""COMPUTED_VALUE"""),"https://remorquepublicitaire.be/remorque/530")</f>
        <v>https://remorquepublicitaire.be/remorque/530</v>
      </c>
      <c r="J145" s="38"/>
      <c r="K145" s="38"/>
      <c r="L145" s="38"/>
      <c r="M145" s="38"/>
    </row>
    <row r="146">
      <c r="A146" s="34" t="str">
        <f>IFERROR(__xludf.DUMMYFUNCTION("""COMPUTED_VALUE"""),"P2")</f>
        <v>P2</v>
      </c>
      <c r="B146" s="38" t="str">
        <f>IFERROR(__xludf.DUMMYFUNCTION("""COMPUTED_VALUE"""),"Charleroi")</f>
        <v>Charleroi</v>
      </c>
      <c r="C146" s="38" t="str">
        <f>IFERROR(__xludf.DUMMYFUNCTION("""COMPUTED_VALUE"""),"Bultia")</f>
        <v>Bultia</v>
      </c>
      <c r="D146" s="38" t="str">
        <f>IFERROR(__xludf.DUMMYFUNCTION("""COMPUTED_VALUE"""),"N5")</f>
        <v>N5</v>
      </c>
      <c r="E146" s="38" t="str">
        <f>IFERROR(__xludf.DUMMYFUNCTION("""COMPUTED_VALUE"""),"Charleroi")</f>
        <v>Charleroi</v>
      </c>
      <c r="F146" s="38" t="str">
        <f>IFERROR(__xludf.DUMMYFUNCTION("""COMPUTED_VALUE"""),"Philippeville")</f>
        <v>Philippeville</v>
      </c>
      <c r="G146" s="38" t="str">
        <f>IFERROR(__xludf.DUMMYFUNCTION("""COMPUTED_VALUE"""),"Hainaut")</f>
        <v>Hainaut</v>
      </c>
      <c r="H146" s="38" t="str">
        <f>IFERROR(__xludf.DUMMYFUNCTION("""COMPUTED_VALUE"""),"50.362877, 4.469691")</f>
        <v>50.362877, 4.469691</v>
      </c>
      <c r="I146" s="38"/>
      <c r="J146" s="38"/>
      <c r="K146" s="38"/>
      <c r="L146" s="38"/>
      <c r="M146" s="38"/>
    </row>
    <row r="147">
      <c r="A147" s="34">
        <f>IFERROR(__xludf.DUMMYFUNCTION("""COMPUTED_VALUE"""),231.0)</f>
        <v>231</v>
      </c>
      <c r="B147" s="38" t="str">
        <f>IFERROR(__xludf.DUMMYFUNCTION("""COMPUTED_VALUE"""),"Aywaille")</f>
        <v>Aywaille</v>
      </c>
      <c r="C147" s="38" t="str">
        <f>IFERROR(__xludf.DUMMYFUNCTION("""COMPUTED_VALUE"""),"Houssonloge")</f>
        <v>Houssonloge</v>
      </c>
      <c r="D147" s="38" t="str">
        <f>IFERROR(__xludf.DUMMYFUNCTION("""COMPUTED_VALUE"""),"N30b - E25 Sortie 47")</f>
        <v>N30b - E25 Sortie 47</v>
      </c>
      <c r="E147" s="38" t="str">
        <f>IFERROR(__xludf.DUMMYFUNCTION("""COMPUTED_VALUE"""),"Aywaille")</f>
        <v>Aywaille</v>
      </c>
      <c r="F147" s="38" t="str">
        <f>IFERROR(__xludf.DUMMYFUNCTION("""COMPUTED_VALUE"""),"Stoumont")</f>
        <v>Stoumont</v>
      </c>
      <c r="G147" s="38" t="str">
        <f>IFERROR(__xludf.DUMMYFUNCTION("""COMPUTED_VALUE"""),"Liège")</f>
        <v>Liège</v>
      </c>
      <c r="H147" s="38" t="str">
        <f>IFERROR(__xludf.DUMMYFUNCTION("""COMPUTED_VALUE"""),"50.427065, 5.693695")</f>
        <v>50.427065, 5.693695</v>
      </c>
      <c r="I147" s="108" t="str">
        <f>IFERROR(__xludf.DUMMYFUNCTION("""COMPUTED_VALUE"""),"https://remorquepublicitaire.be/remorque/231")</f>
        <v>https://remorquepublicitaire.be/remorque/231</v>
      </c>
      <c r="J147" s="38"/>
      <c r="K147" s="38"/>
      <c r="L147" s="38"/>
      <c r="M147" s="38"/>
    </row>
    <row r="148">
      <c r="A148" s="34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</row>
    <row r="149">
      <c r="A149" s="34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</row>
    <row r="150">
      <c r="A150" s="34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</row>
    <row r="151">
      <c r="A151" s="34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</row>
    <row r="152">
      <c r="A152" s="34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</row>
    <row r="153">
      <c r="A153" s="34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</row>
    <row r="154">
      <c r="A154" s="34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</row>
    <row r="155">
      <c r="A155" s="34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</row>
    <row r="156">
      <c r="A156" s="34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</row>
    <row r="157">
      <c r="A157" s="34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</row>
    <row r="158">
      <c r="A158" s="34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</row>
    <row r="159">
      <c r="A159" s="34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</row>
    <row r="160">
      <c r="A160" s="34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</row>
    <row r="161">
      <c r="A161" s="34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</row>
    <row r="162">
      <c r="A162" s="34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>
      <c r="A163" s="34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</row>
    <row r="164">
      <c r="A164" s="34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</row>
    <row r="165">
      <c r="A165" s="34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</row>
    <row r="166">
      <c r="A166" s="34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</row>
    <row r="167">
      <c r="A167" s="34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</row>
    <row r="168">
      <c r="A168" s="34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</row>
    <row r="169">
      <c r="A169" s="34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</row>
    <row r="170">
      <c r="A170" s="34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</row>
    <row r="171">
      <c r="A171" s="158"/>
    </row>
    <row r="172">
      <c r="A172" s="158"/>
    </row>
    <row r="173">
      <c r="A173" s="158"/>
    </row>
    <row r="174">
      <c r="A174" s="158"/>
    </row>
    <row r="175">
      <c r="A175" s="158"/>
    </row>
    <row r="176">
      <c r="A176" s="158"/>
    </row>
    <row r="177">
      <c r="A177" s="158"/>
    </row>
    <row r="178">
      <c r="A178" s="158"/>
    </row>
    <row r="179">
      <c r="A179" s="158"/>
    </row>
    <row r="180">
      <c r="A180" s="158"/>
    </row>
    <row r="181">
      <c r="A181" s="158"/>
    </row>
    <row r="182">
      <c r="A182" s="158"/>
    </row>
    <row r="183">
      <c r="A183" s="158"/>
    </row>
    <row r="184">
      <c r="A184" s="158"/>
    </row>
    <row r="185">
      <c r="A185" s="158"/>
    </row>
    <row r="186">
      <c r="A186" s="158"/>
    </row>
    <row r="187">
      <c r="A187" s="158"/>
    </row>
    <row r="188">
      <c r="A188" s="158"/>
    </row>
    <row r="189">
      <c r="A189" s="158"/>
    </row>
    <row r="190">
      <c r="A190" s="158"/>
    </row>
    <row r="191">
      <c r="A191" s="158"/>
    </row>
    <row r="192">
      <c r="A192" s="158"/>
    </row>
    <row r="193">
      <c r="A193" s="158"/>
    </row>
    <row r="194">
      <c r="A194" s="158"/>
    </row>
    <row r="195">
      <c r="A195" s="158"/>
    </row>
    <row r="196">
      <c r="A196" s="158"/>
    </row>
    <row r="197">
      <c r="A197" s="158"/>
    </row>
    <row r="198">
      <c r="A198" s="158"/>
    </row>
    <row r="199">
      <c r="A199" s="158"/>
    </row>
    <row r="200">
      <c r="A200" s="158"/>
    </row>
    <row r="201">
      <c r="A201" s="158"/>
    </row>
    <row r="202">
      <c r="A202" s="158"/>
    </row>
    <row r="203">
      <c r="A203" s="158"/>
    </row>
    <row r="204">
      <c r="A204" s="158"/>
    </row>
    <row r="205">
      <c r="A205" s="158"/>
    </row>
    <row r="206">
      <c r="A206" s="158"/>
    </row>
    <row r="207">
      <c r="A207" s="158"/>
    </row>
    <row r="208">
      <c r="A208" s="158"/>
    </row>
    <row r="209">
      <c r="A209" s="158"/>
    </row>
    <row r="210">
      <c r="A210" s="158"/>
    </row>
    <row r="211">
      <c r="A211" s="158"/>
    </row>
    <row r="212">
      <c r="A212" s="158"/>
    </row>
    <row r="213">
      <c r="A213" s="158"/>
    </row>
    <row r="214">
      <c r="A214" s="158"/>
    </row>
    <row r="215">
      <c r="A215" s="158"/>
    </row>
    <row r="216">
      <c r="A216" s="158"/>
    </row>
    <row r="217">
      <c r="A217" s="158"/>
    </row>
    <row r="218">
      <c r="A218" s="158"/>
    </row>
    <row r="219">
      <c r="A219" s="158"/>
    </row>
    <row r="220">
      <c r="A220" s="158"/>
    </row>
    <row r="221">
      <c r="A221" s="158"/>
    </row>
    <row r="222">
      <c r="A222" s="158"/>
    </row>
    <row r="223">
      <c r="A223" s="158"/>
    </row>
    <row r="224">
      <c r="A224" s="158"/>
    </row>
    <row r="225">
      <c r="A225" s="158"/>
    </row>
    <row r="226">
      <c r="A226" s="158"/>
    </row>
    <row r="227">
      <c r="A227" s="158"/>
    </row>
    <row r="228">
      <c r="A228" s="158"/>
    </row>
    <row r="229">
      <c r="A229" s="158"/>
    </row>
    <row r="230">
      <c r="A230" s="158"/>
    </row>
    <row r="231">
      <c r="A231" s="158"/>
    </row>
    <row r="232">
      <c r="A232" s="158"/>
    </row>
    <row r="233">
      <c r="A233" s="158"/>
    </row>
    <row r="234">
      <c r="A234" s="158"/>
    </row>
    <row r="235">
      <c r="A235" s="158"/>
    </row>
    <row r="236">
      <c r="A236" s="158"/>
    </row>
    <row r="237">
      <c r="A237" s="158"/>
    </row>
    <row r="238">
      <c r="A238" s="158"/>
    </row>
    <row r="239">
      <c r="A239" s="158"/>
    </row>
    <row r="240">
      <c r="A240" s="158"/>
    </row>
    <row r="241">
      <c r="A241" s="158"/>
    </row>
    <row r="242">
      <c r="A242" s="158"/>
    </row>
    <row r="243">
      <c r="A243" s="158"/>
    </row>
    <row r="244">
      <c r="A244" s="158"/>
    </row>
    <row r="245">
      <c r="A245" s="158"/>
    </row>
    <row r="246">
      <c r="A246" s="158"/>
    </row>
    <row r="247">
      <c r="A247" s="158"/>
    </row>
    <row r="248">
      <c r="A248" s="158"/>
    </row>
    <row r="249">
      <c r="A249" s="158"/>
    </row>
    <row r="250">
      <c r="A250" s="158"/>
    </row>
    <row r="251">
      <c r="A251" s="158"/>
    </row>
    <row r="252">
      <c r="A252" s="158"/>
    </row>
    <row r="253">
      <c r="A253" s="158"/>
    </row>
    <row r="254">
      <c r="A254" s="158"/>
    </row>
    <row r="255">
      <c r="A255" s="158"/>
    </row>
    <row r="256">
      <c r="A256" s="158"/>
    </row>
    <row r="257">
      <c r="A257" s="158"/>
    </row>
    <row r="258">
      <c r="A258" s="158"/>
    </row>
    <row r="259">
      <c r="A259" s="158"/>
    </row>
    <row r="260">
      <c r="A260" s="158"/>
    </row>
    <row r="261">
      <c r="A261" s="158"/>
    </row>
    <row r="262">
      <c r="A262" s="158"/>
    </row>
    <row r="263">
      <c r="A263" s="158"/>
    </row>
    <row r="264">
      <c r="A264" s="158"/>
    </row>
    <row r="265">
      <c r="A265" s="158"/>
    </row>
    <row r="266">
      <c r="A266" s="158"/>
    </row>
    <row r="267">
      <c r="A267" s="158"/>
    </row>
    <row r="268">
      <c r="A268" s="158"/>
    </row>
    <row r="269">
      <c r="A269" s="158"/>
    </row>
    <row r="270">
      <c r="A270" s="158"/>
    </row>
    <row r="271">
      <c r="A271" s="158"/>
    </row>
    <row r="272">
      <c r="A272" s="158"/>
    </row>
    <row r="273">
      <c r="A273" s="158"/>
    </row>
    <row r="274">
      <c r="A274" s="158"/>
    </row>
    <row r="275">
      <c r="A275" s="158"/>
    </row>
    <row r="276">
      <c r="A276" s="158"/>
    </row>
    <row r="277">
      <c r="A277" s="158"/>
    </row>
    <row r="278">
      <c r="A278" s="158"/>
    </row>
    <row r="279">
      <c r="A279" s="158"/>
    </row>
    <row r="280">
      <c r="A280" s="158"/>
    </row>
    <row r="281">
      <c r="A281" s="158"/>
    </row>
    <row r="282">
      <c r="A282" s="158"/>
    </row>
    <row r="283">
      <c r="A283" s="158"/>
    </row>
    <row r="284">
      <c r="A284" s="158"/>
    </row>
    <row r="285">
      <c r="A285" s="158"/>
    </row>
    <row r="286">
      <c r="A286" s="158"/>
    </row>
    <row r="287">
      <c r="A287" s="158"/>
    </row>
    <row r="288">
      <c r="A288" s="158"/>
    </row>
    <row r="289">
      <c r="A289" s="158"/>
    </row>
    <row r="290">
      <c r="A290" s="158"/>
    </row>
    <row r="291">
      <c r="A291" s="158"/>
    </row>
    <row r="292">
      <c r="A292" s="158"/>
    </row>
    <row r="293">
      <c r="A293" s="158"/>
    </row>
    <row r="294">
      <c r="A294" s="158"/>
    </row>
    <row r="295">
      <c r="A295" s="158"/>
    </row>
    <row r="296">
      <c r="A296" s="158"/>
    </row>
    <row r="297">
      <c r="A297" s="158"/>
    </row>
    <row r="298">
      <c r="A298" s="158"/>
    </row>
    <row r="299">
      <c r="A299" s="158"/>
    </row>
    <row r="300">
      <c r="A300" s="158"/>
    </row>
    <row r="301">
      <c r="A301" s="158"/>
    </row>
    <row r="302">
      <c r="A302" s="158"/>
    </row>
    <row r="303">
      <c r="A303" s="158"/>
    </row>
    <row r="304">
      <c r="A304" s="158"/>
    </row>
    <row r="305">
      <c r="A305" s="158"/>
    </row>
    <row r="306">
      <c r="A306" s="158"/>
    </row>
    <row r="307">
      <c r="A307" s="158"/>
    </row>
    <row r="308">
      <c r="A308" s="158"/>
    </row>
    <row r="309">
      <c r="A309" s="158"/>
    </row>
    <row r="310">
      <c r="A310" s="158"/>
    </row>
    <row r="311">
      <c r="A311" s="158"/>
    </row>
    <row r="312">
      <c r="A312" s="158"/>
    </row>
    <row r="313">
      <c r="A313" s="158"/>
    </row>
    <row r="314">
      <c r="A314" s="158"/>
    </row>
    <row r="315">
      <c r="A315" s="158"/>
    </row>
    <row r="316">
      <c r="A316" s="158"/>
    </row>
    <row r="317">
      <c r="A317" s="158"/>
    </row>
    <row r="318">
      <c r="A318" s="158"/>
    </row>
    <row r="319">
      <c r="A319" s="158"/>
    </row>
    <row r="320">
      <c r="A320" s="158"/>
    </row>
    <row r="321">
      <c r="A321" s="158"/>
    </row>
    <row r="322">
      <c r="A322" s="158"/>
    </row>
    <row r="323">
      <c r="A323" s="158"/>
    </row>
    <row r="324">
      <c r="A324" s="158"/>
    </row>
    <row r="325">
      <c r="A325" s="158"/>
    </row>
    <row r="326">
      <c r="A326" s="158"/>
    </row>
    <row r="327">
      <c r="A327" s="158"/>
    </row>
    <row r="328">
      <c r="A328" s="158"/>
    </row>
    <row r="329">
      <c r="A329" s="158"/>
    </row>
    <row r="330">
      <c r="A330" s="158"/>
    </row>
    <row r="331">
      <c r="A331" s="158"/>
    </row>
    <row r="332">
      <c r="A332" s="158"/>
    </row>
    <row r="333">
      <c r="A333" s="158"/>
    </row>
    <row r="334">
      <c r="A334" s="158"/>
    </row>
    <row r="335">
      <c r="A335" s="158"/>
    </row>
    <row r="336">
      <c r="A336" s="158"/>
    </row>
    <row r="337">
      <c r="A337" s="158"/>
    </row>
    <row r="338">
      <c r="A338" s="158"/>
    </row>
    <row r="339">
      <c r="A339" s="158"/>
    </row>
    <row r="340">
      <c r="A340" s="158"/>
    </row>
    <row r="341">
      <c r="A341" s="158"/>
    </row>
    <row r="342">
      <c r="A342" s="158"/>
    </row>
    <row r="343">
      <c r="A343" s="158"/>
    </row>
    <row r="344">
      <c r="A344" s="158"/>
    </row>
    <row r="345">
      <c r="A345" s="158"/>
    </row>
    <row r="346">
      <c r="A346" s="158"/>
    </row>
    <row r="347">
      <c r="A347" s="158"/>
    </row>
    <row r="348">
      <c r="A348" s="158"/>
    </row>
    <row r="349">
      <c r="A349" s="158"/>
    </row>
    <row r="350">
      <c r="A350" s="158"/>
    </row>
    <row r="351">
      <c r="A351" s="158"/>
    </row>
    <row r="352">
      <c r="A352" s="158"/>
    </row>
    <row r="353">
      <c r="A353" s="158"/>
    </row>
    <row r="354">
      <c r="A354" s="158"/>
    </row>
    <row r="355">
      <c r="A355" s="158"/>
    </row>
    <row r="356">
      <c r="A356" s="158"/>
    </row>
    <row r="357">
      <c r="A357" s="158"/>
    </row>
    <row r="358">
      <c r="A358" s="158"/>
    </row>
    <row r="359">
      <c r="A359" s="158"/>
    </row>
    <row r="360">
      <c r="A360" s="158"/>
    </row>
    <row r="361">
      <c r="A361" s="158"/>
    </row>
    <row r="362">
      <c r="A362" s="158"/>
    </row>
    <row r="363">
      <c r="A363" s="158"/>
    </row>
    <row r="364">
      <c r="A364" s="158"/>
    </row>
    <row r="365">
      <c r="A365" s="158"/>
    </row>
    <row r="366">
      <c r="A366" s="158"/>
    </row>
    <row r="367">
      <c r="A367" s="158"/>
    </row>
    <row r="368">
      <c r="A368" s="158"/>
    </row>
    <row r="369">
      <c r="A369" s="158"/>
    </row>
    <row r="370">
      <c r="A370" s="158"/>
    </row>
    <row r="371">
      <c r="A371" s="158"/>
    </row>
    <row r="372">
      <c r="A372" s="158"/>
    </row>
    <row r="373">
      <c r="A373" s="158"/>
    </row>
    <row r="374">
      <c r="A374" s="158"/>
    </row>
    <row r="375">
      <c r="A375" s="158"/>
    </row>
    <row r="376">
      <c r="A376" s="158"/>
    </row>
    <row r="377">
      <c r="A377" s="158"/>
    </row>
    <row r="378">
      <c r="A378" s="158"/>
    </row>
    <row r="379">
      <c r="A379" s="158"/>
    </row>
    <row r="380">
      <c r="A380" s="158"/>
    </row>
    <row r="381">
      <c r="A381" s="158"/>
    </row>
    <row r="382">
      <c r="A382" s="158"/>
    </row>
    <row r="383">
      <c r="A383" s="158"/>
    </row>
    <row r="384">
      <c r="A384" s="158"/>
    </row>
    <row r="385">
      <c r="A385" s="158"/>
    </row>
    <row r="386">
      <c r="A386" s="158"/>
    </row>
    <row r="387">
      <c r="A387" s="158"/>
    </row>
    <row r="388">
      <c r="A388" s="158"/>
    </row>
    <row r="389">
      <c r="A389" s="158"/>
    </row>
    <row r="390">
      <c r="A390" s="158"/>
    </row>
    <row r="391">
      <c r="A391" s="158"/>
    </row>
    <row r="392">
      <c r="A392" s="158"/>
    </row>
    <row r="393">
      <c r="A393" s="158"/>
    </row>
    <row r="394">
      <c r="A394" s="158"/>
    </row>
    <row r="395">
      <c r="A395" s="158"/>
    </row>
    <row r="396">
      <c r="A396" s="158"/>
    </row>
    <row r="397">
      <c r="A397" s="158"/>
    </row>
    <row r="398">
      <c r="A398" s="158"/>
    </row>
    <row r="399">
      <c r="A399" s="158"/>
    </row>
    <row r="400">
      <c r="A400" s="158"/>
    </row>
    <row r="401">
      <c r="A401" s="158"/>
    </row>
    <row r="402">
      <c r="A402" s="158"/>
    </row>
    <row r="403">
      <c r="A403" s="158"/>
    </row>
    <row r="404">
      <c r="A404" s="158"/>
    </row>
    <row r="405">
      <c r="A405" s="158"/>
    </row>
    <row r="406">
      <c r="A406" s="158"/>
    </row>
    <row r="407">
      <c r="A407" s="158"/>
    </row>
    <row r="408">
      <c r="A408" s="158"/>
    </row>
    <row r="409">
      <c r="A409" s="158"/>
    </row>
    <row r="410">
      <c r="A410" s="158"/>
    </row>
    <row r="411">
      <c r="A411" s="158"/>
    </row>
    <row r="412">
      <c r="A412" s="158"/>
    </row>
    <row r="413">
      <c r="A413" s="158"/>
    </row>
    <row r="414">
      <c r="A414" s="158"/>
    </row>
    <row r="415">
      <c r="A415" s="158"/>
    </row>
    <row r="416">
      <c r="A416" s="158"/>
    </row>
    <row r="417">
      <c r="A417" s="158"/>
    </row>
    <row r="418">
      <c r="A418" s="158"/>
    </row>
    <row r="419">
      <c r="A419" s="158"/>
    </row>
    <row r="420">
      <c r="A420" s="158"/>
    </row>
    <row r="421">
      <c r="A421" s="158"/>
    </row>
    <row r="422">
      <c r="A422" s="158"/>
    </row>
    <row r="423">
      <c r="A423" s="158"/>
    </row>
    <row r="424">
      <c r="A424" s="158"/>
    </row>
    <row r="425">
      <c r="A425" s="158"/>
    </row>
    <row r="426">
      <c r="A426" s="158"/>
    </row>
    <row r="427">
      <c r="A427" s="158"/>
    </row>
    <row r="428">
      <c r="A428" s="158"/>
    </row>
    <row r="429">
      <c r="A429" s="158"/>
    </row>
    <row r="430">
      <c r="A430" s="158"/>
    </row>
    <row r="431">
      <c r="A431" s="158"/>
    </row>
    <row r="432">
      <c r="A432" s="158"/>
    </row>
    <row r="433">
      <c r="A433" s="158"/>
    </row>
    <row r="434">
      <c r="A434" s="158"/>
    </row>
    <row r="435">
      <c r="A435" s="158"/>
    </row>
    <row r="436">
      <c r="A436" s="158"/>
    </row>
    <row r="437">
      <c r="A437" s="158"/>
    </row>
    <row r="438">
      <c r="A438" s="158"/>
    </row>
    <row r="439">
      <c r="A439" s="158"/>
    </row>
    <row r="440">
      <c r="A440" s="158"/>
    </row>
    <row r="441">
      <c r="A441" s="158"/>
    </row>
    <row r="442">
      <c r="A442" s="158"/>
    </row>
    <row r="443">
      <c r="A443" s="158"/>
    </row>
    <row r="444">
      <c r="A444" s="158"/>
    </row>
    <row r="445">
      <c r="A445" s="158"/>
    </row>
    <row r="446">
      <c r="A446" s="158"/>
    </row>
    <row r="447">
      <c r="A447" s="158"/>
    </row>
    <row r="448">
      <c r="A448" s="158"/>
    </row>
    <row r="449">
      <c r="A449" s="158"/>
    </row>
    <row r="450">
      <c r="A450" s="158"/>
    </row>
    <row r="451">
      <c r="A451" s="158"/>
    </row>
    <row r="452">
      <c r="A452" s="158"/>
    </row>
    <row r="453">
      <c r="A453" s="158"/>
    </row>
    <row r="454">
      <c r="A454" s="158"/>
    </row>
    <row r="455">
      <c r="A455" s="158"/>
    </row>
    <row r="456">
      <c r="A456" s="158"/>
    </row>
    <row r="457">
      <c r="A457" s="158"/>
    </row>
    <row r="458">
      <c r="A458" s="158"/>
    </row>
    <row r="459">
      <c r="A459" s="158"/>
    </row>
    <row r="460">
      <c r="A460" s="158"/>
    </row>
    <row r="461">
      <c r="A461" s="158"/>
    </row>
    <row r="462">
      <c r="A462" s="158"/>
    </row>
    <row r="463">
      <c r="A463" s="158"/>
    </row>
    <row r="464">
      <c r="A464" s="158"/>
    </row>
    <row r="465">
      <c r="A465" s="158"/>
    </row>
    <row r="466">
      <c r="A466" s="158"/>
    </row>
    <row r="467">
      <c r="A467" s="158"/>
    </row>
    <row r="468">
      <c r="A468" s="158"/>
    </row>
    <row r="469">
      <c r="A469" s="158"/>
    </row>
    <row r="470">
      <c r="A470" s="158"/>
    </row>
    <row r="471">
      <c r="A471" s="158"/>
    </row>
    <row r="472">
      <c r="A472" s="158"/>
    </row>
    <row r="473">
      <c r="A473" s="158"/>
    </row>
    <row r="474">
      <c r="A474" s="158"/>
    </row>
    <row r="475">
      <c r="A475" s="158"/>
    </row>
    <row r="476">
      <c r="A476" s="158"/>
    </row>
    <row r="477">
      <c r="A477" s="158"/>
    </row>
    <row r="478">
      <c r="A478" s="158"/>
    </row>
    <row r="479">
      <c r="A479" s="158"/>
    </row>
    <row r="480">
      <c r="A480" s="158"/>
    </row>
    <row r="481">
      <c r="A481" s="158"/>
    </row>
    <row r="482">
      <c r="A482" s="158"/>
    </row>
    <row r="483">
      <c r="A483" s="158"/>
    </row>
    <row r="484">
      <c r="A484" s="158"/>
    </row>
    <row r="485">
      <c r="A485" s="158"/>
    </row>
    <row r="486">
      <c r="A486" s="158"/>
    </row>
    <row r="487">
      <c r="A487" s="158"/>
    </row>
    <row r="488">
      <c r="A488" s="158"/>
    </row>
    <row r="489">
      <c r="A489" s="158"/>
    </row>
    <row r="490">
      <c r="A490" s="158"/>
    </row>
    <row r="491">
      <c r="A491" s="158"/>
    </row>
    <row r="492">
      <c r="A492" s="158"/>
    </row>
    <row r="493">
      <c r="A493" s="158"/>
    </row>
    <row r="494">
      <c r="A494" s="158"/>
    </row>
    <row r="495">
      <c r="A495" s="158"/>
    </row>
    <row r="496">
      <c r="A496" s="158"/>
    </row>
    <row r="497">
      <c r="A497" s="158"/>
    </row>
    <row r="498">
      <c r="A498" s="158"/>
    </row>
    <row r="499">
      <c r="A499" s="158"/>
    </row>
    <row r="500">
      <c r="A500" s="158"/>
    </row>
    <row r="501">
      <c r="A501" s="158"/>
    </row>
    <row r="502">
      <c r="A502" s="158"/>
    </row>
    <row r="503">
      <c r="A503" s="158"/>
    </row>
    <row r="504">
      <c r="A504" s="158"/>
    </row>
    <row r="505">
      <c r="A505" s="158"/>
    </row>
    <row r="506">
      <c r="A506" s="158"/>
    </row>
    <row r="507">
      <c r="A507" s="158"/>
    </row>
    <row r="508">
      <c r="A508" s="158"/>
    </row>
    <row r="509">
      <c r="A509" s="158"/>
    </row>
    <row r="510">
      <c r="A510" s="158"/>
    </row>
    <row r="511">
      <c r="A511" s="158"/>
    </row>
    <row r="512">
      <c r="A512" s="158"/>
    </row>
    <row r="513">
      <c r="A513" s="158"/>
    </row>
    <row r="514">
      <c r="A514" s="158"/>
    </row>
    <row r="515">
      <c r="A515" s="158"/>
    </row>
    <row r="516">
      <c r="A516" s="158"/>
    </row>
    <row r="517">
      <c r="A517" s="158"/>
    </row>
    <row r="518">
      <c r="A518" s="158"/>
    </row>
    <row r="519">
      <c r="A519" s="158"/>
    </row>
    <row r="520">
      <c r="A520" s="158"/>
    </row>
    <row r="521">
      <c r="A521" s="158"/>
    </row>
    <row r="522">
      <c r="A522" s="158"/>
    </row>
    <row r="523">
      <c r="A523" s="158"/>
    </row>
    <row r="524">
      <c r="A524" s="158"/>
    </row>
    <row r="525">
      <c r="A525" s="158"/>
    </row>
    <row r="526">
      <c r="A526" s="158"/>
    </row>
    <row r="527">
      <c r="A527" s="158"/>
    </row>
    <row r="528">
      <c r="A528" s="158"/>
    </row>
    <row r="529">
      <c r="A529" s="158"/>
    </row>
    <row r="530">
      <c r="A530" s="158"/>
    </row>
    <row r="531">
      <c r="A531" s="158"/>
    </row>
    <row r="532">
      <c r="A532" s="158"/>
    </row>
    <row r="533">
      <c r="A533" s="158"/>
    </row>
    <row r="534">
      <c r="A534" s="158"/>
    </row>
    <row r="535">
      <c r="A535" s="158"/>
    </row>
    <row r="536">
      <c r="A536" s="158"/>
    </row>
    <row r="537">
      <c r="A537" s="158"/>
    </row>
    <row r="538">
      <c r="A538" s="158"/>
    </row>
    <row r="539">
      <c r="A539" s="158"/>
    </row>
    <row r="540">
      <c r="A540" s="158"/>
    </row>
    <row r="541">
      <c r="A541" s="158"/>
    </row>
    <row r="542">
      <c r="A542" s="158"/>
    </row>
    <row r="543">
      <c r="A543" s="158"/>
    </row>
    <row r="544">
      <c r="A544" s="158"/>
    </row>
    <row r="545">
      <c r="A545" s="158"/>
    </row>
    <row r="546">
      <c r="A546" s="158"/>
    </row>
    <row r="547">
      <c r="A547" s="158"/>
    </row>
    <row r="548">
      <c r="A548" s="158"/>
    </row>
    <row r="549">
      <c r="A549" s="158"/>
    </row>
    <row r="550">
      <c r="A550" s="158"/>
    </row>
    <row r="551">
      <c r="A551" s="158"/>
    </row>
    <row r="552">
      <c r="A552" s="158"/>
    </row>
    <row r="553">
      <c r="A553" s="158"/>
    </row>
    <row r="554">
      <c r="A554" s="158"/>
    </row>
    <row r="555">
      <c r="A555" s="158"/>
    </row>
    <row r="556">
      <c r="A556" s="158"/>
    </row>
    <row r="557">
      <c r="A557" s="158"/>
    </row>
    <row r="558">
      <c r="A558" s="158"/>
    </row>
    <row r="559">
      <c r="A559" s="158"/>
    </row>
    <row r="560">
      <c r="A560" s="158"/>
    </row>
    <row r="561">
      <c r="A561" s="158"/>
    </row>
    <row r="562">
      <c r="A562" s="158"/>
    </row>
    <row r="563">
      <c r="A563" s="158"/>
    </row>
    <row r="564">
      <c r="A564" s="158"/>
    </row>
    <row r="565">
      <c r="A565" s="158"/>
    </row>
    <row r="566">
      <c r="A566" s="158"/>
    </row>
    <row r="567">
      <c r="A567" s="158"/>
    </row>
    <row r="568">
      <c r="A568" s="158"/>
    </row>
    <row r="569">
      <c r="A569" s="158"/>
    </row>
    <row r="570">
      <c r="A570" s="158"/>
    </row>
    <row r="571">
      <c r="A571" s="158"/>
    </row>
    <row r="572">
      <c r="A572" s="158"/>
    </row>
    <row r="573">
      <c r="A573" s="158"/>
    </row>
    <row r="574">
      <c r="A574" s="158"/>
    </row>
    <row r="575">
      <c r="A575" s="158"/>
    </row>
    <row r="576">
      <c r="A576" s="158"/>
    </row>
    <row r="577">
      <c r="A577" s="158"/>
    </row>
    <row r="578">
      <c r="A578" s="158"/>
    </row>
    <row r="579">
      <c r="A579" s="158"/>
    </row>
    <row r="580">
      <c r="A580" s="158"/>
    </row>
    <row r="581">
      <c r="A581" s="158"/>
    </row>
    <row r="582">
      <c r="A582" s="158"/>
    </row>
    <row r="583">
      <c r="A583" s="158"/>
    </row>
    <row r="584">
      <c r="A584" s="158"/>
    </row>
    <row r="585">
      <c r="A585" s="158"/>
    </row>
    <row r="586">
      <c r="A586" s="158"/>
    </row>
    <row r="587">
      <c r="A587" s="158"/>
    </row>
    <row r="588">
      <c r="A588" s="158"/>
    </row>
    <row r="589">
      <c r="A589" s="158"/>
    </row>
    <row r="590">
      <c r="A590" s="158"/>
    </row>
    <row r="591">
      <c r="A591" s="158"/>
    </row>
    <row r="592">
      <c r="A592" s="158"/>
    </row>
    <row r="593">
      <c r="A593" s="158"/>
    </row>
    <row r="594">
      <c r="A594" s="158"/>
    </row>
    <row r="595">
      <c r="A595" s="158"/>
    </row>
    <row r="596">
      <c r="A596" s="158"/>
    </row>
    <row r="597">
      <c r="A597" s="158"/>
    </row>
    <row r="598">
      <c r="A598" s="158"/>
    </row>
    <row r="599">
      <c r="A599" s="158"/>
    </row>
    <row r="600">
      <c r="A600" s="158"/>
    </row>
    <row r="601">
      <c r="A601" s="158"/>
    </row>
    <row r="602">
      <c r="A602" s="158"/>
    </row>
    <row r="603">
      <c r="A603" s="158"/>
    </row>
    <row r="604">
      <c r="A604" s="158"/>
    </row>
    <row r="605">
      <c r="A605" s="158"/>
    </row>
    <row r="606">
      <c r="A606" s="158"/>
    </row>
    <row r="607">
      <c r="A607" s="158"/>
    </row>
    <row r="608">
      <c r="A608" s="158"/>
    </row>
    <row r="609">
      <c r="A609" s="158"/>
    </row>
    <row r="610">
      <c r="A610" s="158"/>
    </row>
    <row r="611">
      <c r="A611" s="158"/>
    </row>
    <row r="612">
      <c r="A612" s="158"/>
    </row>
    <row r="613">
      <c r="A613" s="158"/>
    </row>
    <row r="614">
      <c r="A614" s="158"/>
    </row>
    <row r="615">
      <c r="A615" s="158"/>
    </row>
    <row r="616">
      <c r="A616" s="158"/>
    </row>
    <row r="617">
      <c r="A617" s="158"/>
    </row>
    <row r="618">
      <c r="A618" s="158"/>
    </row>
    <row r="619">
      <c r="A619" s="158"/>
    </row>
    <row r="620">
      <c r="A620" s="158"/>
    </row>
    <row r="621">
      <c r="A621" s="158"/>
    </row>
    <row r="622">
      <c r="A622" s="158"/>
    </row>
    <row r="623">
      <c r="A623" s="158"/>
    </row>
    <row r="624">
      <c r="A624" s="158"/>
    </row>
    <row r="625">
      <c r="A625" s="158"/>
    </row>
    <row r="626">
      <c r="A626" s="158"/>
    </row>
    <row r="627">
      <c r="A627" s="158"/>
    </row>
    <row r="628">
      <c r="A628" s="158"/>
    </row>
    <row r="629">
      <c r="A629" s="158"/>
    </row>
    <row r="630">
      <c r="A630" s="158"/>
    </row>
    <row r="631">
      <c r="A631" s="158"/>
    </row>
    <row r="632">
      <c r="A632" s="158"/>
    </row>
    <row r="633">
      <c r="A633" s="158"/>
    </row>
    <row r="634">
      <c r="A634" s="158"/>
    </row>
    <row r="635">
      <c r="A635" s="158"/>
    </row>
    <row r="636">
      <c r="A636" s="158"/>
    </row>
    <row r="637">
      <c r="A637" s="158"/>
    </row>
    <row r="638">
      <c r="A638" s="158"/>
    </row>
    <row r="639">
      <c r="A639" s="158"/>
    </row>
    <row r="640">
      <c r="A640" s="158"/>
    </row>
    <row r="641">
      <c r="A641" s="158"/>
    </row>
    <row r="642">
      <c r="A642" s="158"/>
    </row>
    <row r="643">
      <c r="A643" s="158"/>
    </row>
    <row r="644">
      <c r="A644" s="158"/>
    </row>
    <row r="645">
      <c r="A645" s="158"/>
    </row>
    <row r="646">
      <c r="A646" s="158"/>
    </row>
    <row r="647">
      <c r="A647" s="158"/>
    </row>
    <row r="648">
      <c r="A648" s="158"/>
    </row>
    <row r="649">
      <c r="A649" s="158"/>
    </row>
    <row r="650">
      <c r="A650" s="158"/>
    </row>
    <row r="651">
      <c r="A651" s="158"/>
    </row>
    <row r="652">
      <c r="A652" s="158"/>
    </row>
    <row r="653">
      <c r="A653" s="158"/>
    </row>
    <row r="654">
      <c r="A654" s="158"/>
    </row>
    <row r="655">
      <c r="A655" s="158"/>
    </row>
    <row r="656">
      <c r="A656" s="158"/>
    </row>
    <row r="657">
      <c r="A657" s="158"/>
    </row>
    <row r="658">
      <c r="A658" s="158"/>
    </row>
    <row r="659">
      <c r="A659" s="158"/>
    </row>
    <row r="660">
      <c r="A660" s="158"/>
    </row>
    <row r="661">
      <c r="A661" s="158"/>
    </row>
    <row r="662">
      <c r="A662" s="158"/>
    </row>
    <row r="663">
      <c r="A663" s="158"/>
    </row>
    <row r="664">
      <c r="A664" s="158"/>
    </row>
    <row r="665">
      <c r="A665" s="158"/>
    </row>
    <row r="666">
      <c r="A666" s="158"/>
    </row>
    <row r="667">
      <c r="A667" s="158"/>
    </row>
    <row r="668">
      <c r="A668" s="158"/>
    </row>
    <row r="669">
      <c r="A669" s="158"/>
    </row>
    <row r="670">
      <c r="A670" s="158"/>
    </row>
    <row r="671">
      <c r="A671" s="158"/>
    </row>
    <row r="672">
      <c r="A672" s="158"/>
    </row>
    <row r="673">
      <c r="A673" s="158"/>
    </row>
    <row r="674">
      <c r="A674" s="158"/>
    </row>
    <row r="675">
      <c r="A675" s="158"/>
    </row>
    <row r="676">
      <c r="A676" s="158"/>
    </row>
    <row r="677">
      <c r="A677" s="158"/>
    </row>
    <row r="678">
      <c r="A678" s="158"/>
    </row>
    <row r="679">
      <c r="A679" s="158"/>
    </row>
    <row r="680">
      <c r="A680" s="158"/>
    </row>
    <row r="681">
      <c r="A681" s="158"/>
    </row>
    <row r="682">
      <c r="A682" s="158"/>
    </row>
    <row r="683">
      <c r="A683" s="158"/>
    </row>
    <row r="684">
      <c r="A684" s="158"/>
    </row>
    <row r="685">
      <c r="A685" s="158"/>
    </row>
    <row r="686">
      <c r="A686" s="158"/>
    </row>
    <row r="687">
      <c r="A687" s="158"/>
    </row>
    <row r="688">
      <c r="A688" s="158"/>
    </row>
    <row r="689">
      <c r="A689" s="158"/>
    </row>
    <row r="690">
      <c r="A690" s="158"/>
    </row>
    <row r="691">
      <c r="A691" s="158"/>
    </row>
    <row r="692">
      <c r="A692" s="158"/>
    </row>
    <row r="693">
      <c r="A693" s="158"/>
    </row>
    <row r="694">
      <c r="A694" s="158"/>
    </row>
    <row r="695">
      <c r="A695" s="158"/>
    </row>
    <row r="696">
      <c r="A696" s="158"/>
    </row>
    <row r="697">
      <c r="A697" s="158"/>
    </row>
    <row r="698">
      <c r="A698" s="158"/>
    </row>
    <row r="699">
      <c r="A699" s="158"/>
    </row>
    <row r="700">
      <c r="A700" s="158"/>
    </row>
    <row r="701">
      <c r="A701" s="158"/>
    </row>
    <row r="702">
      <c r="A702" s="158"/>
    </row>
    <row r="703">
      <c r="A703" s="158"/>
    </row>
    <row r="704">
      <c r="A704" s="158"/>
    </row>
    <row r="705">
      <c r="A705" s="158"/>
    </row>
    <row r="706">
      <c r="A706" s="158"/>
    </row>
    <row r="707">
      <c r="A707" s="158"/>
    </row>
    <row r="708">
      <c r="A708" s="158"/>
    </row>
    <row r="709">
      <c r="A709" s="158"/>
    </row>
    <row r="710">
      <c r="A710" s="158"/>
    </row>
    <row r="711">
      <c r="A711" s="158"/>
    </row>
    <row r="712">
      <c r="A712" s="158"/>
    </row>
    <row r="713">
      <c r="A713" s="158"/>
    </row>
    <row r="714">
      <c r="A714" s="158"/>
    </row>
    <row r="715">
      <c r="A715" s="158"/>
    </row>
    <row r="716">
      <c r="A716" s="158"/>
    </row>
    <row r="717">
      <c r="A717" s="158"/>
    </row>
    <row r="718">
      <c r="A718" s="158"/>
    </row>
    <row r="719">
      <c r="A719" s="158"/>
    </row>
    <row r="720">
      <c r="A720" s="158"/>
    </row>
    <row r="721">
      <c r="A721" s="158"/>
    </row>
    <row r="722">
      <c r="A722" s="158"/>
    </row>
    <row r="723">
      <c r="A723" s="158"/>
    </row>
    <row r="724">
      <c r="A724" s="158"/>
    </row>
    <row r="725">
      <c r="A725" s="158"/>
    </row>
    <row r="726">
      <c r="A726" s="158"/>
    </row>
    <row r="727">
      <c r="A727" s="158"/>
    </row>
    <row r="728">
      <c r="A728" s="158"/>
    </row>
    <row r="729">
      <c r="A729" s="158"/>
    </row>
    <row r="730">
      <c r="A730" s="158"/>
    </row>
    <row r="731">
      <c r="A731" s="158"/>
    </row>
    <row r="732">
      <c r="A732" s="158"/>
    </row>
    <row r="733">
      <c r="A733" s="158"/>
    </row>
    <row r="734">
      <c r="A734" s="158"/>
    </row>
    <row r="735">
      <c r="A735" s="158"/>
    </row>
    <row r="736">
      <c r="A736" s="158"/>
    </row>
    <row r="737">
      <c r="A737" s="158"/>
    </row>
    <row r="738">
      <c r="A738" s="158"/>
    </row>
    <row r="739">
      <c r="A739" s="158"/>
    </row>
    <row r="740">
      <c r="A740" s="158"/>
    </row>
    <row r="741">
      <c r="A741" s="158"/>
    </row>
    <row r="742">
      <c r="A742" s="158"/>
    </row>
    <row r="743">
      <c r="A743" s="158"/>
    </row>
    <row r="744">
      <c r="A744" s="158"/>
    </row>
    <row r="745">
      <c r="A745" s="158"/>
    </row>
    <row r="746">
      <c r="A746" s="158"/>
    </row>
    <row r="747">
      <c r="A747" s="158"/>
    </row>
    <row r="748">
      <c r="A748" s="158"/>
    </row>
    <row r="749">
      <c r="A749" s="158"/>
    </row>
    <row r="750">
      <c r="A750" s="158"/>
    </row>
    <row r="751">
      <c r="A751" s="158"/>
    </row>
    <row r="752">
      <c r="A752" s="158"/>
    </row>
    <row r="753">
      <c r="A753" s="158"/>
    </row>
    <row r="754">
      <c r="A754" s="158"/>
    </row>
    <row r="755">
      <c r="A755" s="158"/>
    </row>
    <row r="756">
      <c r="A756" s="158"/>
    </row>
    <row r="757">
      <c r="A757" s="158"/>
    </row>
    <row r="758">
      <c r="A758" s="158"/>
    </row>
    <row r="759">
      <c r="A759" s="158"/>
    </row>
    <row r="760">
      <c r="A760" s="158"/>
    </row>
    <row r="761">
      <c r="A761" s="158"/>
    </row>
    <row r="762">
      <c r="A762" s="158"/>
    </row>
    <row r="763">
      <c r="A763" s="158"/>
    </row>
    <row r="764">
      <c r="A764" s="158"/>
    </row>
    <row r="765">
      <c r="A765" s="158"/>
    </row>
    <row r="766">
      <c r="A766" s="158"/>
    </row>
    <row r="767">
      <c r="A767" s="158"/>
    </row>
    <row r="768">
      <c r="A768" s="158"/>
    </row>
    <row r="769">
      <c r="A769" s="158"/>
    </row>
    <row r="770">
      <c r="A770" s="158"/>
    </row>
    <row r="771">
      <c r="A771" s="158"/>
    </row>
    <row r="772">
      <c r="A772" s="158"/>
    </row>
    <row r="773">
      <c r="A773" s="158"/>
    </row>
    <row r="774">
      <c r="A774" s="158"/>
    </row>
    <row r="775">
      <c r="A775" s="158"/>
    </row>
    <row r="776">
      <c r="A776" s="158"/>
    </row>
    <row r="777">
      <c r="A777" s="158"/>
    </row>
    <row r="778">
      <c r="A778" s="158"/>
    </row>
    <row r="779">
      <c r="A779" s="158"/>
    </row>
    <row r="780">
      <c r="A780" s="158"/>
    </row>
    <row r="781">
      <c r="A781" s="158"/>
    </row>
    <row r="782">
      <c r="A782" s="158"/>
    </row>
    <row r="783">
      <c r="A783" s="158"/>
    </row>
    <row r="784">
      <c r="A784" s="158"/>
    </row>
    <row r="785">
      <c r="A785" s="158"/>
    </row>
    <row r="786">
      <c r="A786" s="158"/>
    </row>
    <row r="787">
      <c r="A787" s="158"/>
    </row>
    <row r="788">
      <c r="A788" s="158"/>
    </row>
    <row r="789">
      <c r="A789" s="158"/>
    </row>
    <row r="790">
      <c r="A790" s="158"/>
    </row>
    <row r="791">
      <c r="A791" s="158"/>
    </row>
    <row r="792">
      <c r="A792" s="158"/>
    </row>
    <row r="793">
      <c r="A793" s="158"/>
    </row>
    <row r="794">
      <c r="A794" s="158"/>
    </row>
    <row r="795">
      <c r="A795" s="158"/>
    </row>
    <row r="796">
      <c r="A796" s="158"/>
    </row>
    <row r="797">
      <c r="A797" s="158"/>
    </row>
    <row r="798">
      <c r="A798" s="158"/>
    </row>
    <row r="799">
      <c r="A799" s="158"/>
    </row>
    <row r="800">
      <c r="A800" s="158"/>
    </row>
    <row r="801">
      <c r="A801" s="158"/>
    </row>
    <row r="802">
      <c r="A802" s="158"/>
    </row>
    <row r="803">
      <c r="A803" s="158"/>
    </row>
    <row r="804">
      <c r="A804" s="158"/>
    </row>
    <row r="805">
      <c r="A805" s="158"/>
    </row>
    <row r="806">
      <c r="A806" s="158"/>
    </row>
    <row r="807">
      <c r="A807" s="158"/>
    </row>
    <row r="808">
      <c r="A808" s="158"/>
    </row>
    <row r="809">
      <c r="A809" s="158"/>
    </row>
    <row r="810">
      <c r="A810" s="158"/>
    </row>
    <row r="811">
      <c r="A811" s="158"/>
    </row>
    <row r="812">
      <c r="A812" s="158"/>
    </row>
    <row r="813">
      <c r="A813" s="158"/>
    </row>
    <row r="814">
      <c r="A814" s="158"/>
    </row>
    <row r="815">
      <c r="A815" s="158"/>
    </row>
    <row r="816">
      <c r="A816" s="158"/>
    </row>
    <row r="817">
      <c r="A817" s="158"/>
    </row>
    <row r="818">
      <c r="A818" s="158"/>
    </row>
    <row r="819">
      <c r="A819" s="158"/>
    </row>
    <row r="820">
      <c r="A820" s="158"/>
    </row>
    <row r="821">
      <c r="A821" s="158"/>
    </row>
    <row r="822">
      <c r="A822" s="158"/>
    </row>
    <row r="823">
      <c r="A823" s="158"/>
    </row>
    <row r="824">
      <c r="A824" s="158"/>
    </row>
    <row r="825">
      <c r="A825" s="158"/>
    </row>
    <row r="826">
      <c r="A826" s="158"/>
    </row>
    <row r="827">
      <c r="A827" s="158"/>
    </row>
    <row r="828">
      <c r="A828" s="158"/>
    </row>
    <row r="829">
      <c r="A829" s="158"/>
    </row>
    <row r="830">
      <c r="A830" s="158"/>
    </row>
    <row r="831">
      <c r="A831" s="158"/>
    </row>
    <row r="832">
      <c r="A832" s="158"/>
    </row>
    <row r="833">
      <c r="A833" s="158"/>
    </row>
    <row r="834">
      <c r="A834" s="158"/>
    </row>
    <row r="835">
      <c r="A835" s="158"/>
    </row>
    <row r="836">
      <c r="A836" s="158"/>
    </row>
    <row r="837">
      <c r="A837" s="158"/>
    </row>
    <row r="838">
      <c r="A838" s="158"/>
    </row>
    <row r="839">
      <c r="A839" s="158"/>
    </row>
    <row r="840">
      <c r="A840" s="158"/>
    </row>
    <row r="841">
      <c r="A841" s="158"/>
    </row>
    <row r="842">
      <c r="A842" s="158"/>
    </row>
    <row r="843">
      <c r="A843" s="158"/>
    </row>
    <row r="844">
      <c r="A844" s="158"/>
    </row>
    <row r="845">
      <c r="A845" s="158"/>
    </row>
    <row r="846">
      <c r="A846" s="158"/>
    </row>
    <row r="847">
      <c r="A847" s="158"/>
    </row>
    <row r="848">
      <c r="A848" s="158"/>
    </row>
    <row r="849">
      <c r="A849" s="158"/>
    </row>
    <row r="850">
      <c r="A850" s="158"/>
    </row>
    <row r="851">
      <c r="A851" s="158"/>
    </row>
    <row r="852">
      <c r="A852" s="158"/>
    </row>
    <row r="853">
      <c r="A853" s="158"/>
    </row>
    <row r="854">
      <c r="A854" s="158"/>
    </row>
    <row r="855">
      <c r="A855" s="158"/>
    </row>
    <row r="856">
      <c r="A856" s="158"/>
    </row>
    <row r="857">
      <c r="A857" s="158"/>
    </row>
    <row r="858">
      <c r="A858" s="158"/>
    </row>
    <row r="859">
      <c r="A859" s="158"/>
    </row>
    <row r="860">
      <c r="A860" s="158"/>
    </row>
    <row r="861">
      <c r="A861" s="158"/>
    </row>
    <row r="862">
      <c r="A862" s="158"/>
    </row>
    <row r="863">
      <c r="A863" s="158"/>
    </row>
    <row r="864">
      <c r="A864" s="158"/>
    </row>
    <row r="865">
      <c r="A865" s="158"/>
    </row>
    <row r="866">
      <c r="A866" s="158"/>
    </row>
    <row r="867">
      <c r="A867" s="158"/>
    </row>
    <row r="868">
      <c r="A868" s="158"/>
    </row>
    <row r="869">
      <c r="A869" s="158"/>
    </row>
    <row r="870">
      <c r="A870" s="158"/>
    </row>
    <row r="871">
      <c r="A871" s="158"/>
    </row>
    <row r="872">
      <c r="A872" s="158"/>
    </row>
    <row r="873">
      <c r="A873" s="158"/>
    </row>
    <row r="874">
      <c r="A874" s="158"/>
    </row>
    <row r="875">
      <c r="A875" s="158"/>
    </row>
    <row r="876">
      <c r="A876" s="158"/>
    </row>
    <row r="877">
      <c r="A877" s="158"/>
    </row>
    <row r="878">
      <c r="A878" s="158"/>
    </row>
    <row r="879">
      <c r="A879" s="158"/>
    </row>
    <row r="880">
      <c r="A880" s="158"/>
    </row>
    <row r="881">
      <c r="A881" s="158"/>
    </row>
    <row r="882">
      <c r="A882" s="158"/>
    </row>
    <row r="883">
      <c r="A883" s="158"/>
    </row>
    <row r="884">
      <c r="A884" s="158"/>
    </row>
    <row r="885">
      <c r="A885" s="158"/>
    </row>
    <row r="886">
      <c r="A886" s="158"/>
    </row>
    <row r="887">
      <c r="A887" s="158"/>
    </row>
    <row r="888">
      <c r="A888" s="158"/>
    </row>
    <row r="889">
      <c r="A889" s="158"/>
    </row>
    <row r="890">
      <c r="A890" s="158"/>
    </row>
    <row r="891">
      <c r="A891" s="158"/>
    </row>
    <row r="892">
      <c r="A892" s="158"/>
    </row>
    <row r="893">
      <c r="A893" s="158"/>
    </row>
    <row r="894">
      <c r="A894" s="158"/>
    </row>
    <row r="895">
      <c r="A895" s="158"/>
    </row>
    <row r="896">
      <c r="A896" s="158"/>
    </row>
    <row r="897">
      <c r="A897" s="158"/>
    </row>
    <row r="898">
      <c r="A898" s="158"/>
    </row>
    <row r="899">
      <c r="A899" s="158"/>
    </row>
    <row r="900">
      <c r="A900" s="158"/>
    </row>
    <row r="901">
      <c r="A901" s="158"/>
    </row>
    <row r="902">
      <c r="A902" s="158"/>
    </row>
    <row r="903">
      <c r="A903" s="158"/>
    </row>
    <row r="904">
      <c r="A904" s="158"/>
    </row>
    <row r="905">
      <c r="A905" s="158"/>
    </row>
    <row r="906">
      <c r="A906" s="158"/>
    </row>
    <row r="907">
      <c r="A907" s="158"/>
    </row>
    <row r="908">
      <c r="A908" s="158"/>
    </row>
    <row r="909">
      <c r="A909" s="158"/>
    </row>
    <row r="910">
      <c r="A910" s="158"/>
    </row>
    <row r="911">
      <c r="A911" s="158"/>
    </row>
    <row r="912">
      <c r="A912" s="158"/>
    </row>
    <row r="913">
      <c r="A913" s="158"/>
    </row>
    <row r="914">
      <c r="A914" s="158"/>
    </row>
    <row r="915">
      <c r="A915" s="158"/>
    </row>
    <row r="916">
      <c r="A916" s="158"/>
    </row>
    <row r="917">
      <c r="A917" s="158"/>
    </row>
    <row r="918">
      <c r="A918" s="158"/>
    </row>
    <row r="919">
      <c r="A919" s="158"/>
    </row>
    <row r="920">
      <c r="A920" s="158"/>
    </row>
    <row r="921">
      <c r="A921" s="158"/>
    </row>
    <row r="922">
      <c r="A922" s="158"/>
    </row>
    <row r="923">
      <c r="A923" s="158"/>
    </row>
    <row r="924">
      <c r="A924" s="158"/>
    </row>
    <row r="925">
      <c r="A925" s="158"/>
    </row>
    <row r="926">
      <c r="A926" s="158"/>
    </row>
    <row r="927">
      <c r="A927" s="158"/>
    </row>
    <row r="928">
      <c r="A928" s="158"/>
    </row>
    <row r="929">
      <c r="A929" s="158"/>
    </row>
    <row r="930">
      <c r="A930" s="158"/>
    </row>
    <row r="931">
      <c r="A931" s="158"/>
    </row>
    <row r="932">
      <c r="A932" s="158"/>
    </row>
    <row r="933">
      <c r="A933" s="158"/>
    </row>
    <row r="934">
      <c r="A934" s="158"/>
    </row>
    <row r="935">
      <c r="A935" s="158"/>
    </row>
    <row r="936">
      <c r="A936" s="158"/>
    </row>
    <row r="937">
      <c r="A937" s="158"/>
    </row>
    <row r="938">
      <c r="A938" s="158"/>
    </row>
    <row r="939">
      <c r="A939" s="158"/>
    </row>
    <row r="940">
      <c r="A940" s="158"/>
    </row>
    <row r="941">
      <c r="A941" s="158"/>
    </row>
    <row r="942">
      <c r="A942" s="158"/>
    </row>
    <row r="943">
      <c r="A943" s="158"/>
    </row>
    <row r="944">
      <c r="A944" s="158"/>
    </row>
    <row r="945">
      <c r="A945" s="158"/>
    </row>
    <row r="946">
      <c r="A946" s="158"/>
    </row>
    <row r="947">
      <c r="A947" s="158"/>
    </row>
    <row r="948">
      <c r="A948" s="158"/>
    </row>
    <row r="949">
      <c r="A949" s="158"/>
    </row>
    <row r="950">
      <c r="A950" s="158"/>
    </row>
    <row r="951">
      <c r="A951" s="158"/>
    </row>
    <row r="952">
      <c r="A952" s="158"/>
    </row>
    <row r="953">
      <c r="A953" s="158"/>
    </row>
    <row r="954">
      <c r="A954" s="158"/>
    </row>
    <row r="955">
      <c r="A955" s="158"/>
    </row>
    <row r="956">
      <c r="A956" s="158"/>
    </row>
    <row r="957">
      <c r="A957" s="158"/>
    </row>
    <row r="958">
      <c r="A958" s="158"/>
    </row>
    <row r="959">
      <c r="A959" s="158"/>
    </row>
    <row r="960">
      <c r="A960" s="158"/>
    </row>
    <row r="961">
      <c r="A961" s="158"/>
    </row>
    <row r="962">
      <c r="A962" s="158"/>
    </row>
    <row r="963">
      <c r="A963" s="158"/>
    </row>
    <row r="964">
      <c r="A964" s="158"/>
    </row>
    <row r="965">
      <c r="A965" s="158"/>
    </row>
    <row r="966">
      <c r="A966" s="158"/>
    </row>
    <row r="967">
      <c r="A967" s="158"/>
    </row>
    <row r="968">
      <c r="A968" s="158"/>
    </row>
    <row r="969">
      <c r="A969" s="158"/>
    </row>
    <row r="970">
      <c r="A970" s="158"/>
    </row>
    <row r="971">
      <c r="A971" s="158"/>
    </row>
    <row r="972">
      <c r="A972" s="158"/>
    </row>
    <row r="973">
      <c r="A973" s="158"/>
    </row>
    <row r="974">
      <c r="A974" s="158"/>
    </row>
    <row r="975">
      <c r="A975" s="158"/>
    </row>
    <row r="976">
      <c r="A976" s="158"/>
    </row>
    <row r="977">
      <c r="A977" s="158"/>
    </row>
    <row r="978">
      <c r="A978" s="158"/>
    </row>
    <row r="979">
      <c r="A979" s="158"/>
    </row>
    <row r="980">
      <c r="A980" s="158"/>
    </row>
    <row r="981">
      <c r="A981" s="158"/>
    </row>
    <row r="982">
      <c r="A982" s="158"/>
    </row>
    <row r="983">
      <c r="A983" s="158"/>
    </row>
    <row r="984">
      <c r="A984" s="158"/>
    </row>
    <row r="985">
      <c r="A985" s="158"/>
    </row>
    <row r="986">
      <c r="A986" s="158"/>
    </row>
    <row r="987">
      <c r="A987" s="158"/>
    </row>
    <row r="988">
      <c r="A988" s="158"/>
    </row>
    <row r="989">
      <c r="A989" s="158"/>
    </row>
    <row r="990">
      <c r="A990" s="158"/>
    </row>
    <row r="991">
      <c r="A991" s="158"/>
    </row>
    <row r="992">
      <c r="A992" s="158"/>
    </row>
    <row r="993">
      <c r="A993" s="158"/>
    </row>
    <row r="994">
      <c r="A994" s="158"/>
    </row>
    <row r="995">
      <c r="A995" s="158"/>
    </row>
    <row r="996">
      <c r="A996" s="158"/>
    </row>
    <row r="997">
      <c r="A997" s="158"/>
    </row>
    <row r="998">
      <c r="A998" s="158"/>
    </row>
    <row r="999">
      <c r="A999" s="158"/>
    </row>
    <row r="1000">
      <c r="A1000" s="158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8"/>
    <hyperlink r:id="rId106" ref="I109"/>
    <hyperlink r:id="rId107" ref="I110"/>
    <hyperlink r:id="rId108" ref="I111"/>
    <hyperlink r:id="rId109" ref="I112"/>
    <hyperlink r:id="rId110" ref="I113"/>
    <hyperlink r:id="rId111" ref="I114"/>
    <hyperlink r:id="rId112" ref="I115"/>
    <hyperlink r:id="rId113" ref="I116"/>
    <hyperlink r:id="rId114" ref="I117"/>
    <hyperlink r:id="rId115" ref="I118"/>
    <hyperlink r:id="rId116" ref="I120"/>
    <hyperlink r:id="rId117" ref="I121"/>
    <hyperlink r:id="rId118" ref="I122"/>
    <hyperlink r:id="rId119" ref="I123"/>
    <hyperlink r:id="rId120" ref="I124"/>
    <hyperlink r:id="rId121" ref="I125"/>
    <hyperlink r:id="rId122" ref="I126"/>
    <hyperlink r:id="rId123" ref="I127"/>
    <hyperlink r:id="rId124" ref="I128"/>
    <hyperlink r:id="rId125" ref="I129"/>
    <hyperlink r:id="rId126" ref="I130"/>
    <hyperlink r:id="rId127" ref="I131"/>
    <hyperlink r:id="rId128" ref="I132"/>
    <hyperlink r:id="rId129" ref="I133"/>
    <hyperlink r:id="rId130" ref="I134"/>
    <hyperlink r:id="rId131" ref="I135"/>
    <hyperlink r:id="rId132" ref="I136"/>
    <hyperlink r:id="rId133" ref="I137"/>
    <hyperlink r:id="rId134" ref="I138"/>
    <hyperlink r:id="rId135" ref="I139"/>
    <hyperlink r:id="rId136" ref="I140"/>
    <hyperlink r:id="rId137" ref="I141"/>
    <hyperlink r:id="rId138" ref="I142"/>
    <hyperlink r:id="rId139" ref="I144"/>
    <hyperlink r:id="rId140" ref="I145"/>
    <hyperlink r:id="rId141" ref="I147"/>
  </hyperlinks>
  <drawing r:id="rId1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64" t="str">
        <f>IFERROR(__xludf.DUMMYFUNCTION("importrange (""https://docs.google.com/spreadsheets/d/1oB26N_hjCeYSqD1sAqAypWRbu48Vq4K6zDan7yly6mY/edit#gid=492980554"", ""Clients!a2:a500"")"),"- Client non listé -")</f>
        <v>- Client non listé -</v>
      </c>
    </row>
    <row r="2">
      <c r="A2" s="38" t="str">
        <f>IFERROR(__xludf.DUMMYFUNCTION("""COMPUTED_VALUE"""),"24h de Spa ")</f>
        <v>24h de Spa </v>
      </c>
    </row>
    <row r="3">
      <c r="A3" s="38" t="str">
        <f>IFERROR(__xludf.DUMMYFUNCTION("""COMPUTED_VALUE"""),"6h Moto")</f>
        <v>6h Moto</v>
      </c>
    </row>
    <row r="4">
      <c r="A4" s="38" t="str">
        <f>IFERROR(__xludf.DUMMYFUNCTION("""COMPUTED_VALUE"""),"8h Moto")</f>
        <v>8h Moto</v>
      </c>
    </row>
    <row r="5">
      <c r="A5" s="38" t="str">
        <f>IFERROR(__xludf.DUMMYFUNCTION("""COMPUTED_VALUE"""),"Acces Habitat ")</f>
        <v>Acces Habitat </v>
      </c>
    </row>
    <row r="6">
      <c r="A6" s="38" t="str">
        <f>IFERROR(__xludf.DUMMYFUNCTION("""COMPUTED_VALUE"""),"AD Delhaize Chastre")</f>
        <v>AD Delhaize Chastre</v>
      </c>
    </row>
    <row r="7">
      <c r="A7" s="38" t="str">
        <f>IFERROR(__xludf.DUMMYFUNCTION("""COMPUTED_VALUE"""),"Ambihome")</f>
        <v>Ambihome</v>
      </c>
    </row>
    <row r="8">
      <c r="A8" s="38" t="str">
        <f>IFERROR(__xludf.DUMMYFUNCTION("""COMPUTED_VALUE"""),"Antoine Finances AXA")</f>
        <v>Antoine Finances AXA</v>
      </c>
    </row>
    <row r="9">
      <c r="A9" s="38" t="str">
        <f>IFERROR(__xludf.DUMMYFUNCTION("""COMPUTED_VALUE"""),"Ardenne Rally")</f>
        <v>Ardenne Rally</v>
      </c>
    </row>
    <row r="10">
      <c r="A10" s="38" t="str">
        <f>IFERROR(__xludf.DUMMYFUNCTION("""COMPUTED_VALUE"""),"ATB")</f>
        <v>ATB</v>
      </c>
    </row>
    <row r="11">
      <c r="A11" s="38" t="str">
        <f>IFERROR(__xludf.DUMMYFUNCTION("""COMPUTED_VALUE"""),"Athénée Gembloux ")</f>
        <v>Athénée Gembloux </v>
      </c>
    </row>
    <row r="12">
      <c r="A12" s="38" t="str">
        <f>IFERROR(__xludf.DUMMYFUNCTION("""COMPUTED_VALUE"""),"Au gre des saisons")</f>
        <v>Au gre des saisons</v>
      </c>
    </row>
    <row r="13">
      <c r="A13" s="38" t="str">
        <f>IFERROR(__xludf.DUMMYFUNCTION("""COMPUTED_VALUE"""),"Au Stock")</f>
        <v>Au Stock</v>
      </c>
    </row>
    <row r="14">
      <c r="A14" s="38" t="str">
        <f>IFERROR(__xludf.DUMMYFUNCTION("""COMPUTED_VALUE"""),"Auping")</f>
        <v>Auping</v>
      </c>
    </row>
    <row r="15">
      <c r="A15" s="38" t="str">
        <f>IFERROR(__xludf.DUMMYFUNCTION("""COMPUTED_VALUE"""),"Auto 5 Tihange")</f>
        <v>Auto 5 Tihange</v>
      </c>
    </row>
    <row r="16">
      <c r="A16" s="38" t="str">
        <f>IFERROR(__xludf.DUMMYFUNCTION("""COMPUTED_VALUE"""),"Avcotech")</f>
        <v>Avcotech</v>
      </c>
    </row>
    <row r="17">
      <c r="A17" s="38" t="str">
        <f>IFERROR(__xludf.DUMMYFUNCTION("""COMPUTED_VALUE"""),"Aveve Mettet")</f>
        <v>Aveve Mettet</v>
      </c>
    </row>
    <row r="18">
      <c r="A18" s="38" t="str">
        <f>IFERROR(__xludf.DUMMYFUNCTION("""COMPUTED_VALUE"""),"B-Watt")</f>
        <v>B-Watt</v>
      </c>
    </row>
    <row r="19">
      <c r="A19" s="38" t="str">
        <f>IFERROR(__xludf.DUMMYFUNCTION("""COMPUTED_VALUE"""),"Baijot")</f>
        <v>Baijot</v>
      </c>
    </row>
    <row r="20">
      <c r="A20" s="38" t="str">
        <f>IFERROR(__xludf.DUMMYFUNCTION("""COMPUTED_VALUE"""),"Barbiére Immo ")</f>
        <v>Barbiére Immo </v>
      </c>
    </row>
    <row r="21">
      <c r="A21" s="38" t="str">
        <f>IFERROR(__xludf.DUMMYFUNCTION("""COMPUTED_VALUE"""),"Basa.Energie")</f>
        <v>Basa.Energie</v>
      </c>
    </row>
    <row r="22">
      <c r="A22" s="38" t="str">
        <f>IFERROR(__xludf.DUMMYFUNCTION("""COMPUTED_VALUE"""),"Bastogne War Museum")</f>
        <v>Bastogne War Museum</v>
      </c>
    </row>
    <row r="23">
      <c r="A23" s="38" t="str">
        <f>IFERROR(__xludf.DUMMYFUNCTION("""COMPUTED_VALUE"""),"Batimoi")</f>
        <v>Batimoi</v>
      </c>
    </row>
    <row r="24">
      <c r="A24" s="38" t="str">
        <f>IFERROR(__xludf.DUMMYFUNCTION("""COMPUTED_VALUE"""),"BD Media")</f>
        <v>BD Media</v>
      </c>
    </row>
    <row r="25">
      <c r="A25" s="38" t="str">
        <f>IFERROR(__xludf.DUMMYFUNCTION("""COMPUTED_VALUE"""),"Bear rock festival")</f>
        <v>Bear rock festival</v>
      </c>
    </row>
    <row r="26">
      <c r="A26" s="38" t="str">
        <f>IFERROR(__xludf.DUMMYFUNCTION("""COMPUTED_VALUE"""),"Beauté en clés")</f>
        <v>Beauté en clés</v>
      </c>
    </row>
    <row r="27">
      <c r="A27" s="38" t="str">
        <f>IFERROR(__xludf.DUMMYFUNCTION("""COMPUTED_VALUE"""),"Beim Oscar ")</f>
        <v>Beim Oscar </v>
      </c>
    </row>
    <row r="28">
      <c r="A28" s="38" t="str">
        <f>IFERROR(__xludf.DUMMYFUNCTION("""COMPUTED_VALUE"""),"Belfius Ciney")</f>
        <v>Belfius Ciney</v>
      </c>
    </row>
    <row r="29">
      <c r="A29" s="38" t="str">
        <f>IFERROR(__xludf.DUMMYFUNCTION("""COMPUTED_VALUE"""),"Belga Factory")</f>
        <v>Belga Factory</v>
      </c>
    </row>
    <row r="30">
      <c r="A30" s="38" t="str">
        <f>IFERROR(__xludf.DUMMYFUNCTION("""COMPUTED_VALUE"""),"Belgian Rally")</f>
        <v>Belgian Rally</v>
      </c>
    </row>
    <row r="31">
      <c r="A31" s="38" t="str">
        <f>IFERROR(__xludf.DUMMYFUNCTION("""COMPUTED_VALUE"""),"Belisol")</f>
        <v>Belisol</v>
      </c>
    </row>
    <row r="32">
      <c r="A32" s="38" t="str">
        <f>IFERROR(__xludf.DUMMYFUNCTION("""COMPUTED_VALUE"""),"Beobank Namur")</f>
        <v>Beobank Namur</v>
      </c>
    </row>
    <row r="33">
      <c r="A33" s="38" t="str">
        <f>IFERROR(__xludf.DUMMYFUNCTION("""COMPUTED_VALUE"""),"Beobank Waremme")</f>
        <v>Beobank Waremme</v>
      </c>
    </row>
    <row r="34">
      <c r="A34" s="38" t="str">
        <f>IFERROR(__xludf.DUMMYFUNCTION("""COMPUTED_VALUE"""),"Bicyclic ")</f>
        <v>Bicyclic </v>
      </c>
    </row>
    <row r="35">
      <c r="A35" s="38" t="str">
        <f>IFERROR(__xludf.DUMMYFUNCTION("""COMPUTED_VALUE"""),"Bièrez-vous asbl")</f>
        <v>Bièrez-vous asbl</v>
      </c>
    </row>
    <row r="36">
      <c r="A36" s="38" t="str">
        <f>IFERROR(__xludf.DUMMYFUNCTION("""COMPUTED_VALUE"""),"Bike4Life")</f>
        <v>Bike4Life</v>
      </c>
    </row>
    <row r="37">
      <c r="A37" s="38" t="str">
        <f>IFERROR(__xludf.DUMMYFUNCTION("""COMPUTED_VALUE"""),"Bikers Festival")</f>
        <v>Bikers Festival</v>
      </c>
    </row>
    <row r="38">
      <c r="A38" s="38" t="str">
        <f>IFERROR(__xludf.DUMMYFUNCTION("""COMPUTED_VALUE"""),"Biofagnes")</f>
        <v>Biofagnes</v>
      </c>
    </row>
    <row r="39">
      <c r="A39" s="38" t="str">
        <f>IFERROR(__xludf.DUMMYFUNCTION("""COMPUTED_VALUE"""),"BP Martelange")</f>
        <v>BP Martelange</v>
      </c>
    </row>
    <row r="40">
      <c r="A40" s="38" t="str">
        <f>IFERROR(__xludf.DUMMYFUNCTION("""COMPUTED_VALUE"""),"Brainbox")</f>
        <v>Brainbox</v>
      </c>
    </row>
    <row r="41">
      <c r="A41" s="38" t="str">
        <f>IFERROR(__xludf.DUMMYFUNCTION("""COMPUTED_VALUE"""),"Brasserie du Renard ")</f>
        <v>Brasserie du Renard </v>
      </c>
    </row>
    <row r="42">
      <c r="A42" s="38" t="str">
        <f>IFERROR(__xludf.DUMMYFUNCTION("""COMPUTED_VALUE"""),"Brico Pommerole")</f>
        <v>Brico Pommerole</v>
      </c>
    </row>
    <row r="43">
      <c r="A43" s="38" t="str">
        <f>IFERROR(__xludf.DUMMYFUNCTION("""COMPUTED_VALUE"""),"BSB group ")</f>
        <v>BSB group </v>
      </c>
    </row>
    <row r="44">
      <c r="A44" s="38" t="str">
        <f>IFERROR(__xludf.DUMMYFUNCTION("""COMPUTED_VALUE"""),"Burger Grill")</f>
        <v>Burger Grill</v>
      </c>
    </row>
    <row r="45">
      <c r="A45" s="38" t="str">
        <f>IFERROR(__xludf.DUMMYFUNCTION("""COMPUTED_VALUE"""),"Byha")</f>
        <v>Byha</v>
      </c>
    </row>
    <row r="46">
      <c r="A46" s="38" t="str">
        <f>IFERROR(__xludf.DUMMYFUNCTION("""COMPUTED_VALUE"""),"Cap Sciences")</f>
        <v>Cap Sciences</v>
      </c>
    </row>
    <row r="47">
      <c r="A47" s="38" t="str">
        <f>IFERROR(__xludf.DUMMYFUNCTION("""COMPUTED_VALUE"""),"Cap Sud Immo ")</f>
        <v>Cap Sud Immo </v>
      </c>
    </row>
    <row r="48">
      <c r="A48" s="38" t="str">
        <f>IFERROR(__xludf.DUMMYFUNCTION("""COMPUTED_VALUE"""),"Carimar Braine")</f>
        <v>Carimar Braine</v>
      </c>
    </row>
    <row r="49">
      <c r="A49" s="38" t="str">
        <f>IFERROR(__xludf.DUMMYFUNCTION("""COMPUTED_VALUE"""),"Carimar Malmedy")</f>
        <v>Carimar Malmedy</v>
      </c>
    </row>
    <row r="50">
      <c r="A50" s="38" t="str">
        <f>IFERROR(__xludf.DUMMYFUNCTION("""COMPUTED_VALUE"""),"Carimar Namur")</f>
        <v>Carimar Namur</v>
      </c>
    </row>
    <row r="51">
      <c r="A51" s="38" t="str">
        <f>IFERROR(__xludf.DUMMYFUNCTION("""COMPUTED_VALUE"""),"Carlocation")</f>
        <v>Carlocation</v>
      </c>
    </row>
    <row r="52">
      <c r="A52" s="38" t="str">
        <f>IFERROR(__xludf.DUMMYFUNCTION("""COMPUTED_VALUE"""),"Carrefour Naninne")</f>
        <v>Carrefour Naninne</v>
      </c>
    </row>
    <row r="53">
      <c r="A53" s="38" t="str">
        <f>IFERROR(__xludf.DUMMYFUNCTION("""COMPUTED_VALUE"""),"Carrelages Bertrand")</f>
        <v>Carrelages Bertrand</v>
      </c>
    </row>
    <row r="54">
      <c r="A54" s="38" t="str">
        <f>IFERROR(__xludf.DUMMYFUNCTION("""COMPUTED_VALUE"""),"Cash Express")</f>
        <v>Cash Express</v>
      </c>
    </row>
    <row r="55">
      <c r="A55" s="38" t="str">
        <f>IFERROR(__xludf.DUMMYFUNCTION("""COMPUTED_VALUE"""),"Casino Resort Namur")</f>
        <v>Casino Resort Namur</v>
      </c>
    </row>
    <row r="56">
      <c r="A56" s="38" t="str">
        <f>IFERROR(__xludf.DUMMYFUNCTION("""COMPUTED_VALUE"""),"CFS")</f>
        <v>CFS</v>
      </c>
    </row>
    <row r="57">
      <c r="A57" s="38" t="str">
        <f>IFERROR(__xludf.DUMMYFUNCTION("""COMPUTED_VALUE"""),"Chassis Lemmens")</f>
        <v>Chassis Lemmens</v>
      </c>
    </row>
    <row r="58">
      <c r="A58" s="38" t="str">
        <f>IFERROR(__xludf.DUMMYFUNCTION("""COMPUTED_VALUE"""),"Château de beez")</f>
        <v>Château de beez</v>
      </c>
    </row>
    <row r="59">
      <c r="A59" s="38" t="str">
        <f>IFERROR(__xludf.DUMMYFUNCTION("""COMPUTED_VALUE"""),"Chaussures Ballaux")</f>
        <v>Chaussures Ballaux</v>
      </c>
    </row>
    <row r="60">
      <c r="A60" s="38" t="str">
        <f>IFERROR(__xludf.DUMMYFUNCTION("""COMPUTED_VALUE"""),"Chaussures Groux ")</f>
        <v>Chaussures Groux </v>
      </c>
    </row>
    <row r="61">
      <c r="A61" s="38" t="str">
        <f>IFERROR(__xludf.DUMMYFUNCTION("""COMPUTED_VALUE"""),"Chimsco")</f>
        <v>Chimsco</v>
      </c>
    </row>
    <row r="62">
      <c r="A62" s="38" t="str">
        <f>IFERROR(__xludf.DUMMYFUNCTION("""COMPUTED_VALUE"""),"Chipito")</f>
        <v>Chipito</v>
      </c>
    </row>
    <row r="63">
      <c r="A63" s="38" t="str">
        <f>IFERROR(__xludf.DUMMYFUNCTION("""COMPUTED_VALUE"""),"Chris Home")</f>
        <v>Chris Home</v>
      </c>
    </row>
    <row r="64">
      <c r="A64" s="38" t="str">
        <f>IFERROR(__xludf.DUMMYFUNCTION("""COMPUTED_VALUE"""),"Chris Oliver")</f>
        <v>Chris Oliver</v>
      </c>
    </row>
    <row r="65">
      <c r="A65" s="38" t="str">
        <f>IFERROR(__xludf.DUMMYFUNCTION("""COMPUTED_VALUE"""),"Ciney Expo")</f>
        <v>Ciney Expo</v>
      </c>
    </row>
    <row r="66">
      <c r="A66" s="38" t="str">
        <f>IFERROR(__xludf.DUMMYFUNCTION("""COMPUTED_VALUE"""),"Clic Solar")</f>
        <v>Clic Solar</v>
      </c>
    </row>
    <row r="67">
      <c r="A67" s="38" t="str">
        <f>IFERROR(__xludf.DUMMYFUNCTION("""COMPUTED_VALUE"""),"CLL- langues")</f>
        <v>CLL- langues</v>
      </c>
    </row>
    <row r="68">
      <c r="A68" s="38" t="str">
        <f>IFERROR(__xludf.DUMMYFUNCTION("""COMPUTED_VALUE"""),"Cloth")</f>
        <v>Cloth</v>
      </c>
    </row>
    <row r="69">
      <c r="A69" s="38" t="str">
        <f>IFERROR(__xludf.DUMMYFUNCTION("""COMPUTED_VALUE"""),"Clôtures Leblanc")</f>
        <v>Clôtures Leblanc</v>
      </c>
    </row>
    <row r="70">
      <c r="A70" s="38" t="str">
        <f>IFERROR(__xludf.DUMMYFUNCTION("""COMPUTED_VALUE"""),"Coco max")</f>
        <v>Coco max</v>
      </c>
    </row>
    <row r="71">
      <c r="A71" s="38" t="str">
        <f>IFERROR(__xludf.DUMMYFUNCTION("""COMPUTED_VALUE"""),"Coden")</f>
        <v>Coden</v>
      </c>
    </row>
    <row r="72">
      <c r="A72" s="38" t="str">
        <f>IFERROR(__xludf.DUMMYFUNCTION("""COMPUTED_VALUE"""),"Colora Namur")</f>
        <v>Colora Namur</v>
      </c>
    </row>
    <row r="73">
      <c r="A73" s="38" t="str">
        <f>IFERROR(__xludf.DUMMYFUNCTION("""COMPUTED_VALUE"""),"Concept-R ")</f>
        <v>Concept-R </v>
      </c>
    </row>
    <row r="74">
      <c r="A74" s="38" t="str">
        <f>IFERROR(__xludf.DUMMYFUNCTION("""COMPUTED_VALUE"""),"Concours Arville")</f>
        <v>Concours Arville</v>
      </c>
    </row>
    <row r="75">
      <c r="A75" s="38" t="str">
        <f>IFERROR(__xludf.DUMMYFUNCTION("""COMPUTED_VALUE"""),"Condroz Gibier")</f>
        <v>Condroz Gibier</v>
      </c>
    </row>
    <row r="76">
      <c r="A76" s="38" t="str">
        <f>IFERROR(__xludf.DUMMYFUNCTION("""COMPUTED_VALUE"""),"Condroz Motor")</f>
        <v>Condroz Motor</v>
      </c>
    </row>
    <row r="77">
      <c r="A77" s="38" t="str">
        <f>IFERROR(__xludf.DUMMYFUNCTION("""COMPUTED_VALUE"""),"Confort du matelas")</f>
        <v>Confort du matelas</v>
      </c>
    </row>
    <row r="78">
      <c r="A78" s="38" t="str">
        <f>IFERROR(__xludf.DUMMYFUNCTION("""COMPUTED_VALUE"""),"Continentis")</f>
        <v>Continentis</v>
      </c>
    </row>
    <row r="79">
      <c r="A79" s="38" t="str">
        <f>IFERROR(__xludf.DUMMYFUNCTION("""COMPUTED_VALUE"""),"Couleur Maison")</f>
        <v>Couleur Maison</v>
      </c>
    </row>
    <row r="80">
      <c r="A80" s="38" t="str">
        <f>IFERROR(__xludf.DUMMYFUNCTION("""COMPUTED_VALUE"""),"Createvent")</f>
        <v>Createvent</v>
      </c>
    </row>
    <row r="81">
      <c r="A81" s="38" t="str">
        <f>IFERROR(__xludf.DUMMYFUNCTION("""COMPUTED_VALUE"""),"Créer Coller")</f>
        <v>Créer Coller</v>
      </c>
    </row>
    <row r="82">
      <c r="A82" s="38" t="str">
        <f>IFERROR(__xludf.DUMMYFUNCTION("""COMPUTED_VALUE"""),"Crelan Maxel")</f>
        <v>Crelan Maxel</v>
      </c>
    </row>
    <row r="83">
      <c r="A83" s="38" t="str">
        <f>IFERROR(__xludf.DUMMYFUNCTION("""COMPUTED_VALUE"""),"Cristal Compta")</f>
        <v>Cristal Compta</v>
      </c>
    </row>
    <row r="84">
      <c r="A84" s="38" t="str">
        <f>IFERROR(__xludf.DUMMYFUNCTION("""COMPUTED_VALUE"""),"Cycles Cammaerts")</f>
        <v>Cycles Cammaerts</v>
      </c>
    </row>
    <row r="85">
      <c r="A85" s="38" t="str">
        <f>IFERROR(__xludf.DUMMYFUNCTION("""COMPUTED_VALUE"""),"D ici")</f>
        <v>D ici</v>
      </c>
    </row>
    <row r="86">
      <c r="A86" s="38" t="str">
        <f>IFERROR(__xludf.DUMMYFUNCTION("""COMPUTED_VALUE"""),"Dare2build")</f>
        <v>Dare2build</v>
      </c>
    </row>
    <row r="87">
      <c r="A87" s="38" t="str">
        <f>IFERROR(__xludf.DUMMYFUNCTION("""COMPUTED_VALUE"""),"deBRY")</f>
        <v>deBRY</v>
      </c>
    </row>
    <row r="88">
      <c r="A88" s="38" t="str">
        <f>IFERROR(__xludf.DUMMYFUNCTION("""COMPUTED_VALUE"""),"Declerc")</f>
        <v>Declerc</v>
      </c>
    </row>
    <row r="89">
      <c r="A89" s="38" t="str">
        <f>IFERROR(__xludf.DUMMYFUNCTION("""COMPUTED_VALUE"""),"Déco Jardin")</f>
        <v>Déco Jardin</v>
      </c>
    </row>
    <row r="90">
      <c r="A90" s="38" t="str">
        <f>IFERROR(__xludf.DUMMYFUNCTION("""COMPUTED_VALUE"""),"Delhaize Falisolle")</f>
        <v>Delhaize Falisolle</v>
      </c>
    </row>
    <row r="91">
      <c r="A91" s="38" t="str">
        <f>IFERROR(__xludf.DUMMYFUNCTION("""COMPUTED_VALUE"""),"Delhaize Lux")</f>
        <v>Delhaize Lux</v>
      </c>
    </row>
    <row r="92">
      <c r="A92" s="38" t="str">
        <f>IFERROR(__xludf.DUMMYFUNCTION("""COMPUTED_VALUE"""),"Delhaize Waremme")</f>
        <v>Delhaize Waremme</v>
      </c>
    </row>
    <row r="93">
      <c r="A93" s="38" t="str">
        <f>IFERROR(__xludf.DUMMYFUNCTION("""COMPUTED_VALUE"""),"Deliso")</f>
        <v>Deliso</v>
      </c>
    </row>
    <row r="94">
      <c r="A94" s="38" t="str">
        <f>IFERROR(__xludf.DUMMYFUNCTION("""COMPUTED_VALUE"""),"DEMA")</f>
        <v>DEMA</v>
      </c>
    </row>
    <row r="95">
      <c r="A95" s="38" t="str">
        <f>IFERROR(__xludf.DUMMYFUNCTION("""COMPUTED_VALUE"""),"Demars")</f>
        <v>Demars</v>
      </c>
    </row>
    <row r="96">
      <c r="A96" s="38" t="str">
        <f>IFERROR(__xludf.DUMMYFUNCTION("""COMPUTED_VALUE"""),"Déménago")</f>
        <v>Déménago</v>
      </c>
    </row>
    <row r="97">
      <c r="A97" s="38" t="str">
        <f>IFERROR(__xludf.DUMMYFUNCTION("""COMPUTED_VALUE"""),"Demimo")</f>
        <v>Demimo</v>
      </c>
    </row>
    <row r="98">
      <c r="A98" s="38" t="str">
        <f>IFERROR(__xludf.DUMMYFUNCTION("""COMPUTED_VALUE"""),"Design fire")</f>
        <v>Design fire</v>
      </c>
    </row>
    <row r="99">
      <c r="A99" s="38" t="str">
        <f>IFERROR(__xludf.DUMMYFUNCTION("""COMPUTED_VALUE"""),"Deville Assurances")</f>
        <v>Deville Assurances</v>
      </c>
    </row>
    <row r="100">
      <c r="A100" s="38" t="str">
        <f>IFERROR(__xludf.DUMMYFUNCTION("""COMPUTED_VALUE"""),"DG Sport")</f>
        <v>DG Sport</v>
      </c>
    </row>
    <row r="101">
      <c r="A101" s="38" t="str">
        <f>IFERROR(__xludf.DUMMYFUNCTION("""COMPUTED_VALUE"""),"Diffusion Menuiserie ")</f>
        <v>Diffusion Menuiserie </v>
      </c>
    </row>
    <row r="102">
      <c r="A102" s="38" t="str">
        <f>IFERROR(__xludf.DUMMYFUNCTION("""COMPUTED_VALUE"""),"Doneux Imprimerie")</f>
        <v>Doneux Imprimerie</v>
      </c>
    </row>
    <row r="103">
      <c r="A103" s="38" t="str">
        <f>IFERROR(__xludf.DUMMYFUNCTION("""COMPUTED_VALUE"""),"Dovy")</f>
        <v>Dovy</v>
      </c>
    </row>
    <row r="104">
      <c r="A104" s="38" t="str">
        <f>IFERROR(__xludf.DUMMYFUNCTION("""COMPUTED_VALUE"""),"DP Studio")</f>
        <v>DP Studio</v>
      </c>
    </row>
    <row r="105">
      <c r="A105" s="38" t="str">
        <f>IFERROR(__xludf.DUMMYFUNCTION("""COMPUTED_VALUE"""),"DPS")</f>
        <v>DPS</v>
      </c>
    </row>
    <row r="106">
      <c r="A106" s="38" t="str">
        <f>IFERROR(__xludf.DUMMYFUNCTION("""COMPUTED_VALUE"""),"Du Rouge Aux Lèvres")</f>
        <v>Du Rouge Aux Lèvres</v>
      </c>
    </row>
    <row r="107">
      <c r="A107" s="38" t="str">
        <f>IFERROR(__xludf.DUMMYFUNCTION("""COMPUTED_VALUE"""),"E-Bike")</f>
        <v>E-Bike</v>
      </c>
    </row>
    <row r="108">
      <c r="A108" s="38" t="str">
        <f>IFERROR(__xludf.DUMMYFUNCTION("""COMPUTED_VALUE"""),"Easyfence")</f>
        <v>Easyfence</v>
      </c>
    </row>
    <row r="109">
      <c r="A109" s="38" t="str">
        <f>IFERROR(__xludf.DUMMYFUNCTION("""COMPUTED_VALUE"""),"EASYHOME")</f>
        <v>EASYHOME</v>
      </c>
    </row>
    <row r="110">
      <c r="A110" s="38" t="str">
        <f>IFERROR(__xludf.DUMMYFUNCTION("""COMPUTED_VALUE"""),"Egen pro")</f>
        <v>Egen pro</v>
      </c>
    </row>
    <row r="111">
      <c r="A111" s="38" t="str">
        <f>IFERROR(__xludf.DUMMYFUNCTION("""COMPUTED_VALUE"""),"Electricool")</f>
        <v>Electricool</v>
      </c>
    </row>
    <row r="112">
      <c r="A112" s="38" t="str">
        <f>IFERROR(__xludf.DUMMYFUNCTION("""COMPUTED_VALUE"""),"Engagés")</f>
        <v>Engagés</v>
      </c>
    </row>
    <row r="113">
      <c r="A113" s="38" t="str">
        <f>IFERROR(__xludf.DUMMYFUNCTION("""COMPUTED_VALUE"""),"Engagés Liège")</f>
        <v>Engagés Liège</v>
      </c>
    </row>
    <row r="114">
      <c r="A114" s="38" t="str">
        <f>IFERROR(__xludf.DUMMYFUNCTION("""COMPUTED_VALUE"""),"Ergovan")</f>
        <v>Ergovan</v>
      </c>
    </row>
    <row r="115">
      <c r="A115" s="38" t="str">
        <f>IFERROR(__xludf.DUMMYFUNCTION("""COMPUTED_VALUE"""),"ESPA")</f>
        <v>ESPA</v>
      </c>
    </row>
    <row r="116">
      <c r="A116" s="38" t="str">
        <f>IFERROR(__xludf.DUMMYFUNCTION("""COMPUTED_VALUE"""),"Esperanzah")</f>
        <v>Esperanzah</v>
      </c>
    </row>
    <row r="117">
      <c r="A117" s="38" t="str">
        <f>IFERROR(__xludf.DUMMYFUNCTION("""COMPUTED_VALUE"""),"Euro Jouets")</f>
        <v>Euro Jouets</v>
      </c>
    </row>
    <row r="118">
      <c r="A118" s="38" t="str">
        <f>IFERROR(__xludf.DUMMYFUNCTION("""COMPUTED_VALUE"""),"EVA")</f>
        <v>EVA</v>
      </c>
    </row>
    <row r="119">
      <c r="A119" s="38" t="str">
        <f>IFERROR(__xludf.DUMMYFUNCTION("""COMPUTED_VALUE"""),"Event See")</f>
        <v>Event See</v>
      </c>
    </row>
    <row r="120">
      <c r="A120" s="38" t="str">
        <f>IFERROR(__xludf.DUMMYFUNCTION("""COMPUTED_VALUE"""),"Evo bikes")</f>
        <v>Evo bikes</v>
      </c>
    </row>
    <row r="121">
      <c r="A121" s="38" t="str">
        <f>IFERROR(__xludf.DUMMYFUNCTION("""COMPUTED_VALUE"""),"Exam Services")</f>
        <v>Exam Services</v>
      </c>
    </row>
    <row r="122">
      <c r="A122" s="38" t="str">
        <f>IFERROR(__xludf.DUMMYFUNCTION("""COMPUTED_VALUE"""),"Expert Literie")</f>
        <v>Expert Literie</v>
      </c>
    </row>
    <row r="123">
      <c r="A123" s="38" t="str">
        <f>IFERROR(__xludf.DUMMYFUNCTION("""COMPUTED_VALUE"""),"Fermalux")</f>
        <v>Fermalux</v>
      </c>
    </row>
    <row r="124">
      <c r="A124" s="38" t="str">
        <f>IFERROR(__xludf.DUMMYFUNCTION("""COMPUTED_VALUE"""),"Fintro Andenne")</f>
        <v>Fintro Andenne</v>
      </c>
    </row>
    <row r="125">
      <c r="A125" s="38" t="str">
        <f>IFERROR(__xludf.DUMMYFUNCTION("""COMPUTED_VALUE"""),"Fintro Ciney")</f>
        <v>Fintro Ciney</v>
      </c>
    </row>
    <row r="126">
      <c r="A126" s="38" t="str">
        <f>IFERROR(__xludf.DUMMYFUNCTION("""COMPUTED_VALUE"""),"Fintro Huy")</f>
        <v>Fintro Huy</v>
      </c>
    </row>
    <row r="127">
      <c r="A127" s="38" t="str">
        <f>IFERROR(__xludf.DUMMYFUNCTION("""COMPUTED_VALUE"""),"Fintro Jaumain")</f>
        <v>Fintro Jaumain</v>
      </c>
    </row>
    <row r="128">
      <c r="A128" s="38" t="str">
        <f>IFERROR(__xludf.DUMMYFUNCTION("""COMPUTED_VALUE"""),"Fire &amp; Solution")</f>
        <v>Fire &amp; Solution</v>
      </c>
    </row>
    <row r="129">
      <c r="A129" s="38" t="str">
        <f>IFERROR(__xludf.DUMMYFUNCTION("""COMPUTED_VALUE"""),"FIRR")</f>
        <v>FIRR</v>
      </c>
    </row>
    <row r="130">
      <c r="A130" s="38" t="str">
        <f>IFERROR(__xludf.DUMMYFUNCTION("""COMPUTED_VALUE"""),"Full Services")</f>
        <v>Full Services</v>
      </c>
    </row>
    <row r="131">
      <c r="A131" s="38" t="str">
        <f>IFERROR(__xludf.DUMMYFUNCTION("""COMPUTED_VALUE"""),"Galer")</f>
        <v>Galer</v>
      </c>
    </row>
    <row r="132">
      <c r="A132" s="38" t="str">
        <f>IFERROR(__xludf.DUMMYFUNCTION("""COMPUTED_VALUE"""),"Garage Bouchat")</f>
        <v>Garage Bouchat</v>
      </c>
    </row>
    <row r="133">
      <c r="A133" s="38" t="str">
        <f>IFERROR(__xludf.DUMMYFUNCTION("""COMPUTED_VALUE"""),"Garage Buche")</f>
        <v>Garage Buche</v>
      </c>
    </row>
    <row r="134">
      <c r="A134" s="38" t="str">
        <f>IFERROR(__xludf.DUMMYFUNCTION("""COMPUTED_VALUE"""),"Garage Lange")</f>
        <v>Garage Lange</v>
      </c>
    </row>
    <row r="135">
      <c r="A135" s="38" t="str">
        <f>IFERROR(__xludf.DUMMYFUNCTION("""COMPUTED_VALUE"""),"Garage Renaux Fiat")</f>
        <v>Garage Renaux Fiat</v>
      </c>
    </row>
    <row r="136">
      <c r="A136" s="38" t="str">
        <f>IFERROR(__xludf.DUMMYFUNCTION("""COMPUTED_VALUE"""),"Garage Thunissen")</f>
        <v>Garage Thunissen</v>
      </c>
    </row>
    <row r="137">
      <c r="A137" s="38" t="str">
        <f>IFERROR(__xludf.DUMMYFUNCTION("""COMPUTED_VALUE"""),"Gasiline")</f>
        <v>Gasiline</v>
      </c>
    </row>
    <row r="138">
      <c r="A138" s="38" t="str">
        <f>IFERROR(__xludf.DUMMYFUNCTION("""COMPUTED_VALUE"""),"GE Horses Construction")</f>
        <v>GE Horses Construction</v>
      </c>
    </row>
    <row r="139">
      <c r="A139" s="38" t="str">
        <f>IFERROR(__xludf.DUMMYFUNCTION("""COMPUTED_VALUE"""),"GGILGPRO")</f>
        <v>GGILGPRO</v>
      </c>
    </row>
    <row r="140">
      <c r="A140" s="38" t="str">
        <f>IFERROR(__xludf.DUMMYFUNCTION("""COMPUTED_VALUE"""),"GMB Concept")</f>
        <v>GMB Concept</v>
      </c>
    </row>
    <row r="141">
      <c r="A141" s="38" t="str">
        <f>IFERROR(__xludf.DUMMYFUNCTION("""COMPUTED_VALUE"""),"Graindorge")</f>
        <v>Graindorge</v>
      </c>
    </row>
    <row r="142">
      <c r="A142" s="38" t="str">
        <f>IFERROR(__xludf.DUMMYFUNCTION("""COMPUTED_VALUE"""),"Graines de Vélo")</f>
        <v>Graines de Vélo</v>
      </c>
    </row>
    <row r="143">
      <c r="A143" s="38" t="str">
        <f>IFERROR(__xludf.DUMMYFUNCTION("""COMPUTED_VALUE"""),"Green Agri")</f>
        <v>Green Agri</v>
      </c>
    </row>
    <row r="144">
      <c r="A144" s="38" t="str">
        <f>IFERROR(__xludf.DUMMYFUNCTION("""COMPUTED_VALUE"""),"Green Mat")</f>
        <v>Green Mat</v>
      </c>
    </row>
    <row r="145">
      <c r="A145" s="38" t="str">
        <f>IFERROR(__xludf.DUMMYFUNCTION("""COMPUTED_VALUE"""),"Green Robot")</f>
        <v>Green Robot</v>
      </c>
    </row>
    <row r="146">
      <c r="A146" s="38" t="str">
        <f>IFERROR(__xludf.DUMMYFUNCTION("""COMPUTED_VALUE"""),"Gregoire Vincent Toiture")</f>
        <v>Gregoire Vincent Toiture</v>
      </c>
    </row>
    <row r="147">
      <c r="A147" s="38" t="str">
        <f>IFERROR(__xludf.DUMMYFUNCTION("""COMPUTED_VALUE"""),"Grottes de Han")</f>
        <v>Grottes de Han</v>
      </c>
    </row>
    <row r="148">
      <c r="A148" s="38" t="str">
        <f>IFERROR(__xludf.DUMMYFUNCTION("""COMPUTED_VALUE"""),"Groupasol")</f>
        <v>Groupasol</v>
      </c>
    </row>
    <row r="149">
      <c r="A149" s="38" t="str">
        <f>IFERROR(__xludf.DUMMYFUNCTION("""COMPUTED_VALUE"""),"Guinguette Rustique")</f>
        <v>Guinguette Rustique</v>
      </c>
    </row>
    <row r="150">
      <c r="A150" s="38" t="str">
        <f>IFERROR(__xludf.DUMMYFUNCTION("""COMPUTED_VALUE"""),"Hannosset")</f>
        <v>Hannosset</v>
      </c>
    </row>
    <row r="151">
      <c r="A151" s="38" t="str">
        <f>IFERROR(__xludf.DUMMYFUNCTION("""COMPUTED_VALUE"""),"Hanse Meubles")</f>
        <v>Hanse Meubles</v>
      </c>
    </row>
    <row r="152">
      <c r="A152" s="38" t="str">
        <f>IFERROR(__xludf.DUMMYFUNCTION("""COMPUTED_VALUE"""),"Harol")</f>
        <v>Harol</v>
      </c>
    </row>
    <row r="153">
      <c r="A153" s="170" t="str">
        <f>IFERROR(__xludf.DUMMYFUNCTION("""COMPUTED_VALUE"""),"Hastir menuiserie")</f>
        <v>Hastir menuiserie</v>
      </c>
    </row>
    <row r="154">
      <c r="A154" s="38" t="str">
        <f>IFERROR(__xludf.DUMMYFUNCTION("""COMPUTED_VALUE"""),"Havelange Mercedes")</f>
        <v>Havelange Mercedes</v>
      </c>
    </row>
    <row r="155">
      <c r="A155" s="38" t="str">
        <f>IFERROR(__xludf.DUMMYFUNCTION("""COMPUTED_VALUE"""),"Heine Immobilière")</f>
        <v>Heine Immobilière</v>
      </c>
    </row>
    <row r="156">
      <c r="A156" s="38" t="str">
        <f>IFERROR(__xludf.DUMMYFUNCTION("""COMPUTED_VALUE"""),"Henin")</f>
        <v>Henin</v>
      </c>
    </row>
    <row r="157">
      <c r="A157" s="38" t="str">
        <f>IFERROR(__xludf.DUMMYFUNCTION("""COMPUTED_VALUE"""),"Houart")</f>
        <v>Houart</v>
      </c>
    </row>
    <row r="158">
      <c r="A158" s="38" t="str">
        <f>IFERROR(__xludf.DUMMYFUNCTION("""COMPUTED_VALUE"""),"I Love Printing")</f>
        <v>I Love Printing</v>
      </c>
    </row>
    <row r="159">
      <c r="A159" s="38" t="str">
        <f>IFERROR(__xludf.DUMMYFUNCTION("""COMPUTED_VALUE"""),"Il est temps d'en rire")</f>
        <v>Il est temps d'en rire</v>
      </c>
    </row>
    <row r="160">
      <c r="A160" s="38" t="str">
        <f>IFERROR(__xludf.DUMMYFUNCTION("""COMPUTED_VALUE"""),"Il Vulcano Pizzeria")</f>
        <v>Il Vulcano Pizzeria</v>
      </c>
    </row>
    <row r="161">
      <c r="A161" s="38" t="str">
        <f>IFERROR(__xludf.DUMMYFUNCTION("""COMPUTED_VALUE"""),"Immo Cube")</f>
        <v>Immo Cube</v>
      </c>
    </row>
    <row r="162">
      <c r="A162" s="38" t="str">
        <f>IFERROR(__xludf.DUMMYFUNCTION("""COMPUTED_VALUE"""),"Immologgia")</f>
        <v>Immologgia</v>
      </c>
    </row>
    <row r="163">
      <c r="A163" s="38" t="str">
        <f>IFERROR(__xludf.DUMMYFUNCTION("""COMPUTED_VALUE"""),"ImmoModul")</f>
        <v>ImmoModul</v>
      </c>
    </row>
    <row r="164">
      <c r="A164" s="38" t="str">
        <f>IFERROR(__xludf.DUMMYFUNCTION("""COMPUTED_VALUE"""),"Impermo")</f>
        <v>Impermo</v>
      </c>
    </row>
    <row r="165">
      <c r="A165" s="38" t="str">
        <f>IFERROR(__xludf.DUMMYFUNCTION("""COMPUTED_VALUE"""),"Institut Charles Péguy")</f>
        <v>Institut Charles Péguy</v>
      </c>
    </row>
    <row r="166">
      <c r="A166" s="38" t="str">
        <f>IFERROR(__xludf.DUMMYFUNCTION("""COMPUTED_VALUE"""),"Institut Sainte Ursule ")</f>
        <v>Institut Sainte Ursule </v>
      </c>
    </row>
    <row r="167">
      <c r="A167" s="38" t="str">
        <f>IFERROR(__xludf.DUMMYFUNCTION("""COMPUTED_VALUE"""),"Ixina Tarcienne")</f>
        <v>Ixina Tarcienne</v>
      </c>
    </row>
    <row r="168">
      <c r="A168" s="38" t="str">
        <f>IFERROR(__xludf.DUMMYFUNCTION("""COMPUTED_VALUE"""),"Jairaclette")</f>
        <v>Jairaclette</v>
      </c>
    </row>
    <row r="169">
      <c r="A169" s="38" t="str">
        <f>IFERROR(__xludf.DUMMYFUNCTION("""COMPUTED_VALUE"""),"Jardi Nature")</f>
        <v>Jardi Nature</v>
      </c>
    </row>
    <row r="170">
      <c r="A170" s="38" t="str">
        <f>IFERROR(__xludf.DUMMYFUNCTION("""COMPUTED_VALUE"""),"Jardin Confort")</f>
        <v>Jardin Confort</v>
      </c>
    </row>
    <row r="171">
      <c r="A171" s="38" t="str">
        <f>IFERROR(__xludf.DUMMYFUNCTION("""COMPUTED_VALUE"""),"Jardisart")</f>
        <v>Jardisart</v>
      </c>
    </row>
    <row r="172">
      <c r="A172" s="38" t="str">
        <f>IFERROR(__xludf.DUMMYFUNCTION("""COMPUTED_VALUE"""),"JB Motors")</f>
        <v>JB Motors</v>
      </c>
    </row>
    <row r="173">
      <c r="A173" s="38" t="str">
        <f>IFERROR(__xludf.DUMMYFUNCTION("""COMPUTED_VALUE"""),"JCP Cleaning")</f>
        <v>JCP Cleaning</v>
      </c>
    </row>
    <row r="174">
      <c r="A174" s="38" t="str">
        <f>IFERROR(__xludf.DUMMYFUNCTION("""COMPUTED_VALUE"""),"JM Karting ")</f>
        <v>JM Karting </v>
      </c>
    </row>
    <row r="175">
      <c r="A175" s="38" t="str">
        <f>IFERROR(__xludf.DUMMYFUNCTION("""COMPUTED_VALUE"""),"Kazimmo")</f>
        <v>Kazimmo</v>
      </c>
    </row>
    <row r="176">
      <c r="A176" s="38" t="str">
        <f>IFERROR(__xludf.DUMMYFUNCTION("""COMPUTED_VALUE"""),"Kéfi Concept Store")</f>
        <v>Kéfi Concept Store</v>
      </c>
    </row>
    <row r="177">
      <c r="A177" s="38" t="str">
        <f>IFERROR(__xludf.DUMMYFUNCTION("""COMPUTED_VALUE"""),"Keller")</f>
        <v>Keller</v>
      </c>
    </row>
    <row r="178">
      <c r="A178" s="38" t="str">
        <f>IFERROR(__xludf.DUMMYFUNCTION("""COMPUTED_VALUE"""),"Kiabi Ciney")</f>
        <v>Kiabi Ciney</v>
      </c>
    </row>
    <row r="179">
      <c r="A179" s="38" t="str">
        <f>IFERROR(__xludf.DUMMYFUNCTION("""COMPUTED_VALUE"""),"Kids and us Gembloux")</f>
        <v>Kids and us Gembloux</v>
      </c>
    </row>
    <row r="180">
      <c r="A180" s="38" t="str">
        <f>IFERROR(__xludf.DUMMYFUNCTION("""COMPUTED_VALUE"""),"Kids and us Nivelles")</f>
        <v>Kids and us Nivelles</v>
      </c>
    </row>
    <row r="181">
      <c r="A181" s="38" t="str">
        <f>IFERROR(__xludf.DUMMYFUNCTION("""COMPUTED_VALUE"""),"Kids and us Wavre")</f>
        <v>Kids and us Wavre</v>
      </c>
    </row>
    <row r="182">
      <c r="A182" s="38" t="str">
        <f>IFERROR(__xludf.DUMMYFUNCTION("""COMPUTED_VALUE"""),"Kineo Limelette")</f>
        <v>Kineo Limelette</v>
      </c>
    </row>
    <row r="183">
      <c r="A183" s="38" t="str">
        <f>IFERROR(__xludf.DUMMYFUNCTION("""COMPUTED_VALUE"""),"Knauf")</f>
        <v>Knauf</v>
      </c>
    </row>
    <row r="184">
      <c r="A184" s="38" t="str">
        <f>IFERROR(__xludf.DUMMYFUNCTION("""COMPUTED_VALUE"""),"KRO Carrelages")</f>
        <v>KRO Carrelages</v>
      </c>
    </row>
    <row r="185">
      <c r="A185" s="38" t="str">
        <f>IFERROR(__xludf.DUMMYFUNCTION("""COMPUTED_VALUE"""),"L'âme des chose")</f>
        <v>L'âme des chose</v>
      </c>
    </row>
    <row r="186">
      <c r="A186" s="38" t="str">
        <f>IFERROR(__xludf.DUMMYFUNCTION("""COMPUTED_VALUE"""),"L'Avenir")</f>
        <v>L'Avenir</v>
      </c>
    </row>
    <row r="187">
      <c r="A187" s="38" t="str">
        <f>IFERROR(__xludf.DUMMYFUNCTION("""COMPUTED_VALUE"""),"La Bergerette")</f>
        <v>La Bergerette</v>
      </c>
    </row>
    <row r="188">
      <c r="A188" s="38" t="str">
        <f>IFERROR(__xludf.DUMMYFUNCTION("""COMPUTED_VALUE"""),"La Chinelle")</f>
        <v>La Chinelle</v>
      </c>
    </row>
    <row r="189">
      <c r="A189" s="38" t="str">
        <f>IFERROR(__xludf.DUMMYFUNCTION("""COMPUTED_VALUE"""),"La Fabrique")</f>
        <v>La Fabrique</v>
      </c>
    </row>
    <row r="190">
      <c r="A190" s="38" t="str">
        <f>IFERROR(__xludf.DUMMYFUNCTION("""COMPUTED_VALUE"""),"La Foir Fouille")</f>
        <v>La Foir Fouille</v>
      </c>
    </row>
    <row r="191">
      <c r="A191" s="38" t="str">
        <f>IFERROR(__xludf.DUMMYFUNCTION("""COMPUTED_VALUE"""),"Lamoline ")</f>
        <v>Lamoline </v>
      </c>
    </row>
    <row r="192">
      <c r="A192" s="38" t="str">
        <f>IFERROR(__xludf.DUMMYFUNCTION("""COMPUTED_VALUE"""),"Lamy Property")</f>
        <v>Lamy Property</v>
      </c>
    </row>
    <row r="193">
      <c r="A193" s="38" t="str">
        <f>IFERROR(__xludf.DUMMYFUNCTION("""COMPUTED_VALUE"""),"Lara Ceram")</f>
        <v>Lara Ceram</v>
      </c>
    </row>
    <row r="194">
      <c r="A194" s="38" t="str">
        <f>IFERROR(__xludf.DUMMYFUNCTION("""COMPUTED_VALUE"""),"Latour &amp; Petit")</f>
        <v>Latour &amp; Petit</v>
      </c>
    </row>
    <row r="195">
      <c r="A195" s="38" t="str">
        <f>IFERROR(__xludf.DUMMYFUNCTION("""COMPUTED_VALUE"""),"Le bois au jardin")</f>
        <v>Le bois au jardin</v>
      </c>
    </row>
    <row r="196">
      <c r="A196" s="38" t="str">
        <f>IFERROR(__xludf.DUMMYFUNCTION("""COMPUTED_VALUE"""),"Le Refuge du Pont")</f>
        <v>Le Refuge du Pont</v>
      </c>
    </row>
    <row r="197">
      <c r="A197" s="38" t="str">
        <f>IFERROR(__xludf.DUMMYFUNCTION("""COMPUTED_VALUE"""),"Le roi de la poule")</f>
        <v>Le roi de la poule</v>
      </c>
    </row>
    <row r="198">
      <c r="A198" s="38" t="str">
        <f>IFERROR(__xludf.DUMMYFUNCTION("""COMPUTED_VALUE"""),"Leboutte")</f>
        <v>Leboutte</v>
      </c>
    </row>
    <row r="199">
      <c r="A199" s="38" t="str">
        <f>IFERROR(__xludf.DUMMYFUNCTION("""COMPUTED_VALUE"""),"Leclerq-Plevoets")</f>
        <v>Leclerq-Plevoets</v>
      </c>
    </row>
    <row r="200">
      <c r="A200" s="38" t="str">
        <f>IFERROR(__xludf.DUMMYFUNCTION("""COMPUTED_VALUE"""),"LeComptoirDeLaFrite")</f>
        <v>LeComptoirDeLaFrite</v>
      </c>
    </row>
    <row r="201">
      <c r="A201" s="38" t="str">
        <f>IFERROR(__xludf.DUMMYFUNCTION("""COMPUTED_VALUE"""),"Lemineur")</f>
        <v>Lemineur</v>
      </c>
    </row>
    <row r="202">
      <c r="A202" s="38" t="str">
        <f>IFERROR(__xludf.DUMMYFUNCTION("""COMPUTED_VALUE"""),"Leroy Déménagement")</f>
        <v>Leroy Déménagement</v>
      </c>
    </row>
    <row r="203">
      <c r="A203" s="38" t="str">
        <f>IFERROR(__xludf.DUMMYFUNCTION("""COMPUTED_VALUE"""),"Les Viviers BW")</f>
        <v>Les Viviers BW</v>
      </c>
    </row>
    <row r="204">
      <c r="A204" s="38" t="str">
        <f>IFERROR(__xludf.DUMMYFUNCTION("""COMPUTED_VALUE"""),"Les Viviers Namur")</f>
        <v>Les Viviers Namur</v>
      </c>
    </row>
    <row r="205">
      <c r="A205" s="38" t="str">
        <f>IFERROR(__xludf.DUMMYFUNCTION("""COMPUTED_VALUE"""),"Les Viviers Rochefort")</f>
        <v>Les Viviers Rochefort</v>
      </c>
    </row>
    <row r="206">
      <c r="A206" s="38" t="str">
        <f>IFERROR(__xludf.DUMMYFUNCTION("""COMPUTED_VALUE"""),"LifeGreen")</f>
        <v>LifeGreen</v>
      </c>
    </row>
    <row r="207">
      <c r="A207" s="38" t="str">
        <f>IFERROR(__xludf.DUMMYFUNCTION("""COMPUTED_VALUE"""),"Light &amp; Design")</f>
        <v>Light &amp; Design</v>
      </c>
    </row>
    <row r="208">
      <c r="A208" s="38" t="str">
        <f>IFERROR(__xludf.DUMMYFUNCTION("""COMPUTED_VALUE"""),"Linsensé")</f>
        <v>Linsensé</v>
      </c>
    </row>
    <row r="209">
      <c r="A209" s="38" t="str">
        <f>IFERROR(__xludf.DUMMYFUNCTION("""COMPUTED_VALUE"""),"Literie Massart")</f>
        <v>Literie Massart</v>
      </c>
    </row>
    <row r="210">
      <c r="A210" s="38" t="str">
        <f>IFERROR(__xludf.DUMMYFUNCTION("""COMPUTED_VALUE"""),"Literie Prestige")</f>
        <v>Literie Prestige</v>
      </c>
    </row>
    <row r="211">
      <c r="A211" s="38" t="str">
        <f>IFERROR(__xludf.DUMMYFUNCTION("""COMPUTED_VALUE"""),"LMV")</f>
        <v>LMV</v>
      </c>
    </row>
    <row r="212">
      <c r="A212" s="38" t="str">
        <f>IFERROR(__xludf.DUMMYFUNCTION("""COMPUTED_VALUE"""),"Locadepot")</f>
        <v>Locadepot</v>
      </c>
    </row>
    <row r="213">
      <c r="A213" s="38" t="str">
        <f>IFERROR(__xludf.DUMMYFUNCTION("""COMPUTED_VALUE"""),"Locadepot BOX")</f>
        <v>Locadepot BOX</v>
      </c>
    </row>
    <row r="214">
      <c r="A214" s="38" t="str">
        <f>IFERROR(__xludf.DUMMYFUNCTION("""COMPUTED_VALUE"""),"Logiscool Wavre")</f>
        <v>Logiscool Wavre</v>
      </c>
    </row>
    <row r="215">
      <c r="A215" s="38" t="str">
        <f>IFERROR(__xludf.DUMMYFUNCTION("""COMPUTED_VALUE"""),"Louez moi")</f>
        <v>Louez moi</v>
      </c>
    </row>
    <row r="216">
      <c r="A216" s="38" t="str">
        <f>IFERROR(__xludf.DUMMYFUNCTION("""COMPUTED_VALUE"""),"Lumarvel")</f>
        <v>Lumarvel</v>
      </c>
    </row>
    <row r="217">
      <c r="A217" s="38" t="str">
        <f>IFERROR(__xludf.DUMMYFUNCTION("""COMPUTED_VALUE"""),"Ma Piscine")</f>
        <v>Ma Piscine</v>
      </c>
    </row>
    <row r="218">
      <c r="A218" s="38" t="str">
        <f>IFERROR(__xludf.DUMMYFUNCTION("""COMPUTED_VALUE"""),"Maison du relax")</f>
        <v>Maison du relax</v>
      </c>
    </row>
    <row r="219">
      <c r="A219" s="38" t="str">
        <f>IFERROR(__xludf.DUMMYFUNCTION("""COMPUTED_VALUE"""),"Maison Gilles")</f>
        <v>Maison Gilles</v>
      </c>
    </row>
    <row r="220">
      <c r="A220" s="38" t="str">
        <f>IFERROR(__xludf.DUMMYFUNCTION("""COMPUTED_VALUE"""),"Majesty Wood")</f>
        <v>Majesty Wood</v>
      </c>
    </row>
    <row r="221">
      <c r="A221" s="38" t="str">
        <f>IFERROR(__xludf.DUMMYFUNCTION("""COMPUTED_VALUE"""),"Majois")</f>
        <v>Majois</v>
      </c>
    </row>
    <row r="222">
      <c r="A222" s="38" t="str">
        <f>IFERROR(__xludf.DUMMYFUNCTION("""COMPUTED_VALUE"""),"Marco Magazzino")</f>
        <v>Marco Magazzino</v>
      </c>
    </row>
    <row r="223">
      <c r="A223" s="38" t="str">
        <f>IFERROR(__xludf.DUMMYFUNCTION("""COMPUTED_VALUE"""),"Marneffe Immobilière")</f>
        <v>Marneffe Immobilière</v>
      </c>
    </row>
    <row r="224">
      <c r="A224" s="38" t="str">
        <f>IFERROR(__xludf.DUMMYFUNCTION("""COMPUTED_VALUE"""),"Matexi")</f>
        <v>Matexi</v>
      </c>
    </row>
    <row r="225">
      <c r="A225" s="38" t="str">
        <f>IFERROR(__xludf.DUMMYFUNCTION("""COMPUTED_VALUE"""),"Mazzoni")</f>
        <v>Mazzoni</v>
      </c>
    </row>
    <row r="226">
      <c r="A226" s="38" t="str">
        <f>IFERROR(__xludf.DUMMYFUNCTION("""COMPUTED_VALUE"""),"McDonalds Corbais")</f>
        <v>McDonalds Corbais</v>
      </c>
    </row>
    <row r="227">
      <c r="A227" s="38" t="str">
        <f>IFERROR(__xludf.DUMMYFUNCTION("""COMPUTED_VALUE"""),"McDonalds Gembloux")</f>
        <v>McDonalds Gembloux</v>
      </c>
    </row>
    <row r="228">
      <c r="A228" s="38" t="str">
        <f>IFERROR(__xludf.DUMMYFUNCTION("""COMPUTED_VALUE"""),"Media See")</f>
        <v>Media See</v>
      </c>
    </row>
    <row r="229">
      <c r="A229" s="38" t="str">
        <f>IFERROR(__xludf.DUMMYFUNCTION("""COMPUTED_VALUE"""),"Meubles Rigaux")</f>
        <v>Meubles Rigaux</v>
      </c>
    </row>
    <row r="230">
      <c r="A230" s="38" t="str">
        <f>IFERROR(__xludf.DUMMYFUNCTION("""COMPUTED_VALUE"""),"Michael Mazuin")</f>
        <v>Michael Mazuin</v>
      </c>
    </row>
    <row r="231">
      <c r="A231" s="38" t="str">
        <f>IFERROR(__xludf.DUMMYFUNCTION("""COMPUTED_VALUE"""),"Mobalpa Marche")</f>
        <v>Mobalpa Marche</v>
      </c>
    </row>
    <row r="232">
      <c r="A232" s="38" t="str">
        <f>IFERROR(__xludf.DUMMYFUNCTION("""COMPUTED_VALUE"""),"Mobalpa Waremme")</f>
        <v>Mobalpa Waremme</v>
      </c>
    </row>
    <row r="233">
      <c r="A233" s="38" t="str">
        <f>IFERROR(__xludf.DUMMYFUNCTION("""COMPUTED_VALUE"""),"Mobalpa wierde")</f>
        <v>Mobalpa wierde</v>
      </c>
    </row>
    <row r="234">
      <c r="A234" s="38" t="str">
        <f>IFERROR(__xludf.DUMMYFUNCTION("""COMPUTED_VALUE"""),"Mr Bricolage")</f>
        <v>Mr Bricolage</v>
      </c>
    </row>
    <row r="235">
      <c r="A235" s="38" t="str">
        <f>IFERROR(__xludf.DUMMYFUNCTION("""COMPUTED_VALUE"""),"Multiwex")</f>
        <v>Multiwex</v>
      </c>
    </row>
    <row r="236">
      <c r="A236" s="38" t="str">
        <f>IFERROR(__xludf.DUMMYFUNCTION("""COMPUTED_VALUE"""),"Mur-Mur")</f>
        <v>Mur-Mur</v>
      </c>
    </row>
    <row r="237">
      <c r="A237" s="38" t="str">
        <f>IFERROR(__xludf.DUMMYFUNCTION("""COMPUTED_VALUE"""),"Nadège Coiffure")</f>
        <v>Nadège Coiffure</v>
      </c>
    </row>
    <row r="238">
      <c r="A238" s="38" t="str">
        <f>IFERROR(__xludf.DUMMYFUNCTION("""COMPUTED_VALUE"""),"NAM Property")</f>
        <v>NAM Property</v>
      </c>
    </row>
    <row r="239">
      <c r="A239" s="38" t="str">
        <f>IFERROR(__xludf.DUMMYFUNCTION("""COMPUTED_VALUE"""),"Naturpark Sur")</f>
        <v>Naturpark Sur</v>
      </c>
    </row>
    <row r="240">
      <c r="A240" s="38" t="str">
        <f>IFERROR(__xludf.DUMMYFUNCTION("""COMPUTED_VALUE"""),"New Teck")</f>
        <v>New Teck</v>
      </c>
    </row>
    <row r="241">
      <c r="A241" s="38" t="str">
        <f>IFERROR(__xludf.DUMMYFUNCTION("""COMPUTED_VALUE"""),"Nido Concept")</f>
        <v>Nido Concept</v>
      </c>
    </row>
    <row r="242">
      <c r="A242" s="38" t="str">
        <f>IFERROR(__xludf.DUMMYFUNCTION("""COMPUTED_VALUE"""),"Nomade Motorhomes")</f>
        <v>Nomade Motorhomes</v>
      </c>
    </row>
    <row r="243">
      <c r="A243" s="38" t="str">
        <f>IFERROR(__xludf.DUMMYFUNCTION("""COMPUTED_VALUE"""),"Nr gie")</f>
        <v>Nr gie</v>
      </c>
    </row>
    <row r="244">
      <c r="A244" s="38" t="str">
        <f>IFERROR(__xludf.DUMMYFUNCTION("""COMPUTED_VALUE"""),"Occasion du Condroz")</f>
        <v>Occasion du Condroz</v>
      </c>
    </row>
    <row r="245">
      <c r="A245" s="38" t="str">
        <f>IFERROR(__xludf.DUMMYFUNCTION("""COMPUTED_VALUE"""),"OGBL")</f>
        <v>OGBL</v>
      </c>
    </row>
    <row r="246">
      <c r="A246" s="38" t="str">
        <f>IFERROR(__xludf.DUMMYFUNCTION("""COMPUTED_VALUE"""),"Onie")</f>
        <v>Onie</v>
      </c>
    </row>
    <row r="247">
      <c r="A247" s="38" t="str">
        <f>IFERROR(__xludf.DUMMYFUNCTION("""COMPUTED_VALUE"""),"Optic &amp; vous")</f>
        <v>Optic &amp; vous</v>
      </c>
    </row>
    <row r="248">
      <c r="A248" s="38" t="str">
        <f>IFERROR(__xludf.DUMMYFUNCTION("""COMPUTED_VALUE"""),"Optic-crombag")</f>
        <v>Optic-crombag</v>
      </c>
    </row>
    <row r="249">
      <c r="A249" s="38" t="str">
        <f>IFERROR(__xludf.DUMMYFUNCTION("""COMPUTED_VALUE"""),"Optique Mauën")</f>
        <v>Optique Mauën</v>
      </c>
    </row>
    <row r="250">
      <c r="A250" s="38" t="str">
        <f>IFERROR(__xludf.DUMMYFUNCTION("""COMPUTED_VALUE"""),"Oscar")</f>
        <v>Oscar</v>
      </c>
    </row>
    <row r="251">
      <c r="A251" s="38" t="str">
        <f>IFERROR(__xludf.DUMMYFUNCTION("""COMPUTED_VALUE"""),"OVI Services")</f>
        <v>OVI Services</v>
      </c>
    </row>
    <row r="252">
      <c r="A252" s="38" t="str">
        <f>IFERROR(__xludf.DUMMYFUNCTION("""COMPUTED_VALUE"""),"Pachapapa")</f>
        <v>Pachapapa</v>
      </c>
    </row>
    <row r="253">
      <c r="A253" s="38" t="str">
        <f>IFERROR(__xludf.DUMMYFUNCTION("""COMPUTED_VALUE"""),"Palate")</f>
        <v>Palate</v>
      </c>
    </row>
    <row r="254">
      <c r="A254" s="38" t="str">
        <f>IFERROR(__xludf.DUMMYFUNCTION("""COMPUTED_VALUE"""),"Parallèle")</f>
        <v>Parallèle</v>
      </c>
    </row>
    <row r="255">
      <c r="A255" s="38" t="str">
        <f>IFERROR(__xludf.DUMMYFUNCTION("""COMPUTED_VALUE"""),"Pessleux")</f>
        <v>Pessleux</v>
      </c>
    </row>
    <row r="256">
      <c r="A256" s="38" t="str">
        <f>IFERROR(__xludf.DUMMYFUNCTION("""COMPUTED_VALUE"""),"Pierre Marlair")</f>
        <v>Pierre Marlair</v>
      </c>
    </row>
    <row r="257">
      <c r="A257" s="38" t="str">
        <f>IFERROR(__xludf.DUMMYFUNCTION("""COMPUTED_VALUE"""),"Piragri")</f>
        <v>Piragri</v>
      </c>
    </row>
    <row r="258">
      <c r="A258" s="38" t="str">
        <f>IFERROR(__xludf.DUMMYFUNCTION("""COMPUTED_VALUE"""),"Piron")</f>
        <v>Piron</v>
      </c>
    </row>
    <row r="259">
      <c r="A259" s="38" t="str">
        <f>IFERROR(__xludf.DUMMYFUNCTION("""COMPUTED_VALUE"""),"Pirouette")</f>
        <v>Pirouette</v>
      </c>
    </row>
    <row r="260">
      <c r="A260" s="38" t="str">
        <f>IFERROR(__xludf.DUMMYFUNCTION("""COMPUTED_VALUE"""),"Piscinat")</f>
        <v>Piscinat</v>
      </c>
    </row>
    <row r="261">
      <c r="A261" s="38" t="str">
        <f>IFERROR(__xludf.DUMMYFUNCTION("""COMPUTED_VALUE"""),"Pitchpin")</f>
        <v>Pitchpin</v>
      </c>
    </row>
    <row r="262">
      <c r="A262" s="38" t="str">
        <f>IFERROR(__xludf.DUMMYFUNCTION("""COMPUTED_VALUE"""),"Plopsa Coo")</f>
        <v>Plopsa Coo</v>
      </c>
    </row>
    <row r="263">
      <c r="A263" s="38" t="str">
        <f>IFERROR(__xludf.DUMMYFUNCTION("""COMPUTED_VALUE"""),"Plumart")</f>
        <v>Plumart</v>
      </c>
    </row>
    <row r="264">
      <c r="A264" s="38" t="str">
        <f>IFERROR(__xludf.DUMMYFUNCTION("""COMPUTED_VALUE"""),"Poils &amp; Plumes Ciney")</f>
        <v>Poils &amp; Plumes Ciney</v>
      </c>
    </row>
    <row r="265">
      <c r="A265" s="38" t="str">
        <f>IFERROR(__xludf.DUMMYFUNCTION("""COMPUTED_VALUE"""),"Poils &amp; Plumes Dinant")</f>
        <v>Poils &amp; Plumes Dinant</v>
      </c>
    </row>
    <row r="266">
      <c r="A266" s="38" t="str">
        <f>IFERROR(__xludf.DUMMYFUNCTION("""COMPUTED_VALUE"""),"Poils &amp; Plumes Flawinne")</f>
        <v>Poils &amp; Plumes Flawinne</v>
      </c>
    </row>
    <row r="267">
      <c r="A267" s="38" t="str">
        <f>IFERROR(__xludf.DUMMYFUNCTION("""COMPUTED_VALUE"""),"Poils &amp; Plumes Rochefort")</f>
        <v>Poils &amp; Plumes Rochefort</v>
      </c>
    </row>
    <row r="268">
      <c r="A268" s="38" t="str">
        <f>IFERROR(__xludf.DUMMYFUNCTION("""COMPUTED_VALUE"""),"Point Carré - Val de Brey")</f>
        <v>Point Carré - Val de Brey</v>
      </c>
    </row>
    <row r="269">
      <c r="A269" s="38" t="str">
        <f>IFERROR(__xludf.DUMMYFUNCTION("""COMPUTED_VALUE"""),"Polarsun")</f>
        <v>Polarsun</v>
      </c>
    </row>
    <row r="270">
      <c r="A270" s="38" t="str">
        <f>IFERROR(__xludf.DUMMYFUNCTION("""COMPUTED_VALUE"""),"Promimo")</f>
        <v>Promimo</v>
      </c>
    </row>
    <row r="271">
      <c r="A271" s="38" t="str">
        <f>IFERROR(__xludf.DUMMYFUNCTION("""COMPUTED_VALUE"""),"Promo sport")</f>
        <v>Promo sport</v>
      </c>
    </row>
    <row r="272">
      <c r="A272" s="38" t="str">
        <f>IFERROR(__xludf.DUMMYFUNCTION("""COMPUTED_VALUE"""),"Proximed")</f>
        <v>Proximed</v>
      </c>
    </row>
    <row r="273">
      <c r="A273" s="38" t="str">
        <f>IFERROR(__xludf.DUMMYFUNCTION("""COMPUTED_VALUE"""),"PT Festival")</f>
        <v>PT Festival</v>
      </c>
    </row>
    <row r="274">
      <c r="A274" s="38" t="str">
        <f>IFERROR(__xludf.DUMMYFUNCTION("""COMPUTED_VALUE"""),"Puissant&amp;Co")</f>
        <v>Puissant&amp;Co</v>
      </c>
    </row>
    <row r="275">
      <c r="A275" s="38" t="str">
        <f>IFERROR(__xludf.DUMMYFUNCTION("""COMPUTED_VALUE"""),"PV Assurance Hesbaye")</f>
        <v>PV Assurance Hesbaye</v>
      </c>
    </row>
    <row r="276">
      <c r="A276" s="38" t="str">
        <f>IFERROR(__xludf.DUMMYFUNCTION("""COMPUTED_VALUE"""),"Q-outlet")</f>
        <v>Q-outlet</v>
      </c>
    </row>
    <row r="277">
      <c r="A277" s="38" t="str">
        <f>IFERROR(__xludf.DUMMYFUNCTION("""COMPUTED_VALUE"""),"Quadrus")</f>
        <v>Quadrus</v>
      </c>
    </row>
    <row r="278">
      <c r="A278" s="38" t="str">
        <f>IFERROR(__xludf.DUMMYFUNCTION("""COMPUTED_VALUE"""),"Raxhon")</f>
        <v>Raxhon</v>
      </c>
    </row>
    <row r="279">
      <c r="A279" s="38" t="str">
        <f>IFERROR(__xludf.DUMMYFUNCTION("""COMPUTED_VALUE"""),"Reno-Paints")</f>
        <v>Reno-Paints</v>
      </c>
    </row>
    <row r="280">
      <c r="A280" s="38" t="str">
        <f>IFERROR(__xludf.DUMMYFUNCTION("""COMPUTED_VALUE"""),"Rénovéranda")</f>
        <v>Rénovéranda</v>
      </c>
    </row>
    <row r="281">
      <c r="A281" s="38" t="str">
        <f>IFERROR(__xludf.DUMMYFUNCTION("""COMPUTED_VALUE"""),"Rombach Martelange")</f>
        <v>Rombach Martelange</v>
      </c>
    </row>
    <row r="282">
      <c r="A282" s="38" t="str">
        <f>IFERROR(__xludf.DUMMYFUNCTION("""COMPUTED_VALUE"""),"Rugamba")</f>
        <v>Rugamba</v>
      </c>
    </row>
    <row r="283">
      <c r="A283" s="38" t="str">
        <f>IFERROR(__xludf.DUMMYFUNCTION("""COMPUTED_VALUE"""),"Saint-Quentin EPASC")</f>
        <v>Saint-Quentin EPASC</v>
      </c>
    </row>
    <row r="284">
      <c r="A284" s="38" t="str">
        <f>IFERROR(__xludf.DUMMYFUNCTION("""COMPUTED_VALUE"""),"Saisei")</f>
        <v>Saisei</v>
      </c>
    </row>
    <row r="285">
      <c r="A285" s="38" t="str">
        <f>IFERROR(__xludf.DUMMYFUNCTION("""COMPUTED_VALUE"""),"Saitta Cycles ")</f>
        <v>Saitta Cycles </v>
      </c>
    </row>
    <row r="286">
      <c r="A286" s="38" t="str">
        <f>IFERROR(__xludf.DUMMYFUNCTION("""COMPUTED_VALUE"""),"San Mazuin")</f>
        <v>San Mazuin</v>
      </c>
    </row>
    <row r="287">
      <c r="A287" s="38" t="str">
        <f>IFERROR(__xludf.DUMMYFUNCTION("""COMPUTED_VALUE"""),"Sapigrange")</f>
        <v>Sapigrange</v>
      </c>
    </row>
    <row r="288">
      <c r="A288" s="38" t="str">
        <f>IFERROR(__xludf.DUMMYFUNCTION("""COMPUTED_VALUE"""),"Schmidt cuisines")</f>
        <v>Schmidt cuisines</v>
      </c>
    </row>
    <row r="289">
      <c r="A289" s="38" t="str">
        <f>IFERROR(__xludf.DUMMYFUNCTION("""COMPUTED_VALUE"""),"Sensation ô")</f>
        <v>Sensation ô</v>
      </c>
    </row>
    <row r="290">
      <c r="A290" s="38" t="str">
        <f>IFERROR(__xludf.DUMMYFUNCTION("""COMPUTED_VALUE"""),"Séos")</f>
        <v>Séos</v>
      </c>
    </row>
    <row r="291">
      <c r="A291" s="38" t="str">
        <f>IFERROR(__xludf.DUMMYFUNCTION("""COMPUTED_VALUE"""),"Serrurerie Roba")</f>
        <v>Serrurerie Roba</v>
      </c>
    </row>
    <row r="292">
      <c r="A292" s="38" t="str">
        <f>IFERROR(__xludf.DUMMYFUNCTION("""COMPUTED_VALUE"""),"Servalux ")</f>
        <v>Servalux </v>
      </c>
    </row>
    <row r="293">
      <c r="A293" s="38" t="str">
        <f>IFERROR(__xludf.DUMMYFUNCTION("""COMPUTED_VALUE"""),"Service immobilier")</f>
        <v>Service immobilier</v>
      </c>
    </row>
    <row r="294">
      <c r="A294" s="38" t="str">
        <f>IFERROR(__xludf.DUMMYFUNCTION("""COMPUTED_VALUE"""),"Servipools")</f>
        <v>Servipools</v>
      </c>
    </row>
    <row r="295">
      <c r="A295" s="38" t="str">
        <f>IFERROR(__xludf.DUMMYFUNCTION("""COMPUTED_VALUE"""),"Silicon Brain")</f>
        <v>Silicon Brain</v>
      </c>
    </row>
    <row r="296">
      <c r="A296" s="38" t="str">
        <f>IFERROR(__xludf.DUMMYFUNCTION("""COMPUTED_VALUE"""),"Sly Invest ")</f>
        <v>Sly Invest </v>
      </c>
    </row>
    <row r="297">
      <c r="A297" s="38" t="str">
        <f>IFERROR(__xludf.DUMMYFUNCTION("""COMPUTED_VALUE"""),"Smile")</f>
        <v>Smile</v>
      </c>
    </row>
    <row r="298">
      <c r="A298" s="38" t="str">
        <f>IFERROR(__xludf.DUMMYFUNCTION("""COMPUTED_VALUE"""),"Solar Engineering")</f>
        <v>Solar Engineering</v>
      </c>
    </row>
    <row r="299">
      <c r="A299" s="38" t="str">
        <f>IFERROR(__xludf.DUMMYFUNCTION("""COMPUTED_VALUE"""),"Solarnest")</f>
        <v>Solarnest</v>
      </c>
    </row>
    <row r="300">
      <c r="A300" s="38" t="str">
        <f>IFERROR(__xludf.DUMMYFUNCTION("""COMPUTED_VALUE"""),"Solidarités")</f>
        <v>Solidarités</v>
      </c>
    </row>
    <row r="301">
      <c r="A301" s="38" t="str">
        <f>IFERROR(__xludf.DUMMYFUNCTION("""COMPUTED_VALUE"""),"Spa Asia")</f>
        <v>Spa Asia</v>
      </c>
    </row>
    <row r="302">
      <c r="A302" s="38" t="str">
        <f>IFERROR(__xludf.DUMMYFUNCTION("""COMPUTED_VALUE"""),"Spa Italia")</f>
        <v>Spa Italia</v>
      </c>
    </row>
    <row r="303">
      <c r="A303" s="38" t="str">
        <f>IFERROR(__xludf.DUMMYFUNCTION("""COMPUTED_VALUE"""),"Spa Rally")</f>
        <v>Spa Rally</v>
      </c>
    </row>
    <row r="304">
      <c r="A304" s="38" t="str">
        <f>IFERROR(__xludf.DUMMYFUNCTION("""COMPUTED_VALUE"""),"Sport Vital")</f>
        <v>Sport Vital</v>
      </c>
    </row>
    <row r="305">
      <c r="A305" s="38" t="str">
        <f>IFERROR(__xludf.DUMMYFUNCTION("""COMPUTED_VALUE"""),"Station Welcom")</f>
        <v>Station Welcom</v>
      </c>
    </row>
    <row r="306">
      <c r="A306" s="38" t="str">
        <f>IFERROR(__xludf.DUMMYFUNCTION("""COMPUTED_VALUE"""),"Steveny")</f>
        <v>Steveny</v>
      </c>
    </row>
    <row r="307">
      <c r="A307" s="38" t="str">
        <f>IFERROR(__xludf.DUMMYFUNCTION("""COMPUTED_VALUE"""),"Tao")</f>
        <v>Tao</v>
      </c>
    </row>
    <row r="308">
      <c r="A308" s="38" t="str">
        <f>IFERROR(__xludf.DUMMYFUNCTION("""COMPUTED_VALUE"""),"Terrasses du Prince")</f>
        <v>Terrasses du Prince</v>
      </c>
    </row>
    <row r="309">
      <c r="A309" s="38" t="str">
        <f>IFERROR(__xludf.DUMMYFUNCTION("""COMPUTED_VALUE"""),"Test")</f>
        <v>Test</v>
      </c>
    </row>
    <row r="310">
      <c r="A310" s="38" t="str">
        <f>IFERROR(__xludf.DUMMYFUNCTION("""COMPUTED_VALUE"""),"The New Artists")</f>
        <v>The New Artists</v>
      </c>
    </row>
    <row r="311">
      <c r="A311" s="38" t="str">
        <f>IFERROR(__xludf.DUMMYFUNCTION("""COMPUTED_VALUE"""),"The Red Room")</f>
        <v>The Red Room</v>
      </c>
    </row>
    <row r="312">
      <c r="A312" s="38" t="str">
        <f>IFERROR(__xludf.DUMMYFUNCTION("""COMPUTED_VALUE"""),"Thomas et Piron")</f>
        <v>Thomas et Piron</v>
      </c>
    </row>
    <row r="313">
      <c r="A313" s="38" t="str">
        <f>IFERROR(__xludf.DUMMYFUNCTION("""COMPUTED_VALUE"""),"Tom &amp; Co Eghezee")</f>
        <v>Tom &amp; Co Eghezee</v>
      </c>
    </row>
    <row r="314">
      <c r="A314" s="38" t="str">
        <f>IFERROR(__xludf.DUMMYFUNCTION("""COMPUTED_VALUE"""),"Tonton tapis")</f>
        <v>Tonton tapis</v>
      </c>
    </row>
    <row r="315">
      <c r="A315" s="38" t="str">
        <f>IFERROR(__xludf.DUMMYFUNCTION("""COMPUTED_VALUE"""),"Tournesols")</f>
        <v>Tournesols</v>
      </c>
    </row>
    <row r="316">
      <c r="A316" s="38" t="str">
        <f>IFERROR(__xludf.DUMMYFUNCTION("""COMPUTED_VALUE"""),"Tout Faire Polissou")</f>
        <v>Tout Faire Polissou</v>
      </c>
    </row>
    <row r="317">
      <c r="A317" s="38" t="str">
        <f>IFERROR(__xludf.DUMMYFUNCTION("""COMPUTED_VALUE"""),"Traffic")</f>
        <v>Traffic</v>
      </c>
    </row>
    <row r="318">
      <c r="A318" s="38" t="str">
        <f>IFERROR(__xludf.DUMMYFUNCTION("""COMPUTED_VALUE"""),"Urbaine")</f>
        <v>Urbaine</v>
      </c>
    </row>
    <row r="319">
      <c r="A319" s="38" t="str">
        <f>IFERROR(__xludf.DUMMYFUNCTION("""COMPUTED_VALUE"""),"Usico")</f>
        <v>Usico</v>
      </c>
    </row>
    <row r="320">
      <c r="A320" s="38" t="str">
        <f>IFERROR(__xludf.DUMMYFUNCTION("""COMPUTED_VALUE"""),"Vanylle")</f>
        <v>Vanylle</v>
      </c>
    </row>
    <row r="321">
      <c r="A321" s="38" t="str">
        <f>IFERROR(__xludf.DUMMYFUNCTION("""COMPUTED_VALUE"""),"Vausort BUREAU")</f>
        <v>Vausort BUREAU</v>
      </c>
    </row>
    <row r="322">
      <c r="A322" s="38" t="str">
        <f>IFERROR(__xludf.DUMMYFUNCTION("""COMPUTED_VALUE"""),"Vausort Immobilier")</f>
        <v>Vausort Immobilier</v>
      </c>
    </row>
    <row r="323">
      <c r="A323" s="38" t="str">
        <f>IFERROR(__xludf.DUMMYFUNCTION("""COMPUTED_VALUE"""),"Vétos d'urgence")</f>
        <v>Vétos d'urgence</v>
      </c>
    </row>
    <row r="324">
      <c r="A324" s="38" t="str">
        <f>IFERROR(__xludf.DUMMYFUNCTION("""COMPUTED_VALUE"""),"VHC")</f>
        <v>VHC</v>
      </c>
    </row>
    <row r="325">
      <c r="A325" s="38" t="str">
        <f>IFERROR(__xludf.DUMMYFUNCTION("""COMPUTED_VALUE"""),"Vidange Inter")</f>
        <v>Vidange Inter</v>
      </c>
    </row>
    <row r="326">
      <c r="A326" s="38" t="str">
        <f>IFERROR(__xludf.DUMMYFUNCTION("""COMPUTED_VALUE"""),"VISITWallonia")</f>
        <v>VISITWallonia</v>
      </c>
    </row>
    <row r="327">
      <c r="A327" s="38" t="str">
        <f>IFERROR(__xludf.DUMMYFUNCTION("""COMPUTED_VALUE"""),"Waterair")</f>
        <v>Waterair</v>
      </c>
    </row>
    <row r="328">
      <c r="A328" s="38" t="str">
        <f>IFERROR(__xludf.DUMMYFUNCTION("""COMPUTED_VALUE"""),"Waterloo")</f>
        <v>Waterloo</v>
      </c>
    </row>
    <row r="329">
      <c r="A329" s="38" t="str">
        <f>IFERROR(__xludf.DUMMYFUNCTION("""COMPUTED_VALUE"""),"Watt4U")</f>
        <v>Watt4U</v>
      </c>
    </row>
    <row r="330">
      <c r="A330" s="38" t="str">
        <f>IFERROR(__xludf.DUMMYFUNCTION("""COMPUTED_VALUE"""),"Wondery Park")</f>
        <v>Wondery Park</v>
      </c>
    </row>
    <row r="331">
      <c r="A331" s="38" t="str">
        <f>IFERROR(__xludf.DUMMYFUNCTION("""COMPUTED_VALUE"""),"Yourfire")</f>
        <v>Yourfire</v>
      </c>
    </row>
    <row r="332">
      <c r="A332" s="38" t="str">
        <f>IFERROR(__xludf.DUMMYFUNCTION("""COMPUTED_VALUE"""),"Zénitude Wellness")</f>
        <v>Zénitude Wellness</v>
      </c>
    </row>
    <row r="333">
      <c r="A333" s="38" t="str">
        <f>IFERROR(__xludf.DUMMYFUNCTION("""COMPUTED_VALUE"""),"Zone Sport")</f>
        <v>Zone Sport</v>
      </c>
    </row>
    <row r="334">
      <c r="A334" s="38" t="str">
        <f>IFERROR(__xludf.DUMMYFUNCTION("""COMPUTED_VALUE"""),"Zoning Dinant en fête")</f>
        <v>Zoning Dinant en fête</v>
      </c>
    </row>
    <row r="335">
      <c r="A335" s="38" t="str">
        <f>IFERROR(__xludf.DUMMYFUNCTION("""COMPUTED_VALUE"""),"Zuco")</f>
        <v>Zuco</v>
      </c>
    </row>
    <row r="336">
      <c r="A336" s="38" t="str">
        <f>IFERROR(__xludf.DUMMYFUNCTION("""COMPUTED_VALUE"""),"Christophe Charlet")</f>
        <v>Christophe Charlet</v>
      </c>
    </row>
    <row r="337">
      <c r="A337" s="38" t="str">
        <f>IFERROR(__xludf.DUMMYFUNCTION("""COMPUTED_VALUE"""),"Intermarché Ciney")</f>
        <v>Intermarché Ciney</v>
      </c>
    </row>
    <row r="338">
      <c r="A338" s="38" t="str">
        <f>IFERROR(__xludf.DUMMYFUNCTION("""COMPUTED_VALUE"""),"Carbelle")</f>
        <v>Carbelle</v>
      </c>
    </row>
    <row r="339">
      <c r="A339" s="38" t="str">
        <f>IFERROR(__xludf.DUMMYFUNCTION("""COMPUTED_VALUE"""),"Aterno")</f>
        <v>Aterno</v>
      </c>
    </row>
    <row r="340">
      <c r="A340" s="38" t="str">
        <f>IFERROR(__xludf.DUMMYFUNCTION("""COMPUTED_VALUE"""),"ADSL")</f>
        <v>ADSL</v>
      </c>
    </row>
    <row r="341">
      <c r="A341" s="38" t="str">
        <f>IFERROR(__xludf.DUMMYFUNCTION("""COMPUTED_VALUE"""),"Chris Home Berangère")</f>
        <v>Chris Home Berangère</v>
      </c>
    </row>
    <row r="342">
      <c r="A342" s="38" t="str">
        <f>IFERROR(__xludf.DUMMYFUNCTION("""COMPUTED_VALUE"""),"Chris Home Jessica")</f>
        <v>Chris Home Jessica</v>
      </c>
    </row>
    <row r="343">
      <c r="A343" s="38" t="str">
        <f>IFERROR(__xludf.DUMMYFUNCTION("""COMPUTED_VALUE"""),"BOA")</f>
        <v>BOA</v>
      </c>
    </row>
    <row r="344">
      <c r="A344" s="38" t="str">
        <f>IFERROR(__xludf.DUMMYFUNCTION("""COMPUTED_VALUE"""),"Krys Hannut")</f>
        <v>Krys Hannut</v>
      </c>
    </row>
    <row r="345">
      <c r="A345" s="38" t="str">
        <f>IFERROR(__xludf.DUMMYFUNCTION("""COMPUTED_VALUE"""),"Decorex")</f>
        <v>Decorex</v>
      </c>
    </row>
    <row r="346">
      <c r="A346" s="38" t="str">
        <f>IFERROR(__xludf.DUMMYFUNCTION("""COMPUTED_VALUE"""),"Ville de Namur")</f>
        <v>Ville de Namur</v>
      </c>
    </row>
    <row r="347">
      <c r="A347" s="38" t="str">
        <f>IFERROR(__xludf.DUMMYFUNCTION("""COMPUTED_VALUE"""),"IND Fleurus")</f>
        <v>IND Fleurus</v>
      </c>
    </row>
    <row r="348">
      <c r="A348" s="38" t="str">
        <f>IFERROR(__xludf.DUMMYFUNCTION("""COMPUTED_VALUE"""),"AWSR")</f>
        <v>AWSR</v>
      </c>
    </row>
    <row r="349">
      <c r="A349" s="38" t="str">
        <f>IFERROR(__xludf.DUMMYFUNCTION("""COMPUTED_VALUE"""),"JDW")</f>
        <v>JDW</v>
      </c>
    </row>
    <row r="350">
      <c r="A350" s="38" t="str">
        <f>IFERROR(__xludf.DUMMYFUNCTION("""COMPUTED_VALUE"""),"SPAR")</f>
        <v>SPAR</v>
      </c>
    </row>
    <row r="351">
      <c r="A351" s="38" t="str">
        <f>IFERROR(__xludf.DUMMYFUNCTION("""COMPUTED_VALUE"""),"Boulangerie Tumulus")</f>
        <v>Boulangerie Tumulus</v>
      </c>
    </row>
    <row r="352">
      <c r="A352" s="38" t="str">
        <f>IFERROR(__xludf.DUMMYFUNCTION("""COMPUTED_VALUE"""),"BuidPartners")</f>
        <v>BuidPartners</v>
      </c>
    </row>
    <row r="353">
      <c r="A353" s="38" t="str">
        <f>IFERROR(__xludf.DUMMYFUNCTION("""COMPUTED_VALUE"""),"Alictivity")</f>
        <v>Alictivity</v>
      </c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13"/>
    <col customWidth="1" min="2" max="2" width="18.88"/>
    <col customWidth="1" min="3" max="3" width="35.63"/>
    <col customWidth="1" min="4" max="4" width="31.75"/>
    <col customWidth="1" min="5" max="5" width="11.88"/>
    <col customWidth="1" min="6" max="6" width="0.5"/>
    <col customWidth="1" min="7" max="7" width="0.38"/>
    <col customWidth="1" min="8" max="8" width="12.63"/>
    <col customWidth="1" min="9" max="9" width="12.13"/>
    <col customWidth="1" min="10" max="10" width="1.38"/>
    <col customWidth="1" min="11" max="11" width="14.25"/>
    <col customWidth="1" min="12" max="12" width="12.63"/>
    <col customWidth="1" min="13" max="13" width="1.38"/>
    <col customWidth="1" min="14" max="14" width="14.0"/>
    <col customWidth="1" min="15" max="15" width="12.63"/>
    <col customWidth="1" min="16" max="16" width="1.38"/>
    <col customWidth="1" min="17" max="17" width="13.88"/>
    <col customWidth="1" min="18" max="18" width="12.63"/>
    <col customWidth="1" min="19" max="19" width="1.38"/>
    <col customWidth="1" min="20" max="21" width="12.63"/>
    <col customWidth="1" min="22" max="22" width="1.38"/>
    <col customWidth="1" min="23" max="24" width="12.63"/>
    <col customWidth="1" min="25" max="25" width="1.38"/>
    <col customWidth="1" min="26" max="26" width="13.38"/>
    <col customWidth="1" min="27" max="27" width="12.63"/>
    <col customWidth="1" min="28" max="28" width="1.38"/>
    <col customWidth="1" min="29" max="30" width="12.63"/>
    <col customWidth="1" min="31" max="31" width="1.38"/>
    <col customWidth="1" min="32" max="33" width="12.63"/>
    <col customWidth="1" min="34" max="34" width="1.38"/>
    <col customWidth="1" min="35" max="36" width="12.63"/>
    <col customWidth="1" min="37" max="37" width="1.38"/>
    <col customWidth="1" min="40" max="40" width="1.38"/>
    <col customWidth="1" min="43" max="43" width="1.63"/>
  </cols>
  <sheetData>
    <row r="1">
      <c r="A1" s="173" t="s">
        <v>30</v>
      </c>
      <c r="B1" s="174">
        <v>2023.0</v>
      </c>
      <c r="C1" s="175"/>
      <c r="D1" s="175"/>
      <c r="E1" s="175"/>
      <c r="F1" s="175"/>
      <c r="G1" s="175"/>
      <c r="H1" s="176">
        <v>2023.0</v>
      </c>
      <c r="I1" s="176">
        <v>2023.0</v>
      </c>
      <c r="J1" s="175"/>
      <c r="K1" s="176">
        <v>2023.0</v>
      </c>
      <c r="L1" s="176">
        <v>2023.0</v>
      </c>
      <c r="M1" s="175"/>
      <c r="N1" s="176">
        <v>2023.0</v>
      </c>
      <c r="O1" s="176">
        <v>2023.0</v>
      </c>
      <c r="P1" s="175"/>
      <c r="Q1" s="176">
        <v>2023.0</v>
      </c>
      <c r="R1" s="176">
        <v>2023.0</v>
      </c>
      <c r="S1" s="175"/>
      <c r="T1" s="176">
        <v>2023.0</v>
      </c>
      <c r="U1" s="176">
        <v>2023.0</v>
      </c>
      <c r="V1" s="175"/>
      <c r="W1" s="176">
        <v>2023.0</v>
      </c>
      <c r="X1" s="176">
        <v>2023.0</v>
      </c>
      <c r="Y1" s="175"/>
      <c r="Z1" s="176">
        <v>2023.0</v>
      </c>
      <c r="AA1" s="176">
        <v>2023.0</v>
      </c>
      <c r="AB1" s="175"/>
      <c r="AC1" s="176">
        <v>2023.0</v>
      </c>
      <c r="AD1" s="176">
        <v>2023.0</v>
      </c>
      <c r="AE1" s="175"/>
      <c r="AF1" s="176">
        <v>2023.0</v>
      </c>
      <c r="AG1" s="176">
        <v>2023.0</v>
      </c>
      <c r="AH1" s="175"/>
      <c r="AI1" s="176">
        <v>2023.0</v>
      </c>
      <c r="AJ1" s="176">
        <v>2023.0</v>
      </c>
      <c r="AK1" s="175"/>
      <c r="AL1" s="176">
        <v>2023.0</v>
      </c>
      <c r="AM1" s="176">
        <v>2023.0</v>
      </c>
      <c r="AN1" s="175"/>
      <c r="AO1" s="176">
        <v>2023.0</v>
      </c>
      <c r="AP1" s="176">
        <v>2023.0</v>
      </c>
      <c r="AQ1" s="177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</row>
    <row r="2">
      <c r="A2" s="36"/>
      <c r="B2" s="36"/>
      <c r="C2" s="42"/>
      <c r="D2" s="42"/>
      <c r="E2" s="178"/>
      <c r="F2" s="179"/>
      <c r="G2" s="38"/>
      <c r="H2" s="180" t="s">
        <v>6</v>
      </c>
      <c r="I2" s="180" t="s">
        <v>9</v>
      </c>
      <c r="J2" s="181"/>
      <c r="K2" s="180" t="s">
        <v>6</v>
      </c>
      <c r="L2" s="180" t="s">
        <v>9</v>
      </c>
      <c r="M2" s="181"/>
      <c r="N2" s="180" t="s">
        <v>6</v>
      </c>
      <c r="O2" s="180" t="s">
        <v>9</v>
      </c>
      <c r="P2" s="181"/>
      <c r="Q2" s="180" t="s">
        <v>6</v>
      </c>
      <c r="R2" s="180" t="s">
        <v>9</v>
      </c>
      <c r="S2" s="181"/>
      <c r="T2" s="180" t="s">
        <v>6</v>
      </c>
      <c r="U2" s="180" t="s">
        <v>9</v>
      </c>
      <c r="V2" s="181"/>
      <c r="W2" s="180" t="s">
        <v>6</v>
      </c>
      <c r="X2" s="180" t="s">
        <v>9</v>
      </c>
      <c r="Y2" s="181"/>
      <c r="Z2" s="180" t="s">
        <v>6</v>
      </c>
      <c r="AA2" s="180" t="s">
        <v>9</v>
      </c>
      <c r="AB2" s="181"/>
      <c r="AC2" s="180" t="s">
        <v>6</v>
      </c>
      <c r="AD2" s="180" t="s">
        <v>9</v>
      </c>
      <c r="AE2" s="181"/>
      <c r="AF2" s="180" t="s">
        <v>6</v>
      </c>
      <c r="AG2" s="180" t="s">
        <v>9</v>
      </c>
      <c r="AH2" s="181"/>
      <c r="AI2" s="180" t="s">
        <v>6</v>
      </c>
      <c r="AJ2" s="180" t="s">
        <v>9</v>
      </c>
      <c r="AK2" s="181"/>
      <c r="AL2" s="180" t="s">
        <v>6</v>
      </c>
      <c r="AM2" s="180" t="s">
        <v>9</v>
      </c>
      <c r="AN2" s="181"/>
      <c r="AO2" s="180" t="s">
        <v>6</v>
      </c>
      <c r="AP2" s="38" t="s">
        <v>9</v>
      </c>
      <c r="AQ2" s="177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</row>
    <row r="3">
      <c r="A3" s="183"/>
      <c r="B3" s="183" t="s">
        <v>31</v>
      </c>
      <c r="C3" s="184" t="s">
        <v>32</v>
      </c>
      <c r="D3" s="184" t="s">
        <v>33</v>
      </c>
      <c r="E3" s="185"/>
      <c r="F3" s="177"/>
      <c r="H3" s="186" t="s">
        <v>2</v>
      </c>
      <c r="I3" s="186" t="s">
        <v>2</v>
      </c>
      <c r="J3" s="187"/>
      <c r="K3" s="188" t="s">
        <v>34</v>
      </c>
      <c r="L3" s="188" t="s">
        <v>34</v>
      </c>
      <c r="M3" s="187"/>
      <c r="N3" s="186" t="s">
        <v>5</v>
      </c>
      <c r="O3" s="186" t="s">
        <v>5</v>
      </c>
      <c r="P3" s="187"/>
      <c r="Q3" s="188" t="s">
        <v>7</v>
      </c>
      <c r="R3" s="188" t="s">
        <v>7</v>
      </c>
      <c r="S3" s="187"/>
      <c r="T3" s="189" t="s">
        <v>8</v>
      </c>
      <c r="U3" s="189" t="s">
        <v>8</v>
      </c>
      <c r="V3" s="187"/>
      <c r="W3" s="188" t="s">
        <v>10</v>
      </c>
      <c r="X3" s="188" t="s">
        <v>10</v>
      </c>
      <c r="Y3" s="187"/>
      <c r="Z3" s="189" t="s">
        <v>11</v>
      </c>
      <c r="AA3" s="189" t="s">
        <v>11</v>
      </c>
      <c r="AB3" s="187"/>
      <c r="AC3" s="188" t="s">
        <v>35</v>
      </c>
      <c r="AD3" s="188" t="s">
        <v>35</v>
      </c>
      <c r="AE3" s="187"/>
      <c r="AF3" s="189" t="s">
        <v>36</v>
      </c>
      <c r="AG3" s="189" t="s">
        <v>36</v>
      </c>
      <c r="AH3" s="187"/>
      <c r="AI3" s="188" t="s">
        <v>14</v>
      </c>
      <c r="AJ3" s="188" t="s">
        <v>14</v>
      </c>
      <c r="AK3" s="187"/>
      <c r="AL3" s="189" t="s">
        <v>37</v>
      </c>
      <c r="AM3" s="189" t="s">
        <v>37</v>
      </c>
      <c r="AN3" s="187"/>
      <c r="AO3" s="188" t="s">
        <v>38</v>
      </c>
      <c r="AP3" s="191" t="s">
        <v>38</v>
      </c>
      <c r="AQ3" s="177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</row>
    <row r="4">
      <c r="A4" s="34"/>
      <c r="B4" s="34"/>
      <c r="C4" s="180"/>
      <c r="D4" s="180"/>
      <c r="E4" s="192"/>
      <c r="F4" s="181"/>
      <c r="G4" s="193"/>
      <c r="H4" s="194"/>
      <c r="I4" s="194"/>
      <c r="J4" s="181"/>
      <c r="K4" s="194"/>
      <c r="L4" s="180"/>
      <c r="M4" s="181"/>
      <c r="N4" s="180"/>
      <c r="O4" s="180"/>
      <c r="P4" s="181"/>
      <c r="Q4" s="180"/>
      <c r="R4" s="180"/>
      <c r="S4" s="181"/>
      <c r="T4" s="180"/>
      <c r="U4" s="180"/>
      <c r="V4" s="181"/>
      <c r="W4" s="180"/>
      <c r="X4" s="180"/>
      <c r="Y4" s="181"/>
      <c r="Z4" s="180"/>
      <c r="AA4" s="180"/>
      <c r="AB4" s="181"/>
      <c r="AC4" s="180"/>
      <c r="AD4" s="180"/>
      <c r="AE4" s="181"/>
      <c r="AF4" s="180"/>
      <c r="AG4" s="180"/>
      <c r="AH4" s="181"/>
      <c r="AI4" s="180"/>
      <c r="AJ4" s="180"/>
      <c r="AK4" s="181"/>
      <c r="AL4" s="180"/>
      <c r="AM4" s="180"/>
      <c r="AN4" s="181"/>
      <c r="AO4" s="180"/>
      <c r="AP4" s="38"/>
      <c r="AQ4" s="177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</row>
    <row r="5">
      <c r="A5" s="196" t="s">
        <v>39</v>
      </c>
      <c r="B5" s="197"/>
      <c r="C5" s="197"/>
      <c r="D5" s="198"/>
      <c r="E5" s="199"/>
      <c r="F5" s="177"/>
      <c r="G5" s="189"/>
      <c r="H5" s="189" t="s">
        <v>2</v>
      </c>
      <c r="I5" s="189" t="s">
        <v>2</v>
      </c>
      <c r="J5" s="187"/>
      <c r="K5" s="188" t="s">
        <v>34</v>
      </c>
      <c r="L5" s="188" t="s">
        <v>34</v>
      </c>
      <c r="M5" s="187"/>
      <c r="N5" s="189" t="s">
        <v>5</v>
      </c>
      <c r="O5" s="189" t="s">
        <v>5</v>
      </c>
      <c r="P5" s="187"/>
      <c r="Q5" s="188" t="s">
        <v>7</v>
      </c>
      <c r="R5" s="188" t="s">
        <v>7</v>
      </c>
      <c r="S5" s="187"/>
      <c r="T5" s="189" t="s">
        <v>8</v>
      </c>
      <c r="U5" s="189" t="s">
        <v>8</v>
      </c>
      <c r="V5" s="187"/>
      <c r="W5" s="188" t="s">
        <v>10</v>
      </c>
      <c r="X5" s="188" t="s">
        <v>10</v>
      </c>
      <c r="Y5" s="187"/>
      <c r="Z5" s="189" t="s">
        <v>11</v>
      </c>
      <c r="AA5" s="189" t="s">
        <v>11</v>
      </c>
      <c r="AB5" s="187"/>
      <c r="AC5" s="188" t="s">
        <v>35</v>
      </c>
      <c r="AD5" s="188" t="s">
        <v>35</v>
      </c>
      <c r="AE5" s="187"/>
      <c r="AF5" s="189" t="s">
        <v>36</v>
      </c>
      <c r="AG5" s="189" t="s">
        <v>36</v>
      </c>
      <c r="AH5" s="187"/>
      <c r="AI5" s="188" t="s">
        <v>14</v>
      </c>
      <c r="AJ5" s="188" t="s">
        <v>14</v>
      </c>
      <c r="AK5" s="187"/>
      <c r="AL5" s="189" t="s">
        <v>37</v>
      </c>
      <c r="AM5" s="189" t="s">
        <v>37</v>
      </c>
      <c r="AN5" s="187"/>
      <c r="AO5" s="188" t="s">
        <v>38</v>
      </c>
      <c r="AP5" s="191" t="s">
        <v>38</v>
      </c>
      <c r="AQ5" s="177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</row>
    <row r="6">
      <c r="A6" s="201">
        <v>101.0</v>
      </c>
      <c r="B6" s="202" t="s">
        <v>40</v>
      </c>
      <c r="C6" s="203" t="s">
        <v>41</v>
      </c>
      <c r="D6" s="204" t="s">
        <v>42</v>
      </c>
      <c r="E6" s="205"/>
      <c r="F6" s="206"/>
      <c r="G6" s="204"/>
      <c r="H6" s="207"/>
      <c r="I6" s="208"/>
      <c r="J6" s="177"/>
      <c r="K6" s="209" t="s">
        <v>43</v>
      </c>
      <c r="L6" s="207"/>
      <c r="M6" s="177"/>
      <c r="N6" s="209" t="s">
        <v>43</v>
      </c>
      <c r="P6" s="177"/>
      <c r="Q6" s="210" t="s">
        <v>44</v>
      </c>
      <c r="S6" s="177"/>
      <c r="V6" s="177"/>
      <c r="W6" s="207"/>
      <c r="Y6" s="177"/>
      <c r="Z6" s="209" t="s">
        <v>45</v>
      </c>
      <c r="AB6" s="177"/>
      <c r="AD6" s="207"/>
      <c r="AE6" s="177"/>
      <c r="AF6" s="207"/>
      <c r="AG6" s="207"/>
      <c r="AH6" s="177"/>
      <c r="AI6" s="207"/>
      <c r="AJ6" s="207"/>
      <c r="AK6" s="177"/>
      <c r="AL6" s="211" t="s">
        <v>46</v>
      </c>
      <c r="AM6" s="207"/>
      <c r="AN6" s="177"/>
      <c r="AO6" s="209" t="s">
        <v>45</v>
      </c>
      <c r="AP6" s="207"/>
      <c r="AQ6" s="177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</row>
    <row r="7">
      <c r="A7" s="201">
        <v>102.0</v>
      </c>
      <c r="B7" s="212" t="s">
        <v>47</v>
      </c>
      <c r="C7" s="204" t="s">
        <v>48</v>
      </c>
      <c r="D7" s="204" t="s">
        <v>49</v>
      </c>
      <c r="E7" s="213"/>
      <c r="F7" s="206"/>
      <c r="G7" s="209"/>
      <c r="H7" s="209" t="s">
        <v>43</v>
      </c>
      <c r="I7" s="214" t="s">
        <v>50</v>
      </c>
      <c r="J7" s="177"/>
      <c r="K7" s="215" t="s">
        <v>51</v>
      </c>
      <c r="L7" s="207"/>
      <c r="M7" s="177"/>
      <c r="N7" s="216" t="s">
        <v>52</v>
      </c>
      <c r="O7" s="217" t="s">
        <v>20</v>
      </c>
      <c r="P7" s="177"/>
      <c r="Q7" s="209" t="s">
        <v>43</v>
      </c>
      <c r="R7" s="211" t="s">
        <v>46</v>
      </c>
      <c r="S7" s="177"/>
      <c r="T7" s="215" t="s">
        <v>51</v>
      </c>
      <c r="U7" s="216" t="s">
        <v>52</v>
      </c>
      <c r="V7" s="177"/>
      <c r="W7" s="209" t="s">
        <v>45</v>
      </c>
      <c r="Y7" s="177"/>
      <c r="AA7" s="214" t="s">
        <v>50</v>
      </c>
      <c r="AB7" s="177"/>
      <c r="AC7" s="216" t="s">
        <v>52</v>
      </c>
      <c r="AD7" s="207"/>
      <c r="AE7" s="177"/>
      <c r="AF7" s="209" t="s">
        <v>45</v>
      </c>
      <c r="AG7" s="207"/>
      <c r="AH7" s="177"/>
      <c r="AI7" s="211" t="s">
        <v>46</v>
      </c>
      <c r="AJ7" s="207"/>
      <c r="AK7" s="177"/>
      <c r="AL7" s="209" t="s">
        <v>45</v>
      </c>
      <c r="AM7" s="207"/>
      <c r="AN7" s="177"/>
      <c r="AO7" s="207"/>
      <c r="AP7" s="207"/>
      <c r="AQ7" s="177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</row>
    <row r="8">
      <c r="A8" s="201">
        <v>103.0</v>
      </c>
      <c r="B8" s="218" t="s">
        <v>53</v>
      </c>
      <c r="C8" s="219" t="s">
        <v>54</v>
      </c>
      <c r="D8" s="204" t="s">
        <v>55</v>
      </c>
      <c r="E8" s="220" t="s">
        <v>56</v>
      </c>
      <c r="F8" s="206"/>
      <c r="G8" s="221"/>
      <c r="H8" s="217" t="s">
        <v>20</v>
      </c>
      <c r="I8" s="208"/>
      <c r="J8" s="177"/>
      <c r="K8" s="215" t="s">
        <v>51</v>
      </c>
      <c r="L8" s="207"/>
      <c r="M8" s="177"/>
      <c r="N8" s="216" t="s">
        <v>52</v>
      </c>
      <c r="O8" s="210" t="s">
        <v>44</v>
      </c>
      <c r="P8" s="177"/>
      <c r="Q8" s="217" t="s">
        <v>20</v>
      </c>
      <c r="R8" s="207"/>
      <c r="S8" s="177"/>
      <c r="T8" s="215" t="s">
        <v>51</v>
      </c>
      <c r="U8" s="216" t="s">
        <v>52</v>
      </c>
      <c r="V8" s="177"/>
      <c r="W8" s="222" t="s">
        <v>57</v>
      </c>
      <c r="X8" s="210" t="s">
        <v>44</v>
      </c>
      <c r="Y8" s="177"/>
      <c r="Z8" s="217" t="s">
        <v>20</v>
      </c>
      <c r="AA8" s="207"/>
      <c r="AB8" s="177"/>
      <c r="AC8" s="216" t="s">
        <v>52</v>
      </c>
      <c r="AD8" s="207"/>
      <c r="AE8" s="177"/>
      <c r="AF8" s="222" t="s">
        <v>57</v>
      </c>
      <c r="AG8" s="217" t="s">
        <v>20</v>
      </c>
      <c r="AH8" s="177"/>
      <c r="AI8" s="217" t="s">
        <v>20</v>
      </c>
      <c r="AJ8" s="207"/>
      <c r="AK8" s="177"/>
      <c r="AM8" s="217" t="s">
        <v>20</v>
      </c>
      <c r="AN8" s="177"/>
      <c r="AO8" s="217" t="s">
        <v>20</v>
      </c>
      <c r="AP8" s="207"/>
      <c r="AQ8" s="177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</row>
    <row r="9">
      <c r="A9" s="201">
        <v>104.0</v>
      </c>
      <c r="B9" s="212" t="s">
        <v>58</v>
      </c>
      <c r="C9" s="204" t="s">
        <v>59</v>
      </c>
      <c r="D9" s="204" t="s">
        <v>60</v>
      </c>
      <c r="E9" s="220" t="s">
        <v>61</v>
      </c>
      <c r="F9" s="206"/>
      <c r="G9" s="223"/>
      <c r="H9" s="224" t="s">
        <v>62</v>
      </c>
      <c r="I9" s="208"/>
      <c r="J9" s="177"/>
      <c r="K9" s="225"/>
      <c r="L9" s="207"/>
      <c r="M9" s="177"/>
      <c r="N9" s="211" t="s">
        <v>46</v>
      </c>
      <c r="O9" s="226" t="s">
        <v>63</v>
      </c>
      <c r="P9" s="177"/>
      <c r="Q9" s="227" t="s">
        <v>64</v>
      </c>
      <c r="S9" s="177"/>
      <c r="T9" s="211" t="s">
        <v>46</v>
      </c>
      <c r="U9" s="228" t="s">
        <v>65</v>
      </c>
      <c r="V9" s="177"/>
      <c r="W9" s="229" t="s">
        <v>66</v>
      </c>
      <c r="X9" s="208"/>
      <c r="Y9" s="177"/>
      <c r="Z9" s="207"/>
      <c r="AA9" s="207"/>
      <c r="AB9" s="177"/>
      <c r="AC9" s="229" t="s">
        <v>66</v>
      </c>
      <c r="AD9" s="230" t="s">
        <v>29</v>
      </c>
      <c r="AE9" s="177"/>
      <c r="AF9" s="211" t="s">
        <v>46</v>
      </c>
      <c r="AG9" s="208"/>
      <c r="AH9" s="177"/>
      <c r="AI9" s="230" t="s">
        <v>29</v>
      </c>
      <c r="AJ9" s="207"/>
      <c r="AK9" s="177"/>
      <c r="AL9" s="227" t="s">
        <v>64</v>
      </c>
      <c r="AM9" s="208"/>
      <c r="AN9" s="177"/>
      <c r="AO9" s="207"/>
      <c r="AP9" s="207"/>
      <c r="AQ9" s="177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</row>
    <row r="10">
      <c r="A10" s="201">
        <v>105.0</v>
      </c>
      <c r="B10" s="212" t="s">
        <v>67</v>
      </c>
      <c r="C10" s="204" t="s">
        <v>68</v>
      </c>
      <c r="D10" s="204" t="s">
        <v>69</v>
      </c>
      <c r="E10" s="220" t="s">
        <v>70</v>
      </c>
      <c r="F10" s="206"/>
      <c r="G10" s="223"/>
      <c r="H10" s="224" t="s">
        <v>71</v>
      </c>
      <c r="I10" s="208"/>
      <c r="J10" s="177"/>
      <c r="K10" s="224" t="s">
        <v>71</v>
      </c>
      <c r="L10" s="207"/>
      <c r="M10" s="177"/>
      <c r="N10" s="231" t="s">
        <v>72</v>
      </c>
      <c r="O10" s="216" t="s">
        <v>52</v>
      </c>
      <c r="P10" s="177"/>
      <c r="Q10" s="233" t="s">
        <v>73</v>
      </c>
      <c r="R10" s="234" t="s">
        <v>74</v>
      </c>
      <c r="S10" s="177"/>
      <c r="T10" s="235" t="s">
        <v>75</v>
      </c>
      <c r="U10" s="216" t="s">
        <v>52</v>
      </c>
      <c r="V10" s="177"/>
      <c r="W10" s="207"/>
      <c r="X10" s="208"/>
      <c r="Y10" s="177"/>
      <c r="Z10" s="230" t="s">
        <v>29</v>
      </c>
      <c r="AA10" s="207"/>
      <c r="AB10" s="177"/>
      <c r="AC10" s="216" t="s">
        <v>52</v>
      </c>
      <c r="AD10" s="207"/>
      <c r="AE10" s="177"/>
      <c r="AF10" s="233" t="s">
        <v>73</v>
      </c>
      <c r="AG10" s="210" t="s">
        <v>44</v>
      </c>
      <c r="AH10" s="177"/>
      <c r="AI10" s="217" t="s">
        <v>20</v>
      </c>
      <c r="AJ10" s="227" t="s">
        <v>76</v>
      </c>
      <c r="AK10" s="177"/>
      <c r="AL10" s="231" t="s">
        <v>72</v>
      </c>
      <c r="AM10" s="208"/>
      <c r="AN10" s="177"/>
      <c r="AO10" s="217" t="s">
        <v>20</v>
      </c>
      <c r="AP10" s="207"/>
      <c r="AQ10" s="177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</row>
    <row r="11">
      <c r="A11" s="201">
        <v>106.0</v>
      </c>
      <c r="B11" s="236" t="s">
        <v>77</v>
      </c>
      <c r="C11" s="204" t="s">
        <v>78</v>
      </c>
      <c r="D11" s="204" t="s">
        <v>79</v>
      </c>
      <c r="E11" s="220" t="s">
        <v>80</v>
      </c>
      <c r="F11" s="206"/>
      <c r="G11" s="223"/>
      <c r="H11" s="224" t="s">
        <v>81</v>
      </c>
      <c r="I11" s="208"/>
      <c r="J11" s="177"/>
      <c r="K11" s="224" t="s">
        <v>81</v>
      </c>
      <c r="L11" s="207"/>
      <c r="M11" s="177"/>
      <c r="N11" s="211" t="s">
        <v>46</v>
      </c>
      <c r="O11" s="237"/>
      <c r="P11" s="177"/>
      <c r="R11" s="207"/>
      <c r="S11" s="177"/>
      <c r="T11" s="209" t="s">
        <v>43</v>
      </c>
      <c r="U11" s="237"/>
      <c r="V11" s="177"/>
      <c r="W11" s="210" t="s">
        <v>44</v>
      </c>
      <c r="X11" s="208"/>
      <c r="Y11" s="177"/>
      <c r="Z11" s="207"/>
      <c r="AA11" s="207"/>
      <c r="AB11" s="177"/>
      <c r="AC11" s="209" t="s">
        <v>45</v>
      </c>
      <c r="AD11" s="237"/>
      <c r="AE11" s="177"/>
      <c r="AF11" s="207"/>
      <c r="AG11" s="208"/>
      <c r="AH11" s="177"/>
      <c r="AI11" s="238"/>
      <c r="AJ11" s="227" t="s">
        <v>64</v>
      </c>
      <c r="AK11" s="177"/>
      <c r="AL11" s="207"/>
      <c r="AM11" s="208"/>
      <c r="AN11" s="177"/>
      <c r="AO11" s="207"/>
      <c r="AP11" s="207"/>
      <c r="AQ11" s="177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</row>
    <row r="12">
      <c r="A12" s="239">
        <v>107.0</v>
      </c>
      <c r="B12" s="212" t="s">
        <v>77</v>
      </c>
      <c r="C12" s="204" t="s">
        <v>78</v>
      </c>
      <c r="D12" s="204" t="s">
        <v>82</v>
      </c>
      <c r="E12" s="220" t="s">
        <v>77</v>
      </c>
      <c r="F12" s="206"/>
      <c r="G12" s="204"/>
      <c r="H12" s="207"/>
      <c r="I12" s="208"/>
      <c r="J12" s="177"/>
      <c r="K12" s="231" t="s">
        <v>83</v>
      </c>
      <c r="L12" s="207"/>
      <c r="M12" s="177"/>
      <c r="N12" s="233" t="s">
        <v>73</v>
      </c>
      <c r="O12" s="216" t="s">
        <v>52</v>
      </c>
      <c r="P12" s="177"/>
      <c r="Q12" s="240" t="s">
        <v>84</v>
      </c>
      <c r="R12" s="207"/>
      <c r="S12" s="177"/>
      <c r="T12" s="216" t="s">
        <v>52</v>
      </c>
      <c r="U12" s="240" t="s">
        <v>84</v>
      </c>
      <c r="V12" s="177"/>
      <c r="W12" s="207"/>
      <c r="X12" s="208"/>
      <c r="Y12" s="177"/>
      <c r="Z12" s="207"/>
      <c r="AA12" s="207"/>
      <c r="AB12" s="177"/>
      <c r="AC12" s="216" t="s">
        <v>52</v>
      </c>
      <c r="AD12" s="207"/>
      <c r="AE12" s="177"/>
      <c r="AF12" s="235" t="s">
        <v>75</v>
      </c>
      <c r="AG12" s="208"/>
      <c r="AH12" s="177"/>
      <c r="AI12" s="233" t="s">
        <v>73</v>
      </c>
      <c r="AJ12" s="207"/>
      <c r="AK12" s="177"/>
      <c r="AL12" s="207"/>
      <c r="AM12" s="208"/>
      <c r="AN12" s="177"/>
      <c r="AO12" s="207"/>
      <c r="AP12" s="207"/>
      <c r="AQ12" s="177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</row>
    <row r="13">
      <c r="A13" s="201">
        <v>108.0</v>
      </c>
      <c r="B13" s="218" t="s">
        <v>77</v>
      </c>
      <c r="C13" s="219" t="s">
        <v>85</v>
      </c>
      <c r="D13" s="204" t="s">
        <v>86</v>
      </c>
      <c r="E13" s="220" t="s">
        <v>80</v>
      </c>
      <c r="F13" s="206"/>
      <c r="G13" s="241"/>
      <c r="H13" s="242"/>
      <c r="I13" s="243"/>
      <c r="J13" s="242"/>
      <c r="K13" s="242"/>
      <c r="L13" s="242"/>
      <c r="M13" s="242"/>
      <c r="N13" s="242"/>
      <c r="O13" s="243"/>
      <c r="P13" s="242"/>
      <c r="Q13" s="242"/>
      <c r="R13" s="242"/>
      <c r="S13" s="177"/>
      <c r="T13" s="235" t="s">
        <v>75</v>
      </c>
      <c r="U13" s="228" t="s">
        <v>65</v>
      </c>
      <c r="V13" s="177"/>
      <c r="W13" s="242"/>
      <c r="X13" s="243"/>
      <c r="Y13" s="242"/>
      <c r="Z13" s="242"/>
      <c r="AA13" s="242"/>
      <c r="AB13" s="242"/>
      <c r="AC13" s="242"/>
      <c r="AD13" s="242"/>
      <c r="AE13" s="242"/>
      <c r="AF13" s="244"/>
      <c r="AG13" s="243"/>
      <c r="AH13" s="242"/>
      <c r="AI13" s="245"/>
      <c r="AJ13" s="242"/>
      <c r="AK13" s="177"/>
      <c r="AL13" s="207"/>
      <c r="AM13" s="208"/>
      <c r="AN13" s="177"/>
      <c r="AO13" s="207"/>
      <c r="AP13" s="207"/>
      <c r="AQ13" s="177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</row>
    <row r="14">
      <c r="A14" s="201">
        <v>109.0</v>
      </c>
      <c r="B14" s="236" t="s">
        <v>87</v>
      </c>
      <c r="C14" s="246" t="s">
        <v>88</v>
      </c>
      <c r="D14" s="246" t="s">
        <v>89</v>
      </c>
      <c r="E14" s="220" t="s">
        <v>90</v>
      </c>
      <c r="F14" s="206"/>
      <c r="G14" s="204"/>
      <c r="H14" s="207"/>
      <c r="I14" s="208"/>
      <c r="J14" s="177"/>
      <c r="K14" s="224" t="s">
        <v>62</v>
      </c>
      <c r="L14" s="207"/>
      <c r="M14" s="177"/>
      <c r="N14" s="226" t="s">
        <v>63</v>
      </c>
      <c r="O14" s="208"/>
      <c r="P14" s="177"/>
      <c r="Q14" s="211" t="s">
        <v>46</v>
      </c>
      <c r="R14" s="207"/>
      <c r="S14" s="177"/>
      <c r="T14" s="228" t="s">
        <v>65</v>
      </c>
      <c r="U14" s="207"/>
      <c r="V14" s="177"/>
      <c r="W14" s="207"/>
      <c r="X14" s="208"/>
      <c r="Y14" s="177"/>
      <c r="Z14" s="207"/>
      <c r="AA14" s="207"/>
      <c r="AB14" s="177"/>
      <c r="AC14" s="207"/>
      <c r="AD14" s="207"/>
      <c r="AE14" s="177"/>
      <c r="AF14" s="211" t="s">
        <v>46</v>
      </c>
      <c r="AG14" s="208"/>
      <c r="AH14" s="177"/>
      <c r="AI14" s="238"/>
      <c r="AJ14" s="207"/>
      <c r="AK14" s="177"/>
      <c r="AL14" s="207"/>
      <c r="AM14" s="208"/>
      <c r="AN14" s="177"/>
      <c r="AO14" s="207"/>
      <c r="AP14" s="207"/>
      <c r="AQ14" s="177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</row>
    <row r="15">
      <c r="A15" s="201">
        <v>110.0</v>
      </c>
      <c r="B15" s="212" t="s">
        <v>91</v>
      </c>
      <c r="C15" s="246" t="s">
        <v>92</v>
      </c>
      <c r="D15" s="204" t="s">
        <v>93</v>
      </c>
      <c r="E15" s="220" t="s">
        <v>94</v>
      </c>
      <c r="F15" s="206"/>
      <c r="G15" s="204"/>
      <c r="H15" s="207"/>
      <c r="I15" s="207"/>
      <c r="J15" s="177"/>
      <c r="K15" s="234"/>
      <c r="L15" s="207"/>
      <c r="M15" s="177"/>
      <c r="N15" s="226" t="s">
        <v>63</v>
      </c>
      <c r="O15" s="207"/>
      <c r="P15" s="177"/>
      <c r="Q15" s="207"/>
      <c r="R15" s="207"/>
      <c r="S15" s="177"/>
      <c r="T15" s="228" t="s">
        <v>65</v>
      </c>
      <c r="U15" s="228" t="s">
        <v>65</v>
      </c>
      <c r="V15" s="177"/>
      <c r="W15" s="207"/>
      <c r="X15" s="207"/>
      <c r="Y15" s="177"/>
      <c r="Z15" s="234"/>
      <c r="AA15" s="207"/>
      <c r="AB15" s="177"/>
      <c r="AC15" s="207"/>
      <c r="AD15" s="207"/>
      <c r="AE15" s="177"/>
      <c r="AF15" s="207"/>
      <c r="AG15" s="207"/>
      <c r="AH15" s="177"/>
      <c r="AI15" s="207"/>
      <c r="AJ15" s="207"/>
      <c r="AK15" s="177"/>
      <c r="AL15" s="211" t="s">
        <v>46</v>
      </c>
      <c r="AM15" s="207"/>
      <c r="AN15" s="177"/>
      <c r="AO15" s="207"/>
      <c r="AP15" s="207"/>
      <c r="AQ15" s="177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</row>
    <row r="16">
      <c r="A16" s="201">
        <v>111.0</v>
      </c>
      <c r="B16" s="212" t="s">
        <v>90</v>
      </c>
      <c r="C16" s="204" t="s">
        <v>95</v>
      </c>
      <c r="D16" s="204" t="s">
        <v>96</v>
      </c>
      <c r="E16" s="220" t="s">
        <v>97</v>
      </c>
      <c r="F16" s="206"/>
      <c r="G16" s="204"/>
      <c r="H16" s="207"/>
      <c r="I16" s="207"/>
      <c r="J16" s="177"/>
      <c r="K16" s="234"/>
      <c r="L16" s="207"/>
      <c r="M16" s="177"/>
      <c r="N16" s="234"/>
      <c r="O16" s="207"/>
      <c r="P16" s="177"/>
      <c r="Q16" s="207"/>
      <c r="R16" s="207"/>
      <c r="S16" s="177"/>
      <c r="T16" s="228" t="s">
        <v>65</v>
      </c>
      <c r="U16" s="211" t="s">
        <v>46</v>
      </c>
      <c r="V16" s="177"/>
      <c r="W16" s="207"/>
      <c r="X16" s="207"/>
      <c r="Y16" s="177"/>
      <c r="Z16" s="234"/>
      <c r="AA16" s="207"/>
      <c r="AB16" s="177"/>
      <c r="AC16" s="207"/>
      <c r="AD16" s="207"/>
      <c r="AE16" s="177"/>
      <c r="AF16" s="207"/>
      <c r="AG16" s="207"/>
      <c r="AH16" s="177"/>
      <c r="AI16" s="211" t="s">
        <v>46</v>
      </c>
      <c r="AJ16" s="207"/>
      <c r="AK16" s="177"/>
      <c r="AL16" s="207"/>
      <c r="AM16" s="207"/>
      <c r="AN16" s="177"/>
      <c r="AO16" s="207"/>
      <c r="AP16" s="207"/>
      <c r="AQ16" s="17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</row>
    <row r="17">
      <c r="A17" s="36"/>
      <c r="B17" s="36"/>
      <c r="C17" s="42"/>
      <c r="D17" s="42"/>
      <c r="E17" s="213"/>
      <c r="F17" s="248"/>
      <c r="G17" s="249"/>
      <c r="H17" s="207"/>
      <c r="I17" s="207"/>
      <c r="J17" s="177"/>
      <c r="K17" s="207"/>
      <c r="L17" s="207"/>
      <c r="M17" s="177"/>
      <c r="N17" s="234"/>
      <c r="O17" s="207"/>
      <c r="P17" s="177"/>
      <c r="Q17" s="207"/>
      <c r="R17" s="207"/>
      <c r="S17" s="177"/>
      <c r="T17" s="207"/>
      <c r="U17" s="207"/>
      <c r="V17" s="177"/>
      <c r="W17" s="207"/>
      <c r="X17" s="207"/>
      <c r="Y17" s="177"/>
      <c r="Z17" s="234"/>
      <c r="AA17" s="207"/>
      <c r="AB17" s="177"/>
      <c r="AC17" s="207"/>
      <c r="AD17" s="207"/>
      <c r="AE17" s="177"/>
      <c r="AF17" s="207"/>
      <c r="AG17" s="207"/>
      <c r="AH17" s="177"/>
      <c r="AI17" s="207"/>
      <c r="AJ17" s="207"/>
      <c r="AK17" s="177"/>
      <c r="AL17" s="207"/>
      <c r="AM17" s="207"/>
      <c r="AN17" s="177"/>
      <c r="AO17" s="207"/>
      <c r="AP17" s="207"/>
      <c r="AQ17" s="177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</row>
    <row r="18">
      <c r="A18" s="196" t="s">
        <v>98</v>
      </c>
      <c r="B18" s="197"/>
      <c r="C18" s="197"/>
      <c r="D18" s="198"/>
      <c r="E18" s="199"/>
      <c r="F18" s="177"/>
      <c r="G18" s="189"/>
      <c r="H18" s="189" t="s">
        <v>2</v>
      </c>
      <c r="I18" s="189" t="s">
        <v>2</v>
      </c>
      <c r="J18" s="187"/>
      <c r="K18" s="188" t="s">
        <v>34</v>
      </c>
      <c r="L18" s="188" t="s">
        <v>34</v>
      </c>
      <c r="M18" s="187"/>
      <c r="N18" s="189" t="s">
        <v>5</v>
      </c>
      <c r="O18" s="189" t="s">
        <v>5</v>
      </c>
      <c r="P18" s="187"/>
      <c r="Q18" s="188" t="s">
        <v>7</v>
      </c>
      <c r="R18" s="188" t="s">
        <v>7</v>
      </c>
      <c r="S18" s="187"/>
      <c r="T18" s="189" t="s">
        <v>8</v>
      </c>
      <c r="U18" s="189" t="s">
        <v>8</v>
      </c>
      <c r="V18" s="187"/>
      <c r="W18" s="188" t="s">
        <v>10</v>
      </c>
      <c r="X18" s="188" t="s">
        <v>10</v>
      </c>
      <c r="Y18" s="187"/>
      <c r="Z18" s="250" t="s">
        <v>11</v>
      </c>
      <c r="AA18" s="189" t="s">
        <v>11</v>
      </c>
      <c r="AB18" s="187"/>
      <c r="AC18" s="188" t="s">
        <v>35</v>
      </c>
      <c r="AD18" s="188" t="s">
        <v>35</v>
      </c>
      <c r="AE18" s="187"/>
      <c r="AF18" s="189" t="s">
        <v>36</v>
      </c>
      <c r="AG18" s="189" t="s">
        <v>36</v>
      </c>
      <c r="AH18" s="187"/>
      <c r="AI18" s="188" t="s">
        <v>14</v>
      </c>
      <c r="AJ18" s="188" t="s">
        <v>14</v>
      </c>
      <c r="AK18" s="187"/>
      <c r="AL18" s="189" t="s">
        <v>37</v>
      </c>
      <c r="AM18" s="189" t="s">
        <v>37</v>
      </c>
      <c r="AN18" s="187"/>
      <c r="AO18" s="188" t="s">
        <v>38</v>
      </c>
      <c r="AP18" s="191" t="s">
        <v>38</v>
      </c>
      <c r="AQ18" s="177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</row>
    <row r="19">
      <c r="A19" s="251"/>
      <c r="B19" s="252" t="s">
        <v>31</v>
      </c>
      <c r="C19" s="253" t="s">
        <v>32</v>
      </c>
      <c r="D19" s="253" t="s">
        <v>33</v>
      </c>
      <c r="E19" s="205"/>
      <c r="F19" s="206"/>
      <c r="G19" s="204"/>
      <c r="H19" s="207"/>
      <c r="I19" s="207"/>
      <c r="J19" s="177"/>
      <c r="K19" s="207"/>
      <c r="L19" s="207"/>
      <c r="M19" s="177"/>
      <c r="N19" s="207"/>
      <c r="O19" s="207"/>
      <c r="P19" s="177"/>
      <c r="Q19" s="207"/>
      <c r="R19" s="207"/>
      <c r="S19" s="177"/>
      <c r="T19" s="207"/>
      <c r="U19" s="207"/>
      <c r="V19" s="177"/>
      <c r="W19" s="207"/>
      <c r="X19" s="207"/>
      <c r="Y19" s="177"/>
      <c r="Z19" s="254"/>
      <c r="AA19" s="207"/>
      <c r="AB19" s="177"/>
      <c r="AC19" s="207"/>
      <c r="AD19" s="207"/>
      <c r="AE19" s="177"/>
      <c r="AF19" s="207"/>
      <c r="AG19" s="207"/>
      <c r="AH19" s="177"/>
      <c r="AI19" s="207"/>
      <c r="AJ19" s="207"/>
      <c r="AK19" s="177"/>
      <c r="AL19" s="207"/>
      <c r="AM19" s="207"/>
      <c r="AN19" s="177"/>
      <c r="AO19" s="207"/>
      <c r="AP19" s="207"/>
      <c r="AQ19" s="177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</row>
    <row r="20">
      <c r="A20" s="251"/>
      <c r="B20" s="212"/>
      <c r="C20" s="253"/>
      <c r="D20" s="253"/>
      <c r="E20" s="205"/>
      <c r="F20" s="206"/>
      <c r="G20" s="204"/>
      <c r="H20" s="207"/>
      <c r="I20" s="208"/>
      <c r="J20" s="177"/>
      <c r="K20" s="207"/>
      <c r="L20" s="207"/>
      <c r="M20" s="177"/>
      <c r="N20" s="207"/>
      <c r="O20" s="208"/>
      <c r="P20" s="177"/>
      <c r="Q20" s="207"/>
      <c r="R20" s="207"/>
      <c r="S20" s="177"/>
      <c r="T20" s="207"/>
      <c r="U20" s="207"/>
      <c r="V20" s="177"/>
      <c r="W20" s="207"/>
      <c r="X20" s="208"/>
      <c r="Y20" s="177"/>
      <c r="Z20" s="207"/>
      <c r="AA20" s="207"/>
      <c r="AB20" s="177"/>
      <c r="AC20" s="207"/>
      <c r="AD20" s="207"/>
      <c r="AE20" s="177"/>
      <c r="AF20" s="207"/>
      <c r="AG20" s="208"/>
      <c r="AH20" s="177"/>
      <c r="AI20" s="207"/>
      <c r="AJ20" s="207"/>
      <c r="AK20" s="177"/>
      <c r="AL20" s="207"/>
      <c r="AM20" s="208"/>
      <c r="AN20" s="177"/>
      <c r="AO20" s="207"/>
      <c r="AP20" s="207"/>
      <c r="AQ20" s="177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</row>
    <row r="21">
      <c r="A21" s="255">
        <v>201.0</v>
      </c>
      <c r="B21" s="212" t="s">
        <v>99</v>
      </c>
      <c r="C21" s="256" t="s">
        <v>99</v>
      </c>
      <c r="D21" s="253" t="s">
        <v>100</v>
      </c>
      <c r="E21" s="257" t="s">
        <v>101</v>
      </c>
      <c r="F21" s="206"/>
      <c r="G21" s="204"/>
      <c r="H21" s="207"/>
      <c r="I21" s="208"/>
      <c r="J21" s="177"/>
      <c r="K21" s="224" t="s">
        <v>81</v>
      </c>
      <c r="L21" s="207"/>
      <c r="M21" s="177"/>
      <c r="N21" s="226" t="s">
        <v>63</v>
      </c>
      <c r="O21" s="208"/>
      <c r="P21" s="177"/>
      <c r="Q21" s="207"/>
      <c r="R21" s="207"/>
      <c r="S21" s="177"/>
      <c r="T21" s="211" t="s">
        <v>46</v>
      </c>
      <c r="U21" s="207"/>
      <c r="V21" s="177"/>
      <c r="W21" s="207"/>
      <c r="X21" s="208"/>
      <c r="Y21" s="177"/>
      <c r="Z21" s="207"/>
      <c r="AA21" s="207"/>
      <c r="AB21" s="177"/>
      <c r="AC21" s="207"/>
      <c r="AD21" s="207"/>
      <c r="AE21" s="177"/>
      <c r="AF21" s="207"/>
      <c r="AG21" s="208"/>
      <c r="AH21" s="177"/>
      <c r="AI21" s="207"/>
      <c r="AJ21" s="207"/>
      <c r="AK21" s="177"/>
      <c r="AL21" s="211" t="s">
        <v>46</v>
      </c>
      <c r="AM21" s="208"/>
      <c r="AN21" s="177"/>
      <c r="AO21" s="207"/>
      <c r="AP21" s="207"/>
      <c r="AQ21" s="177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</row>
    <row r="22">
      <c r="A22" s="258">
        <v>202.0</v>
      </c>
      <c r="B22" s="212" t="s">
        <v>99</v>
      </c>
      <c r="C22" s="253" t="s">
        <v>102</v>
      </c>
      <c r="D22" s="253" t="s">
        <v>103</v>
      </c>
      <c r="E22" s="257" t="s">
        <v>104</v>
      </c>
      <c r="F22" s="206"/>
      <c r="G22" s="204"/>
      <c r="H22" s="207"/>
      <c r="I22" s="208"/>
      <c r="J22" s="177"/>
      <c r="K22" s="207"/>
      <c r="L22" s="207"/>
      <c r="M22" s="177"/>
      <c r="N22" s="234" t="s">
        <v>105</v>
      </c>
      <c r="O22" s="208" t="s">
        <v>106</v>
      </c>
      <c r="P22" s="177"/>
      <c r="Q22" s="211" t="s">
        <v>46</v>
      </c>
      <c r="R22" s="259" t="s">
        <v>107</v>
      </c>
      <c r="S22" s="177"/>
      <c r="T22" s="259" t="s">
        <v>107</v>
      </c>
      <c r="U22" s="207"/>
      <c r="V22" s="177"/>
      <c r="W22" s="207"/>
      <c r="X22" s="208"/>
      <c r="Y22" s="177"/>
      <c r="Z22" s="207"/>
      <c r="AA22" s="207"/>
      <c r="AB22" s="177"/>
      <c r="AC22" s="207"/>
      <c r="AD22" s="207"/>
      <c r="AE22" s="177"/>
      <c r="AF22" s="259" t="s">
        <v>107</v>
      </c>
      <c r="AG22" s="208"/>
      <c r="AH22" s="177"/>
      <c r="AI22" s="211" t="s">
        <v>46</v>
      </c>
      <c r="AJ22" s="207"/>
      <c r="AK22" s="177"/>
      <c r="AL22" s="259" t="s">
        <v>107</v>
      </c>
      <c r="AM22" s="208"/>
      <c r="AN22" s="177"/>
      <c r="AO22" s="207"/>
      <c r="AP22" s="207"/>
      <c r="AQ22" s="177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</row>
    <row r="23">
      <c r="A23" s="260">
        <v>203.0</v>
      </c>
      <c r="B23" s="212" t="s">
        <v>108</v>
      </c>
      <c r="C23" s="253" t="s">
        <v>109</v>
      </c>
      <c r="D23" s="253" t="s">
        <v>110</v>
      </c>
      <c r="E23" s="257" t="s">
        <v>104</v>
      </c>
      <c r="F23" s="206"/>
      <c r="G23" s="223"/>
      <c r="H23" s="224" t="s">
        <v>62</v>
      </c>
      <c r="I23" s="208"/>
      <c r="J23" s="177"/>
      <c r="K23" s="234"/>
      <c r="L23" s="207"/>
      <c r="M23" s="177"/>
      <c r="N23" s="211" t="s">
        <v>46</v>
      </c>
      <c r="O23" s="208"/>
      <c r="P23" s="177"/>
      <c r="Q23" s="207"/>
      <c r="R23" s="207"/>
      <c r="S23" s="177"/>
      <c r="T23" s="259" t="s">
        <v>107</v>
      </c>
      <c r="U23" s="207"/>
      <c r="V23" s="177"/>
      <c r="W23" s="259" t="s">
        <v>107</v>
      </c>
      <c r="X23" s="208"/>
      <c r="Y23" s="177"/>
      <c r="Z23" s="207"/>
      <c r="AA23" s="207"/>
      <c r="AB23" s="177"/>
      <c r="AC23" s="207"/>
      <c r="AD23" s="207"/>
      <c r="AE23" s="177"/>
      <c r="AF23" s="259" t="s">
        <v>107</v>
      </c>
      <c r="AG23" s="208"/>
      <c r="AH23" s="177"/>
      <c r="AI23" s="207"/>
      <c r="AJ23" s="207"/>
      <c r="AK23" s="177"/>
      <c r="AL23" s="259" t="s">
        <v>107</v>
      </c>
      <c r="AM23" s="208"/>
      <c r="AN23" s="177"/>
      <c r="AO23" s="207"/>
      <c r="AP23" s="207"/>
      <c r="AQ23" s="177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</row>
    <row r="24">
      <c r="A24" s="260">
        <v>204.0</v>
      </c>
      <c r="B24" s="212" t="s">
        <v>108</v>
      </c>
      <c r="C24" s="253" t="s">
        <v>111</v>
      </c>
      <c r="D24" s="253" t="s">
        <v>103</v>
      </c>
      <c r="E24" s="257" t="s">
        <v>104</v>
      </c>
      <c r="F24" s="206"/>
      <c r="G24" s="204"/>
      <c r="H24" s="207"/>
      <c r="I24" s="208"/>
      <c r="J24" s="177"/>
      <c r="K24" s="207"/>
      <c r="L24" s="207"/>
      <c r="M24" s="177"/>
      <c r="N24" s="259" t="s">
        <v>107</v>
      </c>
      <c r="O24" s="208"/>
      <c r="P24" s="177"/>
      <c r="Q24" s="207"/>
      <c r="R24" s="207"/>
      <c r="S24" s="177"/>
      <c r="T24" s="207"/>
      <c r="U24" s="207"/>
      <c r="V24" s="177"/>
      <c r="W24" s="259" t="s">
        <v>107</v>
      </c>
      <c r="X24" s="208"/>
      <c r="Y24" s="177"/>
      <c r="Z24" s="207"/>
      <c r="AA24" s="207"/>
      <c r="AB24" s="177"/>
      <c r="AC24" s="207"/>
      <c r="AD24" s="207"/>
      <c r="AE24" s="177"/>
      <c r="AF24" s="211" t="s">
        <v>46</v>
      </c>
      <c r="AG24" s="208"/>
      <c r="AH24" s="177"/>
      <c r="AI24" s="259" t="s">
        <v>107</v>
      </c>
      <c r="AJ24" s="207"/>
      <c r="AK24" s="177"/>
      <c r="AL24" s="207"/>
      <c r="AM24" s="208"/>
      <c r="AN24" s="177"/>
      <c r="AO24" s="207"/>
      <c r="AP24" s="207"/>
      <c r="AQ24" s="177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</row>
    <row r="25">
      <c r="A25" s="260">
        <v>205.0</v>
      </c>
      <c r="B25" s="212" t="s">
        <v>108</v>
      </c>
      <c r="C25" s="253" t="s">
        <v>112</v>
      </c>
      <c r="D25" s="253" t="s">
        <v>113</v>
      </c>
      <c r="E25" s="257" t="s">
        <v>104</v>
      </c>
      <c r="F25" s="206"/>
      <c r="G25" s="204"/>
      <c r="H25" s="207"/>
      <c r="I25" s="208"/>
      <c r="J25" s="177"/>
      <c r="K25" s="207"/>
      <c r="L25" s="207"/>
      <c r="M25" s="177"/>
      <c r="N25" s="226" t="s">
        <v>63</v>
      </c>
      <c r="O25" s="208"/>
      <c r="P25" s="177"/>
      <c r="Q25" s="259" t="s">
        <v>107</v>
      </c>
      <c r="R25" s="207"/>
      <c r="S25" s="177"/>
      <c r="T25" s="211" t="s">
        <v>46</v>
      </c>
      <c r="U25" s="259" t="s">
        <v>107</v>
      </c>
      <c r="V25" s="177"/>
      <c r="W25" s="207"/>
      <c r="X25" s="208"/>
      <c r="Y25" s="177"/>
      <c r="Z25" s="207"/>
      <c r="AA25" s="207"/>
      <c r="AB25" s="177"/>
      <c r="AC25" s="207"/>
      <c r="AD25" s="207"/>
      <c r="AE25" s="177"/>
      <c r="AF25" s="207"/>
      <c r="AG25" s="208"/>
      <c r="AH25" s="177"/>
      <c r="AI25" s="259" t="s">
        <v>107</v>
      </c>
      <c r="AJ25" s="207"/>
      <c r="AK25" s="177"/>
      <c r="AL25" s="207"/>
      <c r="AM25" s="208"/>
      <c r="AN25" s="177"/>
      <c r="AO25" s="207"/>
      <c r="AP25" s="207"/>
      <c r="AQ25" s="177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</row>
    <row r="26">
      <c r="A26" s="260">
        <v>206.0</v>
      </c>
      <c r="B26" s="212" t="s">
        <v>108</v>
      </c>
      <c r="C26" s="253" t="s">
        <v>114</v>
      </c>
      <c r="D26" s="204" t="s">
        <v>115</v>
      </c>
      <c r="E26" s="257" t="s">
        <v>108</v>
      </c>
      <c r="F26" s="206"/>
      <c r="G26" s="204"/>
      <c r="H26" s="207"/>
      <c r="I26" s="208"/>
      <c r="J26" s="177"/>
      <c r="K26" s="207"/>
      <c r="L26" s="207"/>
      <c r="M26" s="177"/>
      <c r="N26" s="211" t="s">
        <v>46</v>
      </c>
      <c r="O26" s="208"/>
      <c r="P26" s="177"/>
      <c r="Q26" s="259" t="s">
        <v>107</v>
      </c>
      <c r="R26" s="207"/>
      <c r="S26" s="177"/>
      <c r="T26" s="259" t="s">
        <v>107</v>
      </c>
      <c r="U26" s="207"/>
      <c r="V26" s="177"/>
      <c r="W26" s="207"/>
      <c r="X26" s="208"/>
      <c r="Y26" s="177"/>
      <c r="Z26" s="207"/>
      <c r="AA26" s="207"/>
      <c r="AB26" s="177"/>
      <c r="AC26" s="207"/>
      <c r="AD26" s="207"/>
      <c r="AE26" s="177"/>
      <c r="AF26" s="259" t="s">
        <v>107</v>
      </c>
      <c r="AG26" s="207"/>
      <c r="AH26" s="177"/>
      <c r="AI26" s="259" t="s">
        <v>107</v>
      </c>
      <c r="AJ26" s="207"/>
      <c r="AK26" s="177"/>
      <c r="AL26" s="211" t="s">
        <v>46</v>
      </c>
      <c r="AM26" s="259" t="s">
        <v>107</v>
      </c>
      <c r="AN26" s="177"/>
      <c r="AO26" s="207"/>
      <c r="AP26" s="207"/>
      <c r="AQ26" s="177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</row>
    <row r="27">
      <c r="A27" s="260">
        <v>207.0</v>
      </c>
      <c r="B27" s="212" t="s">
        <v>108</v>
      </c>
      <c r="C27" s="253" t="s">
        <v>116</v>
      </c>
      <c r="D27" s="204" t="s">
        <v>117</v>
      </c>
      <c r="E27" s="205"/>
      <c r="F27" s="206"/>
      <c r="G27" s="223"/>
      <c r="H27" s="224" t="s">
        <v>81</v>
      </c>
      <c r="I27" s="208"/>
      <c r="J27" s="177"/>
      <c r="K27" s="234"/>
      <c r="L27" s="207"/>
      <c r="M27" s="177"/>
      <c r="N27" s="259" t="s">
        <v>107</v>
      </c>
      <c r="O27" s="208"/>
      <c r="P27" s="177"/>
      <c r="Q27" s="207"/>
      <c r="R27" s="207"/>
      <c r="S27" s="177"/>
      <c r="T27" s="207"/>
      <c r="U27" s="207"/>
      <c r="V27" s="177"/>
      <c r="W27" s="259" t="s">
        <v>107</v>
      </c>
      <c r="X27" s="208"/>
      <c r="Y27" s="177"/>
      <c r="Z27" s="207"/>
      <c r="AA27" s="207"/>
      <c r="AB27" s="177"/>
      <c r="AC27" s="207"/>
      <c r="AD27" s="207"/>
      <c r="AE27" s="177"/>
      <c r="AF27" s="259" t="s">
        <v>107</v>
      </c>
      <c r="AG27" s="208"/>
      <c r="AH27" s="177"/>
      <c r="AI27" s="211" t="s">
        <v>46</v>
      </c>
      <c r="AJ27" s="207"/>
      <c r="AK27" s="177"/>
      <c r="AL27" s="259" t="s">
        <v>107</v>
      </c>
      <c r="AM27" s="208"/>
      <c r="AN27" s="177"/>
      <c r="AO27" s="207"/>
      <c r="AP27" s="207"/>
      <c r="AQ27" s="177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</row>
    <row r="28">
      <c r="A28" s="260">
        <v>208.0</v>
      </c>
      <c r="B28" s="212" t="s">
        <v>108</v>
      </c>
      <c r="C28" s="253" t="s">
        <v>118</v>
      </c>
      <c r="D28" s="253" t="s">
        <v>119</v>
      </c>
      <c r="E28" s="257" t="s">
        <v>108</v>
      </c>
      <c r="F28" s="206"/>
      <c r="G28" s="204"/>
      <c r="H28" s="207"/>
      <c r="I28" s="208"/>
      <c r="J28" s="177"/>
      <c r="K28" s="207"/>
      <c r="L28" s="207"/>
      <c r="M28" s="177"/>
      <c r="N28" s="259" t="s">
        <v>107</v>
      </c>
      <c r="O28" s="208"/>
      <c r="P28" s="177"/>
      <c r="Q28" s="211" t="s">
        <v>46</v>
      </c>
      <c r="R28" s="259" t="s">
        <v>107</v>
      </c>
      <c r="S28" s="177"/>
      <c r="T28" s="207"/>
      <c r="U28" s="207"/>
      <c r="V28" s="177"/>
      <c r="W28" s="207"/>
      <c r="X28" s="208"/>
      <c r="Y28" s="177"/>
      <c r="Z28" s="207"/>
      <c r="AA28" s="207"/>
      <c r="AB28" s="177"/>
      <c r="AC28" s="207"/>
      <c r="AD28" s="207"/>
      <c r="AE28" s="177"/>
      <c r="AG28" s="208"/>
      <c r="AH28" s="177"/>
      <c r="AI28" s="259" t="s">
        <v>107</v>
      </c>
      <c r="AJ28" s="207"/>
      <c r="AK28" s="177"/>
      <c r="AL28" s="211" t="s">
        <v>46</v>
      </c>
      <c r="AM28" s="208"/>
      <c r="AN28" s="177"/>
      <c r="AO28" s="207"/>
      <c r="AP28" s="207"/>
      <c r="AQ28" s="177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</row>
    <row r="29">
      <c r="A29" s="260">
        <v>209.0</v>
      </c>
      <c r="B29" s="212" t="s">
        <v>108</v>
      </c>
      <c r="C29" s="253" t="s">
        <v>120</v>
      </c>
      <c r="D29" s="253" t="s">
        <v>121</v>
      </c>
      <c r="E29" s="257" t="s">
        <v>108</v>
      </c>
      <c r="F29" s="206"/>
      <c r="G29" s="204"/>
      <c r="H29" s="207"/>
      <c r="I29" s="208"/>
      <c r="J29" s="177"/>
      <c r="K29" s="207"/>
      <c r="L29" s="207"/>
      <c r="M29" s="177"/>
      <c r="N29" s="259" t="s">
        <v>107</v>
      </c>
      <c r="O29" s="208"/>
      <c r="P29" s="177"/>
      <c r="Q29" s="207"/>
      <c r="R29" s="207"/>
      <c r="S29" s="177"/>
      <c r="T29" s="207"/>
      <c r="U29" s="207"/>
      <c r="V29" s="177"/>
      <c r="W29" s="259" t="s">
        <v>107</v>
      </c>
      <c r="X29" s="208"/>
      <c r="Y29" s="177"/>
      <c r="Z29" s="207"/>
      <c r="AA29" s="207"/>
      <c r="AB29" s="177"/>
      <c r="AC29" s="207"/>
      <c r="AD29" s="207"/>
      <c r="AE29" s="177"/>
      <c r="AF29" s="207"/>
      <c r="AG29" s="208"/>
      <c r="AH29" s="177"/>
      <c r="AI29" s="207"/>
      <c r="AJ29" s="207"/>
      <c r="AK29" s="177"/>
      <c r="AL29" s="207"/>
      <c r="AM29" s="208"/>
      <c r="AN29" s="177"/>
      <c r="AO29" s="207"/>
      <c r="AP29" s="207"/>
      <c r="AQ29" s="177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</row>
    <row r="30">
      <c r="A30" s="260">
        <v>210.0</v>
      </c>
      <c r="B30" s="212" t="s">
        <v>108</v>
      </c>
      <c r="C30" s="253" t="s">
        <v>122</v>
      </c>
      <c r="D30" s="253" t="s">
        <v>123</v>
      </c>
      <c r="E30" s="257" t="s">
        <v>124</v>
      </c>
      <c r="F30" s="206"/>
      <c r="G30" s="204"/>
      <c r="H30" s="207"/>
      <c r="I30" s="208"/>
      <c r="J30" s="177"/>
      <c r="K30" s="207"/>
      <c r="L30" s="207"/>
      <c r="M30" s="177"/>
      <c r="N30" s="261" t="s">
        <v>125</v>
      </c>
      <c r="O30" s="208"/>
      <c r="P30" s="177"/>
      <c r="Q30" s="207"/>
      <c r="R30" s="207"/>
      <c r="S30" s="177"/>
      <c r="T30" s="211" t="s">
        <v>46</v>
      </c>
      <c r="U30" s="207"/>
      <c r="V30" s="177"/>
      <c r="W30" s="207"/>
      <c r="X30" s="208"/>
      <c r="Y30" s="177"/>
      <c r="Z30" s="207"/>
      <c r="AA30" s="207"/>
      <c r="AB30" s="177"/>
      <c r="AC30" s="207"/>
      <c r="AD30" s="207"/>
      <c r="AE30" s="177"/>
      <c r="AF30" s="207"/>
      <c r="AG30" s="208"/>
      <c r="AH30" s="177"/>
      <c r="AI30" s="207"/>
      <c r="AJ30" s="207"/>
      <c r="AK30" s="177"/>
      <c r="AL30" s="207"/>
      <c r="AM30" s="208"/>
      <c r="AN30" s="177"/>
      <c r="AO30" s="207"/>
      <c r="AP30" s="207"/>
      <c r="AQ30" s="177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</row>
    <row r="31">
      <c r="A31" s="260">
        <v>211.0</v>
      </c>
      <c r="B31" s="212" t="s">
        <v>108</v>
      </c>
      <c r="C31" s="253" t="s">
        <v>126</v>
      </c>
      <c r="D31" s="253" t="s">
        <v>123</v>
      </c>
      <c r="E31" s="257" t="s">
        <v>124</v>
      </c>
      <c r="F31" s="206"/>
      <c r="G31" s="204"/>
      <c r="H31" s="207"/>
      <c r="I31" s="208"/>
      <c r="J31" s="177"/>
      <c r="K31" s="231" t="s">
        <v>83</v>
      </c>
      <c r="L31" s="207"/>
      <c r="M31" s="177"/>
      <c r="N31" s="207"/>
      <c r="O31" s="208"/>
      <c r="P31" s="177"/>
      <c r="Q31" s="207"/>
      <c r="R31" s="207"/>
      <c r="S31" s="177"/>
      <c r="T31" s="207"/>
      <c r="U31" s="207"/>
      <c r="V31" s="177"/>
      <c r="W31" s="207"/>
      <c r="X31" s="208"/>
      <c r="Y31" s="177"/>
      <c r="Z31" s="207"/>
      <c r="AA31" s="207"/>
      <c r="AB31" s="177"/>
      <c r="AC31" s="207"/>
      <c r="AD31" s="207"/>
      <c r="AE31" s="177"/>
      <c r="AF31" s="211" t="s">
        <v>46</v>
      </c>
      <c r="AG31" s="208"/>
      <c r="AH31" s="177"/>
      <c r="AJ31" s="207"/>
      <c r="AK31" s="177"/>
      <c r="AL31" s="262" t="s">
        <v>127</v>
      </c>
      <c r="AM31" s="208"/>
      <c r="AN31" s="177"/>
      <c r="AO31" s="207"/>
      <c r="AP31" s="207"/>
      <c r="AQ31" s="177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</row>
    <row r="32">
      <c r="A32" s="260">
        <v>212.0</v>
      </c>
      <c r="B32" s="212" t="s">
        <v>128</v>
      </c>
      <c r="C32" s="253" t="s">
        <v>129</v>
      </c>
      <c r="D32" s="253" t="s">
        <v>130</v>
      </c>
      <c r="E32" s="257" t="s">
        <v>108</v>
      </c>
      <c r="F32" s="206"/>
      <c r="G32" s="223"/>
      <c r="H32" s="234"/>
      <c r="I32" s="208"/>
      <c r="J32" s="177"/>
      <c r="K32" s="207"/>
      <c r="L32" s="207"/>
      <c r="M32" s="177"/>
      <c r="N32" s="226" t="s">
        <v>63</v>
      </c>
      <c r="O32" s="208"/>
      <c r="P32" s="177"/>
      <c r="Q32" s="207"/>
      <c r="R32" s="207"/>
      <c r="S32" s="177"/>
      <c r="T32" s="263" t="s">
        <v>131</v>
      </c>
      <c r="U32" s="207"/>
      <c r="V32" s="177"/>
      <c r="W32" s="234"/>
      <c r="X32" s="208"/>
      <c r="Y32" s="177"/>
      <c r="Z32" s="264" t="s">
        <v>132</v>
      </c>
      <c r="AA32" s="207"/>
      <c r="AB32" s="177"/>
      <c r="AC32" s="264" t="s">
        <v>133</v>
      </c>
      <c r="AD32" s="207"/>
      <c r="AE32" s="177"/>
      <c r="AF32" s="240" t="s">
        <v>134</v>
      </c>
      <c r="AG32" s="208"/>
      <c r="AH32" s="177"/>
      <c r="AI32" s="211" t="s">
        <v>46</v>
      </c>
      <c r="AJ32" s="207"/>
      <c r="AK32" s="177"/>
      <c r="AL32" s="207"/>
      <c r="AM32" s="208"/>
      <c r="AN32" s="177"/>
      <c r="AO32" s="207"/>
      <c r="AP32" s="207"/>
      <c r="AQ32" s="177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</row>
    <row r="33">
      <c r="A33" s="260">
        <v>213.0</v>
      </c>
      <c r="B33" s="212" t="s">
        <v>135</v>
      </c>
      <c r="C33" s="253" t="s">
        <v>136</v>
      </c>
      <c r="D33" s="253" t="s">
        <v>137</v>
      </c>
      <c r="E33" s="257" t="s">
        <v>138</v>
      </c>
      <c r="F33" s="206"/>
      <c r="G33" s="204"/>
      <c r="H33" s="207"/>
      <c r="I33" s="208"/>
      <c r="J33" s="177"/>
      <c r="K33" s="224" t="s">
        <v>62</v>
      </c>
      <c r="L33" s="207"/>
      <c r="M33" s="177"/>
      <c r="N33" s="207"/>
      <c r="O33" s="208"/>
      <c r="P33" s="177"/>
      <c r="Q33" s="207"/>
      <c r="R33" s="207"/>
      <c r="S33" s="177"/>
      <c r="T33" s="228" t="s">
        <v>65</v>
      </c>
      <c r="U33" s="207"/>
      <c r="V33" s="177"/>
      <c r="W33" s="207"/>
      <c r="X33" s="208"/>
      <c r="Y33" s="177"/>
      <c r="Z33" s="207"/>
      <c r="AA33" s="207"/>
      <c r="AB33" s="177"/>
      <c r="AC33" s="207"/>
      <c r="AD33" s="207"/>
      <c r="AE33" s="177"/>
      <c r="AF33" s="207"/>
      <c r="AG33" s="208"/>
      <c r="AH33" s="177"/>
      <c r="AI33" s="207"/>
      <c r="AJ33" s="207"/>
      <c r="AK33" s="177"/>
      <c r="AL33" s="207"/>
      <c r="AM33" s="208"/>
      <c r="AN33" s="177"/>
      <c r="AO33" s="207"/>
      <c r="AP33" s="207"/>
      <c r="AQ33" s="177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</row>
    <row r="34">
      <c r="A34" s="260">
        <v>214.0</v>
      </c>
      <c r="B34" s="212" t="s">
        <v>135</v>
      </c>
      <c r="C34" s="253" t="s">
        <v>139</v>
      </c>
      <c r="D34" s="253" t="s">
        <v>140</v>
      </c>
      <c r="E34" s="257" t="s">
        <v>99</v>
      </c>
      <c r="F34" s="206"/>
      <c r="G34" s="204"/>
      <c r="H34" s="207"/>
      <c r="I34" s="208"/>
      <c r="J34" s="177"/>
      <c r="K34" s="207"/>
      <c r="L34" s="207"/>
      <c r="M34" s="177"/>
      <c r="N34" s="207"/>
      <c r="O34" s="208"/>
      <c r="P34" s="177"/>
      <c r="Q34" s="207"/>
      <c r="R34" s="207"/>
      <c r="S34" s="177"/>
      <c r="T34" s="207"/>
      <c r="U34" s="207"/>
      <c r="V34" s="177"/>
      <c r="W34" s="207"/>
      <c r="X34" s="208"/>
      <c r="Y34" s="177"/>
      <c r="Z34" s="207"/>
      <c r="AA34" s="207"/>
      <c r="AB34" s="177"/>
      <c r="AC34" s="207"/>
      <c r="AD34" s="207"/>
      <c r="AE34" s="177"/>
      <c r="AF34" s="207"/>
      <c r="AG34" s="208"/>
      <c r="AH34" s="177"/>
      <c r="AI34" s="207"/>
      <c r="AJ34" s="207"/>
      <c r="AK34" s="177"/>
      <c r="AL34" s="207"/>
      <c r="AM34" s="208"/>
      <c r="AN34" s="177"/>
      <c r="AO34" s="207"/>
      <c r="AP34" s="207"/>
      <c r="AQ34" s="177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</row>
    <row r="35">
      <c r="A35" s="260">
        <v>215.0</v>
      </c>
      <c r="B35" s="212" t="s">
        <v>135</v>
      </c>
      <c r="C35" s="253" t="s">
        <v>141</v>
      </c>
      <c r="D35" s="253" t="s">
        <v>140</v>
      </c>
      <c r="E35" s="257" t="s">
        <v>142</v>
      </c>
      <c r="F35" s="206"/>
      <c r="G35" s="204"/>
      <c r="H35" s="207"/>
      <c r="I35" s="208"/>
      <c r="J35" s="177"/>
      <c r="K35" s="234"/>
      <c r="L35" s="207"/>
      <c r="M35" s="177"/>
      <c r="N35" s="234"/>
      <c r="O35" s="208"/>
      <c r="P35" s="177"/>
      <c r="Q35" s="207"/>
      <c r="R35" s="207"/>
      <c r="S35" s="177"/>
      <c r="T35" s="207"/>
      <c r="U35" s="207"/>
      <c r="V35" s="177"/>
      <c r="W35" s="207"/>
      <c r="X35" s="208"/>
      <c r="Y35" s="177"/>
      <c r="Z35" s="207"/>
      <c r="AA35" s="207"/>
      <c r="AB35" s="177"/>
      <c r="AC35" s="207"/>
      <c r="AD35" s="207"/>
      <c r="AE35" s="177"/>
      <c r="AF35" s="207"/>
      <c r="AG35" s="208"/>
      <c r="AH35" s="177"/>
      <c r="AI35" s="207"/>
      <c r="AJ35" s="207"/>
      <c r="AK35" s="177"/>
      <c r="AL35" s="207"/>
      <c r="AM35" s="208"/>
      <c r="AN35" s="177"/>
      <c r="AO35" s="207"/>
      <c r="AP35" s="207"/>
      <c r="AQ35" s="177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</row>
    <row r="36">
      <c r="A36" s="260">
        <v>216.0</v>
      </c>
      <c r="B36" s="212" t="s">
        <v>143</v>
      </c>
      <c r="C36" s="253" t="s">
        <v>144</v>
      </c>
      <c r="D36" s="253" t="s">
        <v>145</v>
      </c>
      <c r="E36" s="257" t="s">
        <v>143</v>
      </c>
      <c r="F36" s="206"/>
      <c r="G36" s="204"/>
      <c r="H36" s="207"/>
      <c r="I36" s="208"/>
      <c r="J36" s="177"/>
      <c r="K36" s="207"/>
      <c r="L36" s="207"/>
      <c r="M36" s="177"/>
      <c r="N36" s="227" t="s">
        <v>146</v>
      </c>
      <c r="O36" s="208"/>
      <c r="P36" s="177"/>
      <c r="Q36" s="227" t="s">
        <v>146</v>
      </c>
      <c r="R36" s="207"/>
      <c r="S36" s="177"/>
      <c r="T36" s="227" t="s">
        <v>146</v>
      </c>
      <c r="U36" s="207"/>
      <c r="V36" s="177"/>
      <c r="W36" s="227" t="s">
        <v>146</v>
      </c>
      <c r="X36" s="208"/>
      <c r="Y36" s="177"/>
      <c r="Z36" s="207"/>
      <c r="AA36" s="207"/>
      <c r="AB36" s="177"/>
      <c r="AC36" s="207"/>
      <c r="AD36" s="207"/>
      <c r="AE36" s="177"/>
      <c r="AF36" s="211" t="s">
        <v>46</v>
      </c>
      <c r="AG36" s="208"/>
      <c r="AH36" s="177"/>
      <c r="AI36" s="227" t="s">
        <v>146</v>
      </c>
      <c r="AJ36" s="207"/>
      <c r="AK36" s="177"/>
      <c r="AL36" s="227" t="s">
        <v>146</v>
      </c>
      <c r="AM36" s="208"/>
      <c r="AN36" s="177"/>
      <c r="AO36" s="265"/>
      <c r="AP36" s="207"/>
      <c r="AQ36" s="177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</row>
    <row r="37">
      <c r="A37" s="266">
        <v>227.0</v>
      </c>
      <c r="B37" s="267" t="s">
        <v>143</v>
      </c>
      <c r="C37" s="268" t="s">
        <v>147</v>
      </c>
      <c r="D37" s="184" t="s">
        <v>148</v>
      </c>
      <c r="E37" s="269" t="s">
        <v>143</v>
      </c>
      <c r="F37" s="270"/>
      <c r="G37" s="224"/>
      <c r="H37" s="224" t="s">
        <v>71</v>
      </c>
      <c r="I37" s="208"/>
      <c r="J37" s="177"/>
      <c r="K37" s="234"/>
      <c r="L37" s="207"/>
      <c r="M37" s="177"/>
      <c r="N37" s="211" t="s">
        <v>46</v>
      </c>
      <c r="O37" s="208"/>
      <c r="P37" s="177"/>
      <c r="Q37" s="234" t="s">
        <v>105</v>
      </c>
      <c r="R37" s="234" t="s">
        <v>105</v>
      </c>
      <c r="S37" s="177"/>
      <c r="T37" s="207"/>
      <c r="U37" s="207"/>
      <c r="V37" s="177"/>
      <c r="W37" s="207"/>
      <c r="X37" s="208"/>
      <c r="Y37" s="177"/>
      <c r="Z37" s="207"/>
      <c r="AA37" s="207"/>
      <c r="AB37" s="177"/>
      <c r="AC37" s="207"/>
      <c r="AD37" s="207"/>
      <c r="AE37" s="177"/>
      <c r="AF37" s="207"/>
      <c r="AG37" s="208"/>
      <c r="AH37" s="177"/>
      <c r="AI37" s="207"/>
      <c r="AJ37" s="207"/>
      <c r="AK37" s="177"/>
      <c r="AL37" s="207"/>
      <c r="AM37" s="208"/>
      <c r="AN37" s="177"/>
      <c r="AO37" s="207"/>
      <c r="AP37" s="207"/>
      <c r="AQ37" s="177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1"/>
      <c r="BU37" s="271"/>
      <c r="BV37" s="271"/>
      <c r="BW37" s="271"/>
      <c r="BX37" s="271"/>
      <c r="BY37" s="271"/>
      <c r="BZ37" s="271"/>
    </row>
    <row r="38">
      <c r="A38" s="260">
        <v>217.0</v>
      </c>
      <c r="B38" s="236" t="s">
        <v>149</v>
      </c>
      <c r="C38" s="203" t="s">
        <v>150</v>
      </c>
      <c r="D38" s="253"/>
      <c r="E38" s="220" t="s">
        <v>151</v>
      </c>
      <c r="F38" s="206"/>
      <c r="G38" s="204"/>
      <c r="H38" s="207"/>
      <c r="I38" s="208"/>
      <c r="J38" s="177"/>
      <c r="K38" s="207"/>
      <c r="L38" s="207"/>
      <c r="M38" s="177"/>
      <c r="N38" s="227" t="s">
        <v>146</v>
      </c>
      <c r="O38" s="208"/>
      <c r="P38" s="177"/>
      <c r="Q38" s="227" t="s">
        <v>146</v>
      </c>
      <c r="R38" s="207"/>
      <c r="S38" s="177"/>
      <c r="T38" s="227" t="s">
        <v>146</v>
      </c>
      <c r="U38" s="207"/>
      <c r="V38" s="177"/>
      <c r="W38" s="227" t="s">
        <v>146</v>
      </c>
      <c r="X38" s="208"/>
      <c r="Y38" s="177"/>
      <c r="Z38" s="207"/>
      <c r="AA38" s="207"/>
      <c r="AB38" s="177"/>
      <c r="AC38" s="207"/>
      <c r="AD38" s="207"/>
      <c r="AE38" s="177"/>
      <c r="AF38" s="265"/>
      <c r="AG38" s="208"/>
      <c r="AH38" s="177"/>
      <c r="AI38" s="227" t="s">
        <v>146</v>
      </c>
      <c r="AJ38" s="207"/>
      <c r="AK38" s="177"/>
      <c r="AL38" s="227" t="s">
        <v>146</v>
      </c>
      <c r="AM38" s="208"/>
      <c r="AN38" s="177"/>
      <c r="AO38" s="265"/>
      <c r="AP38" s="207"/>
      <c r="AQ38" s="177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</row>
    <row r="39">
      <c r="A39" s="260">
        <v>218.0</v>
      </c>
      <c r="B39" s="212" t="s">
        <v>152</v>
      </c>
      <c r="C39" s="253" t="s">
        <v>153</v>
      </c>
      <c r="D39" s="253" t="s">
        <v>154</v>
      </c>
      <c r="E39" s="220" t="s">
        <v>155</v>
      </c>
      <c r="F39" s="206"/>
      <c r="G39" s="204"/>
      <c r="H39" s="207"/>
      <c r="I39" s="208"/>
      <c r="J39" s="177"/>
      <c r="K39" s="224" t="s">
        <v>71</v>
      </c>
      <c r="L39" s="207"/>
      <c r="M39" s="177"/>
      <c r="N39" s="207"/>
      <c r="O39" s="208"/>
      <c r="P39" s="177"/>
      <c r="Q39" s="207"/>
      <c r="R39" s="207"/>
      <c r="S39" s="177"/>
      <c r="T39" s="207"/>
      <c r="U39" s="207"/>
      <c r="V39" s="177"/>
      <c r="W39" s="207"/>
      <c r="X39" s="208"/>
      <c r="Y39" s="177"/>
      <c r="Z39" s="207"/>
      <c r="AA39" s="207"/>
      <c r="AB39" s="177"/>
      <c r="AC39" s="207"/>
      <c r="AD39" s="207"/>
      <c r="AE39" s="177"/>
      <c r="AF39" s="207"/>
      <c r="AG39" s="208"/>
      <c r="AH39" s="177"/>
      <c r="AI39" s="207"/>
      <c r="AJ39" s="207"/>
      <c r="AK39" s="177"/>
      <c r="AL39" s="207"/>
      <c r="AM39" s="208"/>
      <c r="AN39" s="177"/>
      <c r="AO39" s="207"/>
      <c r="AP39" s="207"/>
      <c r="AQ39" s="177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</row>
    <row r="40">
      <c r="A40" s="260">
        <v>219.0</v>
      </c>
      <c r="B40" s="212" t="s">
        <v>156</v>
      </c>
      <c r="C40" s="253" t="s">
        <v>157</v>
      </c>
      <c r="D40" s="203" t="s">
        <v>158</v>
      </c>
      <c r="E40" s="220" t="s">
        <v>159</v>
      </c>
      <c r="F40" s="206"/>
      <c r="G40" s="204"/>
      <c r="H40" s="207"/>
      <c r="I40" s="208"/>
      <c r="J40" s="177"/>
      <c r="K40" s="207"/>
      <c r="L40" s="207"/>
      <c r="M40" s="177"/>
      <c r="N40" s="226" t="s">
        <v>63</v>
      </c>
      <c r="O40" s="208"/>
      <c r="P40" s="177"/>
      <c r="Q40" s="211" t="s">
        <v>46</v>
      </c>
      <c r="R40" s="207"/>
      <c r="S40" s="177"/>
      <c r="T40" s="234"/>
      <c r="U40" s="207"/>
      <c r="V40" s="177"/>
      <c r="W40" s="207"/>
      <c r="X40" s="208"/>
      <c r="Y40" s="177"/>
      <c r="Z40" s="207"/>
      <c r="AA40" s="207"/>
      <c r="AB40" s="177"/>
      <c r="AC40" s="207"/>
      <c r="AD40" s="207"/>
      <c r="AE40" s="177"/>
      <c r="AF40" s="207"/>
      <c r="AG40" s="208"/>
      <c r="AH40" s="177"/>
      <c r="AI40" s="211" t="s">
        <v>46</v>
      </c>
      <c r="AJ40" s="207"/>
      <c r="AK40" s="177"/>
      <c r="AL40" s="234"/>
      <c r="AM40" s="208"/>
      <c r="AN40" s="177"/>
      <c r="AO40" s="207"/>
      <c r="AP40" s="207"/>
      <c r="AQ40" s="177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</row>
    <row r="41">
      <c r="A41" s="273">
        <v>220.0</v>
      </c>
      <c r="B41" s="274" t="s">
        <v>160</v>
      </c>
      <c r="C41" s="275" t="s">
        <v>161</v>
      </c>
      <c r="D41" s="276" t="s">
        <v>162</v>
      </c>
      <c r="E41" s="269" t="s">
        <v>159</v>
      </c>
      <c r="F41" s="206"/>
      <c r="G41" s="223"/>
      <c r="H41" s="234"/>
      <c r="I41" s="208"/>
      <c r="J41" s="177"/>
      <c r="K41" s="207"/>
      <c r="L41" s="207"/>
      <c r="M41" s="177"/>
      <c r="N41" s="207"/>
      <c r="O41" s="208"/>
      <c r="P41" s="177"/>
      <c r="Q41" s="207"/>
      <c r="R41" s="207"/>
      <c r="S41" s="177"/>
      <c r="T41" s="228" t="s">
        <v>65</v>
      </c>
      <c r="U41" s="207"/>
      <c r="V41" s="177"/>
      <c r="W41" s="207"/>
      <c r="X41" s="208"/>
      <c r="Y41" s="177"/>
      <c r="Z41" s="207"/>
      <c r="AA41" s="207"/>
      <c r="AB41" s="177"/>
      <c r="AC41" s="207"/>
      <c r="AD41" s="207"/>
      <c r="AE41" s="177"/>
      <c r="AF41" s="207"/>
      <c r="AG41" s="208"/>
      <c r="AH41" s="177"/>
      <c r="AI41" s="207"/>
      <c r="AJ41" s="207"/>
      <c r="AK41" s="177"/>
      <c r="AL41" s="207"/>
      <c r="AM41" s="208"/>
      <c r="AN41" s="177"/>
      <c r="AO41" s="207"/>
      <c r="AP41" s="207"/>
      <c r="AQ41" s="177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</row>
    <row r="42">
      <c r="A42" s="277">
        <v>221.0</v>
      </c>
      <c r="B42" s="278" t="s">
        <v>163</v>
      </c>
      <c r="C42" s="275" t="s">
        <v>164</v>
      </c>
      <c r="D42" s="276" t="s">
        <v>162</v>
      </c>
      <c r="E42" s="257" t="s">
        <v>159</v>
      </c>
      <c r="F42" s="206"/>
      <c r="G42" s="204"/>
      <c r="H42" s="207"/>
      <c r="I42" s="208"/>
      <c r="J42" s="177"/>
      <c r="K42" s="207"/>
      <c r="L42" s="207"/>
      <c r="M42" s="177"/>
      <c r="N42" s="207"/>
      <c r="O42" s="208"/>
      <c r="P42" s="177"/>
      <c r="Q42" s="207"/>
      <c r="R42" s="207"/>
      <c r="S42" s="177"/>
      <c r="T42" s="207"/>
      <c r="U42" s="207"/>
      <c r="V42" s="177"/>
      <c r="W42" s="207"/>
      <c r="X42" s="208"/>
      <c r="Y42" s="177"/>
      <c r="Z42" s="207"/>
      <c r="AA42" s="207"/>
      <c r="AB42" s="177"/>
      <c r="AC42" s="207"/>
      <c r="AD42" s="207"/>
      <c r="AE42" s="177"/>
      <c r="AF42" s="207"/>
      <c r="AG42" s="208"/>
      <c r="AH42" s="177"/>
      <c r="AI42" s="207"/>
      <c r="AJ42" s="207"/>
      <c r="AK42" s="177"/>
      <c r="AL42" s="207"/>
      <c r="AM42" s="208"/>
      <c r="AN42" s="177"/>
      <c r="AO42" s="207"/>
      <c r="AP42" s="207"/>
      <c r="AQ42" s="177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</row>
    <row r="43">
      <c r="A43" s="279">
        <v>226.0</v>
      </c>
      <c r="B43" s="280" t="s">
        <v>159</v>
      </c>
      <c r="C43" s="281" t="s">
        <v>165</v>
      </c>
      <c r="D43" s="282" t="s">
        <v>166</v>
      </c>
      <c r="E43" s="257" t="s">
        <v>159</v>
      </c>
      <c r="F43" s="177"/>
      <c r="G43" s="235"/>
      <c r="H43" s="235" t="s">
        <v>167</v>
      </c>
      <c r="I43" s="208"/>
      <c r="J43" s="177"/>
      <c r="K43" s="215" t="s">
        <v>51</v>
      </c>
      <c r="L43" s="207"/>
      <c r="M43" s="177"/>
      <c r="N43" s="207"/>
      <c r="O43" s="208"/>
      <c r="P43" s="177"/>
      <c r="Q43" s="207"/>
      <c r="R43" s="207"/>
      <c r="S43" s="177"/>
      <c r="T43" s="228" t="s">
        <v>65</v>
      </c>
      <c r="U43" s="207"/>
      <c r="V43" s="177"/>
      <c r="W43" s="207"/>
      <c r="X43" s="208"/>
      <c r="Y43" s="177"/>
      <c r="Z43" s="207"/>
      <c r="AA43" s="207"/>
      <c r="AB43" s="177"/>
      <c r="AC43" s="207"/>
      <c r="AD43" s="207"/>
      <c r="AE43" s="177"/>
      <c r="AF43" s="207"/>
      <c r="AG43" s="208"/>
      <c r="AH43" s="177"/>
      <c r="AI43" s="207"/>
      <c r="AJ43" s="207"/>
      <c r="AK43" s="177"/>
      <c r="AL43" s="207"/>
      <c r="AM43" s="208"/>
      <c r="AN43" s="177"/>
      <c r="AO43" s="207"/>
      <c r="AP43" s="207"/>
      <c r="AQ43" s="177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</row>
    <row r="44">
      <c r="A44" s="277">
        <v>222.0</v>
      </c>
      <c r="B44" s="283" t="s">
        <v>168</v>
      </c>
      <c r="C44" s="284" t="s">
        <v>169</v>
      </c>
      <c r="D44" s="285" t="s">
        <v>170</v>
      </c>
      <c r="E44" s="257" t="s">
        <v>159</v>
      </c>
      <c r="F44" s="206"/>
      <c r="G44" s="223"/>
      <c r="H44" s="234"/>
      <c r="I44" s="208"/>
      <c r="J44" s="177"/>
      <c r="K44" s="207"/>
      <c r="L44" s="207"/>
      <c r="M44" s="177"/>
      <c r="N44" s="207"/>
      <c r="O44" s="208"/>
      <c r="P44" s="177"/>
      <c r="Q44" s="207"/>
      <c r="R44" s="207"/>
      <c r="S44" s="177"/>
      <c r="T44" s="263" t="s">
        <v>131</v>
      </c>
      <c r="U44" s="207"/>
      <c r="V44" s="177"/>
      <c r="W44" s="234"/>
      <c r="X44" s="208"/>
      <c r="Y44" s="177"/>
      <c r="Z44" s="264" t="s">
        <v>132</v>
      </c>
      <c r="AA44" s="207"/>
      <c r="AB44" s="177"/>
      <c r="AC44" s="264" t="s">
        <v>133</v>
      </c>
      <c r="AD44" s="207"/>
      <c r="AE44" s="177"/>
      <c r="AF44" s="240" t="s">
        <v>134</v>
      </c>
      <c r="AG44" s="208"/>
      <c r="AH44" s="177"/>
      <c r="AI44" s="207"/>
      <c r="AJ44" s="207"/>
      <c r="AK44" s="177"/>
      <c r="AL44" s="286" t="s">
        <v>171</v>
      </c>
      <c r="AM44" s="208"/>
      <c r="AN44" s="177"/>
      <c r="AO44" s="207"/>
      <c r="AP44" s="207"/>
      <c r="AQ44" s="177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</row>
    <row r="45">
      <c r="A45" s="212"/>
      <c r="B45" s="34"/>
      <c r="C45" s="38"/>
      <c r="D45" s="38"/>
      <c r="E45" s="213"/>
      <c r="F45" s="206"/>
      <c r="G45" s="204"/>
      <c r="H45" s="207"/>
      <c r="I45" s="208"/>
      <c r="J45" s="177"/>
      <c r="K45" s="207"/>
      <c r="L45" s="207"/>
      <c r="M45" s="177"/>
      <c r="N45" s="207"/>
      <c r="O45" s="208"/>
      <c r="P45" s="177"/>
      <c r="Q45" s="207"/>
      <c r="R45" s="207"/>
      <c r="S45" s="177"/>
      <c r="T45" s="207"/>
      <c r="U45" s="207"/>
      <c r="V45" s="177"/>
      <c r="W45" s="207"/>
      <c r="X45" s="208"/>
      <c r="Y45" s="177"/>
      <c r="Z45" s="207"/>
      <c r="AA45" s="207"/>
      <c r="AB45" s="177"/>
      <c r="AC45" s="207"/>
      <c r="AD45" s="207"/>
      <c r="AE45" s="177"/>
      <c r="AF45" s="207"/>
      <c r="AG45" s="208"/>
      <c r="AH45" s="177"/>
      <c r="AI45" s="207"/>
      <c r="AJ45" s="207"/>
      <c r="AK45" s="177"/>
      <c r="AL45" s="207"/>
      <c r="AM45" s="208"/>
      <c r="AN45" s="177"/>
      <c r="AO45" s="207"/>
      <c r="AP45" s="207"/>
      <c r="AQ45" s="177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</row>
    <row r="46">
      <c r="A46" s="287">
        <v>224.0</v>
      </c>
      <c r="B46" s="36" t="s">
        <v>172</v>
      </c>
      <c r="C46" s="42" t="s">
        <v>173</v>
      </c>
      <c r="D46" s="42" t="s">
        <v>174</v>
      </c>
      <c r="E46" s="288" t="s">
        <v>124</v>
      </c>
      <c r="F46" s="206"/>
      <c r="G46" s="204"/>
      <c r="H46" s="207"/>
      <c r="I46" s="208"/>
      <c r="J46" s="177"/>
      <c r="K46" s="207"/>
      <c r="L46" s="207"/>
      <c r="M46" s="177"/>
      <c r="N46" s="207"/>
      <c r="O46" s="208"/>
      <c r="P46" s="177"/>
      <c r="Q46" s="207"/>
      <c r="R46" s="207"/>
      <c r="S46" s="177"/>
      <c r="T46" s="228" t="s">
        <v>65</v>
      </c>
      <c r="U46" s="207"/>
      <c r="V46" s="177"/>
      <c r="W46" s="207"/>
      <c r="X46" s="208"/>
      <c r="Y46" s="177"/>
      <c r="Z46" s="207"/>
      <c r="AA46" s="207"/>
      <c r="AB46" s="177"/>
      <c r="AC46" s="207"/>
      <c r="AD46" s="207"/>
      <c r="AE46" s="177"/>
      <c r="AF46" s="207"/>
      <c r="AG46" s="208"/>
      <c r="AH46" s="177"/>
      <c r="AI46" s="207"/>
      <c r="AJ46" s="207"/>
      <c r="AK46" s="177"/>
      <c r="AL46" s="207"/>
      <c r="AM46" s="208"/>
      <c r="AN46" s="177"/>
      <c r="AO46" s="207"/>
      <c r="AP46" s="207"/>
      <c r="AQ46" s="177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</row>
    <row r="47">
      <c r="A47" s="287">
        <v>225.0</v>
      </c>
      <c r="B47" s="34" t="s">
        <v>175</v>
      </c>
      <c r="C47" s="38" t="s">
        <v>176</v>
      </c>
      <c r="D47" s="38" t="s">
        <v>177</v>
      </c>
      <c r="E47" s="185" t="s">
        <v>178</v>
      </c>
      <c r="F47" s="270"/>
      <c r="G47" s="289"/>
      <c r="H47" s="289"/>
      <c r="I47" s="290"/>
      <c r="J47" s="270"/>
      <c r="K47" s="289"/>
      <c r="L47" s="289"/>
      <c r="M47" s="270"/>
      <c r="N47" s="289"/>
      <c r="O47" s="290"/>
      <c r="P47" s="270"/>
      <c r="Q47" s="217" t="s">
        <v>20</v>
      </c>
      <c r="R47" s="289"/>
      <c r="S47" s="270"/>
      <c r="T47" s="291" t="s">
        <v>179</v>
      </c>
      <c r="U47" s="289"/>
      <c r="V47" s="270"/>
      <c r="W47" s="217" t="s">
        <v>20</v>
      </c>
      <c r="X47" s="290"/>
      <c r="Y47" s="270"/>
      <c r="Z47" s="230" t="s">
        <v>29</v>
      </c>
      <c r="AA47" s="289"/>
      <c r="AB47" s="270"/>
      <c r="AC47" s="230" t="s">
        <v>29</v>
      </c>
      <c r="AD47" s="289"/>
      <c r="AE47" s="270"/>
      <c r="AF47" s="217" t="s">
        <v>20</v>
      </c>
      <c r="AG47" s="291" t="s">
        <v>179</v>
      </c>
      <c r="AH47" s="270"/>
      <c r="AI47" s="230" t="s">
        <v>29</v>
      </c>
      <c r="AJ47" s="289"/>
      <c r="AK47" s="270"/>
      <c r="AL47" s="291" t="s">
        <v>179</v>
      </c>
      <c r="AM47" s="290"/>
      <c r="AN47" s="270"/>
      <c r="AO47" s="217" t="s">
        <v>20</v>
      </c>
      <c r="AP47" s="289"/>
      <c r="AQ47" s="177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</row>
    <row r="48">
      <c r="A48" s="292"/>
      <c r="B48" s="34"/>
      <c r="C48" s="38"/>
      <c r="D48" s="38"/>
      <c r="E48" s="213"/>
      <c r="F48" s="248"/>
      <c r="G48" s="249"/>
      <c r="H48" s="207"/>
      <c r="I48" s="208"/>
      <c r="J48" s="177"/>
      <c r="K48" s="207"/>
      <c r="L48" s="207"/>
      <c r="M48" s="177"/>
      <c r="N48" s="207"/>
      <c r="O48" s="208"/>
      <c r="P48" s="177"/>
      <c r="Q48" s="207"/>
      <c r="R48" s="207"/>
      <c r="S48" s="177"/>
      <c r="T48" s="207"/>
      <c r="U48" s="207"/>
      <c r="V48" s="177"/>
      <c r="W48" s="207"/>
      <c r="X48" s="208"/>
      <c r="Y48" s="177"/>
      <c r="Z48" s="207"/>
      <c r="AA48" s="207"/>
      <c r="AB48" s="177"/>
      <c r="AC48" s="207"/>
      <c r="AD48" s="207"/>
      <c r="AE48" s="177"/>
      <c r="AF48" s="207"/>
      <c r="AG48" s="208"/>
      <c r="AH48" s="177"/>
      <c r="AI48" s="207"/>
      <c r="AJ48" s="207"/>
      <c r="AK48" s="177"/>
      <c r="AL48" s="207"/>
      <c r="AM48" s="208"/>
      <c r="AN48" s="177"/>
      <c r="AO48" s="207"/>
      <c r="AP48" s="207"/>
      <c r="AQ48" s="177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</row>
    <row r="49" ht="20.25" customHeight="1">
      <c r="A49" s="196" t="s">
        <v>181</v>
      </c>
      <c r="B49" s="197"/>
      <c r="C49" s="197"/>
      <c r="D49" s="198"/>
      <c r="E49" s="199"/>
      <c r="F49" s="177"/>
      <c r="G49" s="189"/>
      <c r="H49" s="189" t="s">
        <v>2</v>
      </c>
      <c r="I49" s="189" t="s">
        <v>2</v>
      </c>
      <c r="J49" s="187"/>
      <c r="K49" s="188" t="s">
        <v>34</v>
      </c>
      <c r="L49" s="188" t="s">
        <v>34</v>
      </c>
      <c r="M49" s="187"/>
      <c r="N49" s="189" t="s">
        <v>5</v>
      </c>
      <c r="O49" s="189" t="s">
        <v>5</v>
      </c>
      <c r="P49" s="187"/>
      <c r="Q49" s="188" t="s">
        <v>7</v>
      </c>
      <c r="R49" s="188" t="s">
        <v>7</v>
      </c>
      <c r="S49" s="187"/>
      <c r="T49" s="189" t="s">
        <v>8</v>
      </c>
      <c r="U49" s="189" t="s">
        <v>8</v>
      </c>
      <c r="V49" s="187"/>
      <c r="W49" s="188" t="s">
        <v>10</v>
      </c>
      <c r="X49" s="188" t="s">
        <v>10</v>
      </c>
      <c r="Y49" s="187"/>
      <c r="Z49" s="189" t="s">
        <v>11</v>
      </c>
      <c r="AA49" s="189" t="s">
        <v>11</v>
      </c>
      <c r="AB49" s="187"/>
      <c r="AC49" s="188" t="s">
        <v>35</v>
      </c>
      <c r="AD49" s="188" t="s">
        <v>35</v>
      </c>
      <c r="AE49" s="187"/>
      <c r="AF49" s="189" t="s">
        <v>36</v>
      </c>
      <c r="AG49" s="189" t="s">
        <v>36</v>
      </c>
      <c r="AH49" s="187"/>
      <c r="AI49" s="188" t="s">
        <v>14</v>
      </c>
      <c r="AJ49" s="188" t="s">
        <v>14</v>
      </c>
      <c r="AK49" s="187"/>
      <c r="AL49" s="189" t="s">
        <v>37</v>
      </c>
      <c r="AM49" s="189" t="s">
        <v>37</v>
      </c>
      <c r="AN49" s="187"/>
      <c r="AO49" s="188" t="s">
        <v>38</v>
      </c>
      <c r="AP49" s="191" t="s">
        <v>38</v>
      </c>
      <c r="AQ49" s="177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</row>
    <row r="50">
      <c r="A50" s="251"/>
      <c r="B50" s="252" t="s">
        <v>31</v>
      </c>
      <c r="C50" s="253" t="s">
        <v>32</v>
      </c>
      <c r="D50" s="253" t="s">
        <v>33</v>
      </c>
      <c r="E50" s="205"/>
      <c r="F50" s="206"/>
      <c r="G50" s="193"/>
      <c r="H50" s="294"/>
      <c r="I50" s="207"/>
      <c r="J50" s="177"/>
      <c r="K50" s="207"/>
      <c r="L50" s="207"/>
      <c r="M50" s="177"/>
      <c r="N50" s="207"/>
      <c r="O50" s="207"/>
      <c r="P50" s="177"/>
      <c r="Q50" s="207"/>
      <c r="R50" s="207"/>
      <c r="S50" s="177"/>
      <c r="T50" s="207"/>
      <c r="U50" s="207"/>
      <c r="V50" s="177"/>
      <c r="W50" s="207"/>
      <c r="X50" s="207"/>
      <c r="Y50" s="177"/>
      <c r="Z50" s="207"/>
      <c r="AA50" s="207"/>
      <c r="AB50" s="177"/>
      <c r="AC50" s="207"/>
      <c r="AD50" s="207"/>
      <c r="AE50" s="177"/>
      <c r="AF50" s="295"/>
      <c r="AG50" s="207"/>
      <c r="AH50" s="177"/>
      <c r="AI50" s="207"/>
      <c r="AJ50" s="207"/>
      <c r="AK50" s="177"/>
      <c r="AL50" s="207"/>
      <c r="AM50" s="207"/>
      <c r="AN50" s="177"/>
      <c r="AO50" s="207"/>
      <c r="AP50" s="207"/>
      <c r="AQ50" s="177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</row>
    <row r="51">
      <c r="A51" s="251"/>
      <c r="B51" s="252"/>
      <c r="C51" s="253"/>
      <c r="D51" s="253"/>
      <c r="E51" s="205"/>
      <c r="F51" s="206"/>
      <c r="G51" s="193"/>
      <c r="H51" s="294"/>
      <c r="I51" s="207"/>
      <c r="J51" s="177"/>
      <c r="K51" s="207"/>
      <c r="L51" s="207"/>
      <c r="M51" s="177"/>
      <c r="N51" s="207"/>
      <c r="O51" s="207"/>
      <c r="P51" s="177"/>
      <c r="Q51" s="207"/>
      <c r="R51" s="207"/>
      <c r="S51" s="177"/>
      <c r="T51" s="207"/>
      <c r="U51" s="207"/>
      <c r="V51" s="177"/>
      <c r="W51" s="207"/>
      <c r="X51" s="207"/>
      <c r="Y51" s="177"/>
      <c r="Z51" s="207"/>
      <c r="AA51" s="207"/>
      <c r="AB51" s="177"/>
      <c r="AC51" s="207"/>
      <c r="AD51" s="207"/>
      <c r="AE51" s="177"/>
      <c r="AF51" s="295"/>
      <c r="AG51" s="207"/>
      <c r="AH51" s="177"/>
      <c r="AI51" s="207"/>
      <c r="AJ51" s="207"/>
      <c r="AK51" s="177"/>
      <c r="AL51" s="207"/>
      <c r="AM51" s="207"/>
      <c r="AN51" s="177"/>
      <c r="AO51" s="207"/>
      <c r="AP51" s="207"/>
      <c r="AQ51" s="177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</row>
    <row r="52">
      <c r="A52" s="258">
        <v>301.0</v>
      </c>
      <c r="B52" s="212" t="s">
        <v>182</v>
      </c>
      <c r="C52" s="203" t="s">
        <v>183</v>
      </c>
      <c r="D52" s="203" t="s">
        <v>184</v>
      </c>
      <c r="E52" s="257" t="s">
        <v>185</v>
      </c>
      <c r="F52" s="206"/>
      <c r="G52" s="193"/>
      <c r="H52" s="296" t="s">
        <v>186</v>
      </c>
      <c r="I52" s="297" t="s">
        <v>187</v>
      </c>
      <c r="J52" s="177"/>
      <c r="K52" s="207"/>
      <c r="L52" s="207"/>
      <c r="M52" s="177"/>
      <c r="N52" s="227" t="s">
        <v>188</v>
      </c>
      <c r="O52" s="259" t="s">
        <v>189</v>
      </c>
      <c r="P52" s="177"/>
      <c r="Q52" s="227" t="s">
        <v>64</v>
      </c>
      <c r="R52" s="207"/>
      <c r="S52" s="177"/>
      <c r="T52" s="227" t="s">
        <v>76</v>
      </c>
      <c r="U52" s="259" t="s">
        <v>189</v>
      </c>
      <c r="V52" s="177"/>
      <c r="W52" s="229" t="s">
        <v>66</v>
      </c>
      <c r="X52" s="259" t="s">
        <v>189</v>
      </c>
      <c r="Y52" s="177"/>
      <c r="Z52" s="227" t="s">
        <v>190</v>
      </c>
      <c r="AA52" s="259" t="s">
        <v>189</v>
      </c>
      <c r="AB52" s="177"/>
      <c r="AC52" s="229" t="s">
        <v>66</v>
      </c>
      <c r="AD52" s="207"/>
      <c r="AE52" s="177"/>
      <c r="AF52" s="259" t="s">
        <v>189</v>
      </c>
      <c r="AG52" s="207"/>
      <c r="AH52" s="177"/>
      <c r="AI52" s="207"/>
      <c r="AJ52" s="207"/>
      <c r="AK52" s="177"/>
      <c r="AL52" s="227" t="s">
        <v>64</v>
      </c>
      <c r="AM52" s="259" t="s">
        <v>189</v>
      </c>
      <c r="AN52" s="177"/>
      <c r="AO52" s="209" t="s">
        <v>45</v>
      </c>
      <c r="AP52" s="207"/>
      <c r="AQ52" s="177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</row>
    <row r="53">
      <c r="A53" s="258">
        <v>302.0</v>
      </c>
      <c r="B53" s="212" t="s">
        <v>182</v>
      </c>
      <c r="C53" s="253" t="s">
        <v>191</v>
      </c>
      <c r="D53" s="253" t="s">
        <v>192</v>
      </c>
      <c r="E53" s="257" t="s">
        <v>182</v>
      </c>
      <c r="F53" s="206"/>
      <c r="G53" s="298"/>
      <c r="H53" s="299" t="s">
        <v>193</v>
      </c>
      <c r="I53" s="209" t="s">
        <v>43</v>
      </c>
      <c r="J53" s="177"/>
      <c r="K53" s="234"/>
      <c r="L53" s="209" t="s">
        <v>43</v>
      </c>
      <c r="M53" s="177"/>
      <c r="N53" s="300" t="s">
        <v>193</v>
      </c>
      <c r="O53" s="209" t="s">
        <v>43</v>
      </c>
      <c r="P53" s="177"/>
      <c r="Q53" s="259" t="s">
        <v>189</v>
      </c>
      <c r="R53" s="209" t="s">
        <v>43</v>
      </c>
      <c r="S53" s="177"/>
      <c r="T53" s="301" t="s">
        <v>64</v>
      </c>
      <c r="U53" s="209" t="s">
        <v>43</v>
      </c>
      <c r="V53" s="177"/>
      <c r="W53" s="227" t="s">
        <v>76</v>
      </c>
      <c r="X53" s="209" t="s">
        <v>45</v>
      </c>
      <c r="Y53" s="177"/>
      <c r="Z53" s="300" t="s">
        <v>193</v>
      </c>
      <c r="AA53" s="209" t="s">
        <v>45</v>
      </c>
      <c r="AB53" s="177"/>
      <c r="AC53" s="259" t="s">
        <v>189</v>
      </c>
      <c r="AD53" s="209" t="s">
        <v>45</v>
      </c>
      <c r="AE53" s="177"/>
      <c r="AF53" s="300" t="s">
        <v>193</v>
      </c>
      <c r="AG53" s="209" t="s">
        <v>45</v>
      </c>
      <c r="AH53" s="177"/>
      <c r="AI53" s="259" t="s">
        <v>189</v>
      </c>
      <c r="AJ53" s="207"/>
      <c r="AK53" s="177"/>
      <c r="AL53" s="207"/>
      <c r="AM53" s="209" t="s">
        <v>45</v>
      </c>
      <c r="AN53" s="177"/>
      <c r="AO53" s="259" t="s">
        <v>189</v>
      </c>
      <c r="AP53" s="207"/>
      <c r="AQ53" s="177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</row>
    <row r="54">
      <c r="A54" s="258">
        <v>303.0</v>
      </c>
      <c r="B54" s="212" t="s">
        <v>182</v>
      </c>
      <c r="C54" s="253" t="s">
        <v>194</v>
      </c>
      <c r="D54" s="253" t="s">
        <v>195</v>
      </c>
      <c r="E54" s="257" t="s">
        <v>196</v>
      </c>
      <c r="F54" s="206"/>
      <c r="G54" s="193"/>
      <c r="H54" s="302" t="s">
        <v>197</v>
      </c>
      <c r="I54" s="207"/>
      <c r="J54" s="177"/>
      <c r="K54" s="234"/>
      <c r="L54" s="300" t="s">
        <v>193</v>
      </c>
      <c r="M54" s="177"/>
      <c r="N54" s="259" t="s">
        <v>189</v>
      </c>
      <c r="O54" s="207"/>
      <c r="P54" s="177"/>
      <c r="Q54" s="300" t="s">
        <v>193</v>
      </c>
      <c r="R54" s="207"/>
      <c r="S54" s="177"/>
      <c r="T54" s="259" t="s">
        <v>189</v>
      </c>
      <c r="U54" s="207"/>
      <c r="V54" s="177"/>
      <c r="W54" s="207"/>
      <c r="X54" s="207"/>
      <c r="Y54" s="177"/>
      <c r="Z54" s="259" t="s">
        <v>189</v>
      </c>
      <c r="AA54" s="207"/>
      <c r="AB54" s="177"/>
      <c r="AC54" s="300" t="s">
        <v>193</v>
      </c>
      <c r="AD54" s="259" t="s">
        <v>189</v>
      </c>
      <c r="AE54" s="177"/>
      <c r="AF54" s="259" t="s">
        <v>189</v>
      </c>
      <c r="AG54" s="207"/>
      <c r="AH54" s="177"/>
      <c r="AI54" s="207"/>
      <c r="AJ54" s="207"/>
      <c r="AK54" s="177"/>
      <c r="AL54" s="259" t="s">
        <v>189</v>
      </c>
      <c r="AM54" s="207"/>
      <c r="AN54" s="177"/>
      <c r="AO54" s="207"/>
      <c r="AP54" s="259" t="s">
        <v>189</v>
      </c>
      <c r="AQ54" s="177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</row>
    <row r="55">
      <c r="A55" s="258">
        <v>304.0</v>
      </c>
      <c r="B55" s="212" t="s">
        <v>182</v>
      </c>
      <c r="C55" s="253" t="s">
        <v>198</v>
      </c>
      <c r="D55" s="246" t="s">
        <v>199</v>
      </c>
      <c r="E55" s="257" t="s">
        <v>182</v>
      </c>
      <c r="F55" s="206"/>
      <c r="G55" s="223"/>
      <c r="H55" s="303" t="s">
        <v>200</v>
      </c>
      <c r="I55" s="224" t="s">
        <v>71</v>
      </c>
      <c r="J55" s="177"/>
      <c r="K55" s="222" t="s">
        <v>201</v>
      </c>
      <c r="L55" s="207"/>
      <c r="M55" s="177"/>
      <c r="N55" s="259" t="s">
        <v>189</v>
      </c>
      <c r="O55" s="304" t="s">
        <v>202</v>
      </c>
      <c r="P55" s="177"/>
      <c r="Q55" s="291" t="s">
        <v>179</v>
      </c>
      <c r="R55" s="259" t="s">
        <v>189</v>
      </c>
      <c r="S55" s="177"/>
      <c r="T55" s="305" t="s">
        <v>203</v>
      </c>
      <c r="U55" s="207"/>
      <c r="V55" s="177"/>
      <c r="W55" s="259" t="s">
        <v>189</v>
      </c>
      <c r="X55" s="207"/>
      <c r="Y55" s="177"/>
      <c r="Z55" s="303" t="s">
        <v>200</v>
      </c>
      <c r="AA55" s="207"/>
      <c r="AB55" s="177"/>
      <c r="AC55" s="259" t="s">
        <v>189</v>
      </c>
      <c r="AD55" s="207"/>
      <c r="AE55" s="177"/>
      <c r="AF55" s="291" t="s">
        <v>179</v>
      </c>
      <c r="AG55" s="304" t="s">
        <v>202</v>
      </c>
      <c r="AH55" s="177"/>
      <c r="AI55" s="259" t="s">
        <v>189</v>
      </c>
      <c r="AJ55" s="207"/>
      <c r="AK55" s="177"/>
      <c r="AL55" s="207"/>
      <c r="AM55" s="207"/>
      <c r="AN55" s="177"/>
      <c r="AO55" s="259" t="s">
        <v>189</v>
      </c>
      <c r="AP55" s="207"/>
      <c r="AQ55" s="177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</row>
    <row r="56">
      <c r="A56" s="258">
        <v>305.0</v>
      </c>
      <c r="B56" s="212" t="s">
        <v>182</v>
      </c>
      <c r="C56" s="253" t="s">
        <v>204</v>
      </c>
      <c r="D56" s="253" t="s">
        <v>205</v>
      </c>
      <c r="E56" s="257" t="s">
        <v>206</v>
      </c>
      <c r="F56" s="206"/>
      <c r="G56" s="193"/>
      <c r="H56" s="294"/>
      <c r="I56" s="297" t="s">
        <v>187</v>
      </c>
      <c r="J56" s="177"/>
      <c r="K56" s="207"/>
      <c r="L56" s="207"/>
      <c r="M56" s="177"/>
      <c r="N56" s="226" t="s">
        <v>63</v>
      </c>
      <c r="O56" s="207"/>
      <c r="P56" s="177"/>
      <c r="Q56" s="207"/>
      <c r="R56" s="259" t="s">
        <v>189</v>
      </c>
      <c r="S56" s="177"/>
      <c r="T56" s="259" t="s">
        <v>189</v>
      </c>
      <c r="U56" s="207"/>
      <c r="V56" s="177"/>
      <c r="W56" s="207"/>
      <c r="X56" s="259" t="s">
        <v>189</v>
      </c>
      <c r="Y56" s="177"/>
      <c r="Z56" s="259" t="s">
        <v>189</v>
      </c>
      <c r="AA56" s="207"/>
      <c r="AB56" s="177"/>
      <c r="AC56" s="207"/>
      <c r="AD56" s="207"/>
      <c r="AE56" s="177"/>
      <c r="AF56" s="259" t="s">
        <v>189</v>
      </c>
      <c r="AG56" s="207"/>
      <c r="AH56" s="177"/>
      <c r="AI56" s="227" t="s">
        <v>76</v>
      </c>
      <c r="AJ56" s="259" t="s">
        <v>189</v>
      </c>
      <c r="AK56" s="177"/>
      <c r="AL56" s="259" t="s">
        <v>189</v>
      </c>
      <c r="AM56" s="265"/>
      <c r="AN56" s="177"/>
      <c r="AO56" s="207"/>
      <c r="AP56" s="207"/>
      <c r="AQ56" s="177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</row>
    <row r="57">
      <c r="A57" s="306"/>
      <c r="B57" s="252"/>
      <c r="C57" s="253"/>
      <c r="D57" s="253"/>
      <c r="E57" s="205"/>
      <c r="F57" s="206"/>
      <c r="G57" s="193"/>
      <c r="H57" s="294"/>
      <c r="I57" s="207"/>
      <c r="J57" s="177"/>
      <c r="K57" s="207"/>
      <c r="L57" s="207"/>
      <c r="M57" s="177"/>
      <c r="N57" s="207"/>
      <c r="O57" s="207"/>
      <c r="P57" s="177"/>
      <c r="Q57" s="207"/>
      <c r="R57" s="207"/>
      <c r="S57" s="177"/>
      <c r="T57" s="207"/>
      <c r="U57" s="207"/>
      <c r="V57" s="177"/>
      <c r="W57" s="207"/>
      <c r="X57" s="207"/>
      <c r="Y57" s="177"/>
      <c r="Z57" s="207"/>
      <c r="AA57" s="207"/>
      <c r="AB57" s="177"/>
      <c r="AC57" s="207"/>
      <c r="AD57" s="207"/>
      <c r="AE57" s="177"/>
      <c r="AF57" s="295"/>
      <c r="AG57" s="207"/>
      <c r="AH57" s="177"/>
      <c r="AI57" s="207"/>
      <c r="AJ57" s="207"/>
      <c r="AK57" s="177"/>
      <c r="AL57" s="207"/>
      <c r="AM57" s="207"/>
      <c r="AN57" s="177"/>
      <c r="AO57" s="207"/>
      <c r="AP57" s="207"/>
      <c r="AQ57" s="177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</row>
    <row r="58">
      <c r="A58" s="260">
        <v>306.0</v>
      </c>
      <c r="B58" s="252" t="s">
        <v>207</v>
      </c>
      <c r="C58" s="253" t="s">
        <v>208</v>
      </c>
      <c r="D58" s="253" t="s">
        <v>209</v>
      </c>
      <c r="E58" s="257" t="s">
        <v>210</v>
      </c>
      <c r="F58" s="206"/>
      <c r="G58" s="193"/>
      <c r="H58" s="224" t="s">
        <v>71</v>
      </c>
      <c r="I58" s="207"/>
      <c r="J58" s="177"/>
      <c r="K58" s="231" t="s">
        <v>211</v>
      </c>
      <c r="L58" s="222" t="s">
        <v>201</v>
      </c>
      <c r="M58" s="177"/>
      <c r="N58" s="307" t="s">
        <v>212</v>
      </c>
      <c r="O58" s="207"/>
      <c r="P58" s="177"/>
      <c r="Q58" s="207"/>
      <c r="R58" s="207"/>
      <c r="S58" s="177"/>
      <c r="T58" s="207"/>
      <c r="U58" s="207"/>
      <c r="V58" s="177"/>
      <c r="W58" s="207"/>
      <c r="X58" s="207"/>
      <c r="Y58" s="177"/>
      <c r="Z58" s="207"/>
      <c r="AA58" s="207"/>
      <c r="AB58" s="177"/>
      <c r="AC58" s="207"/>
      <c r="AD58" s="207"/>
      <c r="AE58" s="177"/>
      <c r="AF58" s="295"/>
      <c r="AG58" s="207"/>
      <c r="AH58" s="177"/>
      <c r="AI58" s="207"/>
      <c r="AJ58" s="207"/>
      <c r="AK58" s="177"/>
      <c r="AL58" s="207"/>
      <c r="AM58" s="207"/>
      <c r="AN58" s="177"/>
      <c r="AO58" s="207"/>
      <c r="AP58" s="217" t="s">
        <v>20</v>
      </c>
      <c r="AQ58" s="177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</row>
    <row r="59">
      <c r="A59" s="306"/>
      <c r="B59" s="252"/>
      <c r="C59" s="253"/>
      <c r="D59" s="253"/>
      <c r="E59" s="205"/>
      <c r="F59" s="206"/>
      <c r="G59" s="193"/>
      <c r="H59" s="294"/>
      <c r="I59" s="207"/>
      <c r="J59" s="177"/>
      <c r="K59" s="207"/>
      <c r="L59" s="207"/>
      <c r="M59" s="177"/>
      <c r="N59" s="207"/>
      <c r="O59" s="207"/>
      <c r="P59" s="177"/>
      <c r="Q59" s="207"/>
      <c r="R59" s="207"/>
      <c r="S59" s="177"/>
      <c r="T59" s="207"/>
      <c r="U59" s="207"/>
      <c r="V59" s="177"/>
      <c r="W59" s="207"/>
      <c r="X59" s="207"/>
      <c r="Y59" s="177"/>
      <c r="Z59" s="207"/>
      <c r="AA59" s="207"/>
      <c r="AB59" s="177"/>
      <c r="AC59" s="207"/>
      <c r="AD59" s="207"/>
      <c r="AE59" s="177"/>
      <c r="AF59" s="295"/>
      <c r="AG59" s="207"/>
      <c r="AH59" s="177"/>
      <c r="AI59" s="207"/>
      <c r="AJ59" s="207"/>
      <c r="AK59" s="177"/>
      <c r="AL59" s="207"/>
      <c r="AM59" s="207"/>
      <c r="AN59" s="177"/>
      <c r="AO59" s="207"/>
      <c r="AP59" s="207"/>
      <c r="AQ59" s="177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</row>
    <row r="60">
      <c r="A60" s="260">
        <v>307.0</v>
      </c>
      <c r="B60" s="252" t="s">
        <v>213</v>
      </c>
      <c r="C60" s="253" t="s">
        <v>213</v>
      </c>
      <c r="D60" s="203" t="s">
        <v>214</v>
      </c>
      <c r="E60" s="257" t="s">
        <v>215</v>
      </c>
      <c r="F60" s="206"/>
      <c r="G60" s="309"/>
      <c r="H60" s="222" t="s">
        <v>201</v>
      </c>
      <c r="I60" s="310" t="s">
        <v>216</v>
      </c>
      <c r="J60" s="177"/>
      <c r="K60" s="224" t="s">
        <v>62</v>
      </c>
      <c r="L60" s="207"/>
      <c r="M60" s="177"/>
      <c r="N60" s="291" t="s">
        <v>179</v>
      </c>
      <c r="O60" s="227" t="s">
        <v>64</v>
      </c>
      <c r="P60" s="177"/>
      <c r="Q60" s="305" t="s">
        <v>203</v>
      </c>
      <c r="R60" s="304" t="s">
        <v>202</v>
      </c>
      <c r="S60" s="177"/>
      <c r="T60" s="291" t="s">
        <v>179</v>
      </c>
      <c r="U60" s="227" t="s">
        <v>76</v>
      </c>
      <c r="V60" s="177"/>
      <c r="X60" s="291" t="s">
        <v>179</v>
      </c>
      <c r="Y60" s="177"/>
      <c r="Z60" s="207"/>
      <c r="AA60" s="207"/>
      <c r="AB60" s="177"/>
      <c r="AC60" s="207"/>
      <c r="AD60" s="207"/>
      <c r="AE60" s="177"/>
      <c r="AF60" s="291" t="s">
        <v>179</v>
      </c>
      <c r="AG60" s="304" t="s">
        <v>202</v>
      </c>
      <c r="AH60" s="177"/>
      <c r="AI60" s="207"/>
      <c r="AJ60" s="291" t="s">
        <v>179</v>
      </c>
      <c r="AK60" s="177"/>
      <c r="AL60" s="207"/>
      <c r="AM60" s="207"/>
      <c r="AN60" s="177"/>
      <c r="AO60" s="207"/>
      <c r="AP60" s="207"/>
      <c r="AQ60" s="177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</row>
    <row r="61">
      <c r="A61" s="306"/>
      <c r="B61" s="252"/>
      <c r="C61" s="253"/>
      <c r="D61" s="253"/>
      <c r="E61" s="205"/>
      <c r="F61" s="206"/>
      <c r="G61" s="193"/>
      <c r="H61" s="294"/>
      <c r="I61" s="207"/>
      <c r="J61" s="177"/>
      <c r="K61" s="207"/>
      <c r="L61" s="207"/>
      <c r="M61" s="177"/>
      <c r="N61" s="207"/>
      <c r="O61" s="207"/>
      <c r="P61" s="177"/>
      <c r="Q61" s="207"/>
      <c r="R61" s="207"/>
      <c r="S61" s="177"/>
      <c r="T61" s="207"/>
      <c r="U61" s="207"/>
      <c r="V61" s="177"/>
      <c r="W61" s="207"/>
      <c r="X61" s="207"/>
      <c r="Y61" s="177"/>
      <c r="Z61" s="207"/>
      <c r="AA61" s="207"/>
      <c r="AB61" s="177"/>
      <c r="AC61" s="207"/>
      <c r="AD61" s="207"/>
      <c r="AE61" s="177"/>
      <c r="AF61" s="295"/>
      <c r="AG61" s="207"/>
      <c r="AH61" s="177"/>
      <c r="AJ61" s="207"/>
      <c r="AK61" s="177"/>
      <c r="AL61" s="291" t="s">
        <v>179</v>
      </c>
      <c r="AM61" s="207"/>
      <c r="AN61" s="177"/>
      <c r="AO61" s="207"/>
      <c r="AP61" s="207"/>
      <c r="AQ61" s="177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</row>
    <row r="62">
      <c r="A62" s="260">
        <v>308.0</v>
      </c>
      <c r="B62" s="252" t="s">
        <v>196</v>
      </c>
      <c r="C62" s="253" t="s">
        <v>217</v>
      </c>
      <c r="D62" s="253" t="s">
        <v>218</v>
      </c>
      <c r="E62" s="257" t="s">
        <v>196</v>
      </c>
      <c r="F62" s="206"/>
      <c r="G62" s="223"/>
      <c r="H62" s="224" t="s">
        <v>62</v>
      </c>
      <c r="I62" s="207"/>
      <c r="J62" s="177"/>
      <c r="K62" s="207"/>
      <c r="L62" s="297" t="s">
        <v>187</v>
      </c>
      <c r="M62" s="177"/>
      <c r="N62" s="207"/>
      <c r="O62" s="207"/>
      <c r="P62" s="177"/>
      <c r="Q62" s="291" t="s">
        <v>179</v>
      </c>
      <c r="R62" s="207"/>
      <c r="S62" s="177"/>
      <c r="T62" s="207"/>
      <c r="U62" s="207"/>
      <c r="V62" s="177"/>
      <c r="W62" s="207"/>
      <c r="X62" s="207"/>
      <c r="Y62" s="177"/>
      <c r="Z62" s="304" t="s">
        <v>202</v>
      </c>
      <c r="AA62" s="207"/>
      <c r="AB62" s="177"/>
      <c r="AC62" s="207"/>
      <c r="AD62" s="207"/>
      <c r="AE62" s="177"/>
      <c r="AF62" s="295"/>
      <c r="AG62" s="207"/>
      <c r="AH62" s="177"/>
      <c r="AI62" s="291" t="s">
        <v>179</v>
      </c>
      <c r="AK62" s="177"/>
      <c r="AL62" s="207"/>
      <c r="AM62" s="207"/>
      <c r="AN62" s="177"/>
      <c r="AO62" s="304" t="s">
        <v>202</v>
      </c>
      <c r="AP62" s="207"/>
      <c r="AQ62" s="177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</row>
    <row r="63">
      <c r="A63" s="260">
        <v>309.0</v>
      </c>
      <c r="B63" s="252" t="s">
        <v>196</v>
      </c>
      <c r="C63" s="253" t="s">
        <v>219</v>
      </c>
      <c r="D63" s="253" t="s">
        <v>220</v>
      </c>
      <c r="E63" s="257" t="s">
        <v>221</v>
      </c>
      <c r="F63" s="206"/>
      <c r="G63" s="309"/>
      <c r="H63" s="222" t="s">
        <v>201</v>
      </c>
      <c r="I63" s="313" t="s">
        <v>222</v>
      </c>
      <c r="J63" s="177"/>
      <c r="K63" s="224" t="s">
        <v>81</v>
      </c>
      <c r="L63" s="207"/>
      <c r="M63" s="177"/>
      <c r="N63" s="305" t="s">
        <v>203</v>
      </c>
      <c r="O63" s="291" t="s">
        <v>179</v>
      </c>
      <c r="P63" s="177"/>
      <c r="Q63" s="227" t="s">
        <v>76</v>
      </c>
      <c r="R63" s="291" t="s">
        <v>179</v>
      </c>
      <c r="S63" s="177"/>
      <c r="T63" s="304" t="s">
        <v>202</v>
      </c>
      <c r="U63" s="227" t="s">
        <v>64</v>
      </c>
      <c r="V63" s="177"/>
      <c r="W63" s="291" t="s">
        <v>179</v>
      </c>
      <c r="X63" s="207"/>
      <c r="Y63" s="177"/>
      <c r="Z63" s="207"/>
      <c r="AA63" s="207"/>
      <c r="AB63" s="177"/>
      <c r="AC63" s="207"/>
      <c r="AD63" s="207"/>
      <c r="AE63" s="177"/>
      <c r="AF63" s="291" t="s">
        <v>179</v>
      </c>
      <c r="AG63" s="207"/>
      <c r="AH63" s="177"/>
      <c r="AK63" s="177"/>
      <c r="AL63" s="304" t="s">
        <v>202</v>
      </c>
      <c r="AM63" s="207"/>
      <c r="AN63" s="177"/>
      <c r="AO63" s="207"/>
      <c r="AP63" s="207"/>
      <c r="AQ63" s="177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</row>
    <row r="64">
      <c r="A64" s="260">
        <v>310.0</v>
      </c>
      <c r="B64" s="252" t="s">
        <v>196</v>
      </c>
      <c r="C64" s="253" t="s">
        <v>223</v>
      </c>
      <c r="D64" s="253" t="s">
        <v>224</v>
      </c>
      <c r="E64" s="257" t="s">
        <v>225</v>
      </c>
      <c r="F64" s="206"/>
      <c r="G64" s="314"/>
      <c r="H64" s="296" t="s">
        <v>186</v>
      </c>
      <c r="I64" s="207"/>
      <c r="J64" s="177"/>
      <c r="K64" s="222" t="s">
        <v>201</v>
      </c>
      <c r="L64" s="231" t="s">
        <v>211</v>
      </c>
      <c r="M64" s="177"/>
      <c r="N64" s="305" t="s">
        <v>203</v>
      </c>
      <c r="O64" s="207"/>
      <c r="P64" s="177"/>
      <c r="Q64" s="305" t="s">
        <v>203</v>
      </c>
      <c r="R64" s="264" t="s">
        <v>226</v>
      </c>
      <c r="S64" s="177"/>
      <c r="T64" s="305" t="s">
        <v>203</v>
      </c>
      <c r="U64" s="291" t="s">
        <v>179</v>
      </c>
      <c r="V64" s="177"/>
      <c r="W64" s="207"/>
      <c r="X64" s="304" t="s">
        <v>202</v>
      </c>
      <c r="Y64" s="177"/>
      <c r="Z64" s="207"/>
      <c r="AA64" s="207"/>
      <c r="AB64" s="177"/>
      <c r="AC64" s="207"/>
      <c r="AD64" s="207"/>
      <c r="AE64" s="177"/>
      <c r="AF64" s="295"/>
      <c r="AG64" s="207"/>
      <c r="AH64" s="177"/>
      <c r="AI64" s="227" t="s">
        <v>64</v>
      </c>
      <c r="AJ64" s="304" t="s">
        <v>202</v>
      </c>
      <c r="AK64" s="177"/>
      <c r="AL64" s="207"/>
      <c r="AM64" s="207"/>
      <c r="AN64" s="177"/>
      <c r="AO64" s="207"/>
      <c r="AP64" s="207"/>
      <c r="AQ64" s="177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</row>
    <row r="65">
      <c r="A65" s="260">
        <v>311.0</v>
      </c>
      <c r="B65" s="212" t="s">
        <v>196</v>
      </c>
      <c r="C65" s="246" t="s">
        <v>227</v>
      </c>
      <c r="D65" s="203" t="s">
        <v>228</v>
      </c>
      <c r="E65" s="257" t="s">
        <v>225</v>
      </c>
      <c r="F65" s="206"/>
      <c r="G65" s="315"/>
      <c r="H65" s="303" t="s">
        <v>200</v>
      </c>
      <c r="I65" s="231" t="s">
        <v>211</v>
      </c>
      <c r="J65" s="177"/>
      <c r="K65" s="264" t="s">
        <v>226</v>
      </c>
      <c r="L65" s="302" t="s">
        <v>197</v>
      </c>
      <c r="M65" s="177"/>
      <c r="N65" s="226" t="s">
        <v>63</v>
      </c>
      <c r="O65" s="207"/>
      <c r="P65" s="177"/>
      <c r="R65" s="207"/>
      <c r="S65" s="177"/>
      <c r="T65" s="207"/>
      <c r="U65" s="207"/>
      <c r="V65" s="177"/>
      <c r="W65" s="207"/>
      <c r="X65" s="207"/>
      <c r="Y65" s="177"/>
      <c r="Z65" s="303" t="s">
        <v>200</v>
      </c>
      <c r="AA65" s="207"/>
      <c r="AB65" s="177"/>
      <c r="AC65" s="207"/>
      <c r="AD65" s="207"/>
      <c r="AE65" s="177"/>
      <c r="AF65" s="295"/>
      <c r="AG65" s="207"/>
      <c r="AH65" s="177"/>
      <c r="AI65" s="207"/>
      <c r="AJ65" s="207"/>
      <c r="AK65" s="177"/>
      <c r="AL65" s="207"/>
      <c r="AM65" s="207"/>
      <c r="AN65" s="177"/>
      <c r="AO65" s="207"/>
      <c r="AP65" s="207"/>
      <c r="AQ65" s="177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</row>
    <row r="66">
      <c r="A66" s="306"/>
      <c r="B66" s="252"/>
      <c r="C66" s="253"/>
      <c r="D66" s="253"/>
      <c r="E66" s="205"/>
      <c r="F66" s="206"/>
      <c r="G66" s="193"/>
      <c r="H66" s="294"/>
      <c r="I66" s="207"/>
      <c r="J66" s="177"/>
      <c r="K66" s="207"/>
      <c r="L66" s="207"/>
      <c r="M66" s="177"/>
      <c r="N66" s="207"/>
      <c r="O66" s="207"/>
      <c r="P66" s="177"/>
      <c r="Q66" s="207"/>
      <c r="R66" s="207"/>
      <c r="S66" s="177"/>
      <c r="T66" s="207"/>
      <c r="U66" s="207"/>
      <c r="V66" s="177"/>
      <c r="W66" s="207"/>
      <c r="X66" s="207"/>
      <c r="Y66" s="177"/>
      <c r="Z66" s="207"/>
      <c r="AA66" s="207"/>
      <c r="AB66" s="177"/>
      <c r="AC66" s="207"/>
      <c r="AD66" s="207"/>
      <c r="AE66" s="177"/>
      <c r="AF66" s="295"/>
      <c r="AG66" s="207"/>
      <c r="AH66" s="177"/>
      <c r="AI66" s="207"/>
      <c r="AJ66" s="207"/>
      <c r="AK66" s="177"/>
      <c r="AL66" s="207"/>
      <c r="AM66" s="207"/>
      <c r="AN66" s="177"/>
      <c r="AO66" s="207"/>
      <c r="AP66" s="207"/>
      <c r="AQ66" s="177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</row>
    <row r="67">
      <c r="A67" s="260">
        <v>312.0</v>
      </c>
      <c r="B67" s="252" t="s">
        <v>229</v>
      </c>
      <c r="C67" s="203" t="s">
        <v>230</v>
      </c>
      <c r="D67" s="253" t="s">
        <v>231</v>
      </c>
      <c r="E67" s="257" t="s">
        <v>196</v>
      </c>
      <c r="F67" s="206"/>
      <c r="G67" s="309"/>
      <c r="H67" s="231" t="s">
        <v>211</v>
      </c>
      <c r="I67" s="222" t="s">
        <v>201</v>
      </c>
      <c r="J67" s="177"/>
      <c r="K67" s="224" t="s">
        <v>71</v>
      </c>
      <c r="L67" s="207"/>
      <c r="M67" s="177"/>
      <c r="N67" s="264" t="s">
        <v>226</v>
      </c>
      <c r="O67" s="207"/>
      <c r="P67" s="177"/>
      <c r="Q67" s="291" t="s">
        <v>179</v>
      </c>
      <c r="R67" s="207"/>
      <c r="S67" s="177"/>
      <c r="T67" s="305" t="s">
        <v>203</v>
      </c>
      <c r="U67" s="304" t="s">
        <v>202</v>
      </c>
      <c r="V67" s="177"/>
      <c r="W67" s="207"/>
      <c r="X67" s="304" t="s">
        <v>202</v>
      </c>
      <c r="Y67" s="177"/>
      <c r="Z67" s="207"/>
      <c r="AA67" s="207"/>
      <c r="AB67" s="177"/>
      <c r="AC67" s="207"/>
      <c r="AD67" s="207"/>
      <c r="AE67" s="177"/>
      <c r="AF67" s="291" t="s">
        <v>179</v>
      </c>
      <c r="AG67" s="207"/>
      <c r="AH67" s="177"/>
      <c r="AI67" s="207"/>
      <c r="AJ67" s="207"/>
      <c r="AK67" s="177"/>
      <c r="AL67" s="207"/>
      <c r="AM67" s="304" t="s">
        <v>202</v>
      </c>
      <c r="AN67" s="177"/>
      <c r="AO67" s="207"/>
      <c r="AP67" s="207"/>
      <c r="AQ67" s="177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</row>
    <row r="68">
      <c r="A68" s="260">
        <v>313.0</v>
      </c>
      <c r="B68" s="202" t="s">
        <v>229</v>
      </c>
      <c r="C68" s="203" t="s">
        <v>232</v>
      </c>
      <c r="D68" s="253" t="s">
        <v>231</v>
      </c>
      <c r="E68" s="257" t="s">
        <v>229</v>
      </c>
      <c r="F68" s="206"/>
      <c r="G68" s="193"/>
      <c r="H68" s="222" t="s">
        <v>201</v>
      </c>
      <c r="I68" s="297" t="s">
        <v>187</v>
      </c>
      <c r="J68" s="177"/>
      <c r="K68" s="320" t="s">
        <v>233</v>
      </c>
      <c r="L68" s="231" t="s">
        <v>211</v>
      </c>
      <c r="M68" s="177"/>
      <c r="N68" s="227" t="s">
        <v>64</v>
      </c>
      <c r="O68" s="207"/>
      <c r="P68" s="177"/>
      <c r="Q68" s="305" t="s">
        <v>203</v>
      </c>
      <c r="R68" s="207"/>
      <c r="S68" s="177"/>
      <c r="T68" s="291" t="s">
        <v>179</v>
      </c>
      <c r="U68" s="207"/>
      <c r="V68" s="177"/>
      <c r="W68" s="207"/>
      <c r="X68" s="207"/>
      <c r="Y68" s="177"/>
      <c r="Z68" s="227" t="s">
        <v>190</v>
      </c>
      <c r="AA68" s="207"/>
      <c r="AB68" s="177"/>
      <c r="AC68" s="207"/>
      <c r="AD68" s="207"/>
      <c r="AE68" s="177"/>
      <c r="AF68" s="304" t="s">
        <v>202</v>
      </c>
      <c r="AG68" s="207"/>
      <c r="AH68" s="177"/>
      <c r="AI68" s="291" t="s">
        <v>179</v>
      </c>
      <c r="AJ68" s="227" t="s">
        <v>76</v>
      </c>
      <c r="AK68" s="177"/>
      <c r="AL68" s="207"/>
      <c r="AM68" s="207"/>
      <c r="AN68" s="177"/>
      <c r="AO68" s="207"/>
      <c r="AP68" s="207"/>
      <c r="AQ68" s="177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</row>
    <row r="69">
      <c r="A69" s="260">
        <v>314.0</v>
      </c>
      <c r="B69" s="252" t="s">
        <v>229</v>
      </c>
      <c r="C69" s="253" t="s">
        <v>234</v>
      </c>
      <c r="D69" s="253" t="s">
        <v>231</v>
      </c>
      <c r="E69" s="257" t="s">
        <v>196</v>
      </c>
      <c r="F69" s="206"/>
      <c r="G69" s="314"/>
      <c r="H69" s="296" t="s">
        <v>190</v>
      </c>
      <c r="I69" s="231" t="s">
        <v>211</v>
      </c>
      <c r="J69" s="177"/>
      <c r="K69" s="231" t="s">
        <v>211</v>
      </c>
      <c r="L69" s="207"/>
      <c r="M69" s="177"/>
      <c r="N69" s="305" t="s">
        <v>203</v>
      </c>
      <c r="O69" s="207"/>
      <c r="P69" s="177"/>
      <c r="Q69" s="227" t="s">
        <v>76</v>
      </c>
      <c r="R69" s="207"/>
      <c r="S69" s="177"/>
      <c r="T69" s="234"/>
      <c r="U69" s="207"/>
      <c r="V69" s="177"/>
      <c r="W69" s="291" t="s">
        <v>179</v>
      </c>
      <c r="X69" s="207"/>
      <c r="Y69" s="177"/>
      <c r="Z69" s="230" t="s">
        <v>29</v>
      </c>
      <c r="AA69" s="207"/>
      <c r="AB69" s="177"/>
      <c r="AC69" s="230" t="s">
        <v>29</v>
      </c>
      <c r="AD69" s="207"/>
      <c r="AE69" s="177"/>
      <c r="AF69" s="295"/>
      <c r="AG69" s="207"/>
      <c r="AH69" s="177"/>
      <c r="AI69" s="230" t="s">
        <v>29</v>
      </c>
      <c r="AJ69" s="207"/>
      <c r="AK69" s="177"/>
      <c r="AL69" s="291" t="s">
        <v>179</v>
      </c>
      <c r="AM69" s="207"/>
      <c r="AN69" s="177"/>
      <c r="AO69" s="207"/>
      <c r="AP69" s="207"/>
      <c r="AQ69" s="177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</row>
    <row r="70">
      <c r="A70" s="260">
        <v>315.0</v>
      </c>
      <c r="B70" s="252" t="s">
        <v>229</v>
      </c>
      <c r="C70" s="253" t="s">
        <v>235</v>
      </c>
      <c r="D70" s="253" t="s">
        <v>236</v>
      </c>
      <c r="E70" s="257" t="s">
        <v>229</v>
      </c>
      <c r="F70" s="206"/>
      <c r="G70" s="322"/>
      <c r="H70" s="323"/>
      <c r="I70" s="222" t="s">
        <v>201</v>
      </c>
      <c r="J70" s="177"/>
      <c r="K70" s="231" t="s">
        <v>211</v>
      </c>
      <c r="L70" s="207"/>
      <c r="M70" s="177"/>
      <c r="N70" s="291" t="s">
        <v>179</v>
      </c>
      <c r="O70" s="227" t="s">
        <v>64</v>
      </c>
      <c r="P70" s="177"/>
      <c r="Q70" s="304" t="s">
        <v>202</v>
      </c>
      <c r="R70" s="305" t="s">
        <v>203</v>
      </c>
      <c r="S70" s="177"/>
      <c r="T70" s="305" t="s">
        <v>203</v>
      </c>
      <c r="U70" s="227" t="s">
        <v>237</v>
      </c>
      <c r="V70" s="177"/>
      <c r="W70" s="207"/>
      <c r="X70" s="207"/>
      <c r="Y70" s="177"/>
      <c r="Z70" s="230" t="s">
        <v>29</v>
      </c>
      <c r="AA70" s="207"/>
      <c r="AB70" s="177"/>
      <c r="AC70" s="230" t="s">
        <v>29</v>
      </c>
      <c r="AD70" s="207"/>
      <c r="AE70" s="177"/>
      <c r="AF70" s="296" t="s">
        <v>76</v>
      </c>
      <c r="AG70" s="207"/>
      <c r="AH70" s="177"/>
      <c r="AI70" s="304" t="s">
        <v>202</v>
      </c>
      <c r="AJ70" s="207"/>
      <c r="AK70" s="177"/>
      <c r="AL70" s="207"/>
      <c r="AM70" s="207"/>
      <c r="AN70" s="177"/>
      <c r="AO70" s="304" t="s">
        <v>202</v>
      </c>
      <c r="AP70" s="207"/>
      <c r="AQ70" s="177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</row>
    <row r="71">
      <c r="A71" s="260">
        <v>316.0</v>
      </c>
      <c r="B71" s="252" t="s">
        <v>229</v>
      </c>
      <c r="C71" s="253" t="s">
        <v>238</v>
      </c>
      <c r="D71" s="253" t="s">
        <v>239</v>
      </c>
      <c r="E71" s="205"/>
      <c r="F71" s="206"/>
      <c r="G71" s="193"/>
      <c r="H71" s="323"/>
      <c r="I71" s="207"/>
      <c r="J71" s="177"/>
      <c r="K71" s="231" t="s">
        <v>211</v>
      </c>
      <c r="L71" s="222" t="s">
        <v>201</v>
      </c>
      <c r="M71" s="177"/>
      <c r="N71" s="207"/>
      <c r="O71" s="207"/>
      <c r="P71" s="177"/>
      <c r="Q71" s="207"/>
      <c r="R71" s="207"/>
      <c r="S71" s="177"/>
      <c r="T71" s="291" t="s">
        <v>179</v>
      </c>
      <c r="U71" s="304" t="s">
        <v>202</v>
      </c>
      <c r="V71" s="177"/>
      <c r="W71" s="207"/>
      <c r="X71" s="207"/>
      <c r="Y71" s="177"/>
      <c r="Z71" s="207"/>
      <c r="AA71" s="207"/>
      <c r="AB71" s="177"/>
      <c r="AC71" s="207"/>
      <c r="AD71" s="304" t="s">
        <v>202</v>
      </c>
      <c r="AE71" s="177"/>
      <c r="AF71" s="295"/>
      <c r="AG71" s="207"/>
      <c r="AH71" s="177"/>
      <c r="AI71" s="207"/>
      <c r="AJ71" s="304" t="s">
        <v>202</v>
      </c>
      <c r="AK71" s="177"/>
      <c r="AL71" s="291" t="s">
        <v>179</v>
      </c>
      <c r="AM71" s="207"/>
      <c r="AN71" s="177"/>
      <c r="AO71" s="207"/>
      <c r="AP71" s="207"/>
      <c r="AQ71" s="177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</row>
    <row r="72">
      <c r="A72" s="260">
        <v>317.0</v>
      </c>
      <c r="B72" s="252" t="s">
        <v>229</v>
      </c>
      <c r="C72" s="253" t="s">
        <v>240</v>
      </c>
      <c r="D72" s="253" t="s">
        <v>241</v>
      </c>
      <c r="E72" s="257" t="s">
        <v>242</v>
      </c>
      <c r="F72" s="206"/>
      <c r="G72" s="193"/>
      <c r="H72" s="323"/>
      <c r="I72" s="231" t="s">
        <v>211</v>
      </c>
      <c r="J72" s="177"/>
      <c r="K72" s="231" t="s">
        <v>83</v>
      </c>
      <c r="L72" s="207"/>
      <c r="M72" s="177"/>
      <c r="N72" s="207"/>
      <c r="O72" s="304" t="s">
        <v>202</v>
      </c>
      <c r="P72" s="177"/>
      <c r="Q72" s="207"/>
      <c r="R72" s="207"/>
      <c r="S72" s="177"/>
      <c r="T72" s="227" t="s">
        <v>76</v>
      </c>
      <c r="U72" s="207"/>
      <c r="V72" s="177"/>
      <c r="W72" s="291" t="s">
        <v>179</v>
      </c>
      <c r="X72" s="207"/>
      <c r="Y72" s="177"/>
      <c r="Z72" s="207"/>
      <c r="AA72" s="304" t="s">
        <v>202</v>
      </c>
      <c r="AB72" s="177"/>
      <c r="AC72" s="207"/>
      <c r="AD72" s="207"/>
      <c r="AE72" s="177"/>
      <c r="AF72" s="295"/>
      <c r="AG72" s="207"/>
      <c r="AH72" s="177"/>
      <c r="AI72" s="291" t="s">
        <v>179</v>
      </c>
      <c r="AJ72" s="207"/>
      <c r="AK72" s="177"/>
      <c r="AL72" s="262" t="s">
        <v>127</v>
      </c>
      <c r="AM72" s="207"/>
      <c r="AN72" s="177"/>
      <c r="AO72" s="207"/>
      <c r="AP72" s="207"/>
      <c r="AQ72" s="177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</row>
    <row r="73">
      <c r="A73" s="212"/>
      <c r="B73" s="212"/>
      <c r="C73" s="253"/>
      <c r="D73" s="253"/>
      <c r="E73" s="257"/>
      <c r="F73" s="206"/>
      <c r="G73" s="193"/>
      <c r="H73" s="294"/>
      <c r="I73" s="207"/>
      <c r="J73" s="177"/>
      <c r="K73" s="207"/>
      <c r="L73" s="207"/>
      <c r="M73" s="177"/>
      <c r="N73" s="207"/>
      <c r="O73" s="207"/>
      <c r="P73" s="177"/>
      <c r="Q73" s="207"/>
      <c r="R73" s="207"/>
      <c r="S73" s="177"/>
      <c r="T73" s="207"/>
      <c r="U73" s="207"/>
      <c r="V73" s="177"/>
      <c r="W73" s="207"/>
      <c r="X73" s="207"/>
      <c r="Y73" s="177"/>
      <c r="Z73" s="207"/>
      <c r="AA73" s="207"/>
      <c r="AB73" s="177"/>
      <c r="AC73" s="207"/>
      <c r="AD73" s="207"/>
      <c r="AE73" s="177"/>
      <c r="AF73" s="295"/>
      <c r="AG73" s="207"/>
      <c r="AH73" s="177"/>
      <c r="AI73" s="207"/>
      <c r="AJ73" s="207"/>
      <c r="AK73" s="177"/>
      <c r="AL73" s="207"/>
      <c r="AM73" s="207"/>
      <c r="AN73" s="177"/>
      <c r="AO73" s="207"/>
      <c r="AP73" s="207"/>
      <c r="AQ73" s="177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</row>
    <row r="74">
      <c r="A74" s="260">
        <v>318.0</v>
      </c>
      <c r="B74" s="212" t="s">
        <v>243</v>
      </c>
      <c r="C74" s="253" t="s">
        <v>243</v>
      </c>
      <c r="D74" s="253" t="s">
        <v>182</v>
      </c>
      <c r="E74" s="257" t="s">
        <v>182</v>
      </c>
      <c r="F74" s="206"/>
      <c r="G74" s="193"/>
      <c r="H74" s="294"/>
      <c r="I74" s="207"/>
      <c r="J74" s="177"/>
      <c r="K74" s="207"/>
      <c r="L74" s="207"/>
      <c r="M74" s="177"/>
      <c r="N74" s="211" t="s">
        <v>46</v>
      </c>
      <c r="O74" s="226" t="s">
        <v>63</v>
      </c>
      <c r="P74" s="177"/>
      <c r="Q74" s="207"/>
      <c r="R74" s="207"/>
      <c r="S74" s="177"/>
      <c r="T74" s="325" t="s">
        <v>244</v>
      </c>
      <c r="U74" s="207"/>
      <c r="V74" s="177"/>
      <c r="W74" s="207"/>
      <c r="X74" s="207"/>
      <c r="Y74" s="177"/>
      <c r="Z74" s="325" t="s">
        <v>244</v>
      </c>
      <c r="AA74" s="207"/>
      <c r="AB74" s="177"/>
      <c r="AC74" s="207"/>
      <c r="AD74" s="207"/>
      <c r="AE74" s="177"/>
      <c r="AF74" s="325" t="s">
        <v>244</v>
      </c>
      <c r="AG74" s="207"/>
      <c r="AH74" s="177"/>
      <c r="AI74" s="207"/>
      <c r="AJ74" s="207"/>
      <c r="AK74" s="177"/>
      <c r="AL74" s="207"/>
      <c r="AM74" s="207"/>
      <c r="AN74" s="177"/>
      <c r="AO74" s="207"/>
      <c r="AP74" s="207"/>
      <c r="AQ74" s="177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</row>
    <row r="75">
      <c r="A75" s="260">
        <v>319.0</v>
      </c>
      <c r="B75" s="212" t="s">
        <v>243</v>
      </c>
      <c r="C75" s="253" t="s">
        <v>243</v>
      </c>
      <c r="D75" s="203" t="s">
        <v>245</v>
      </c>
      <c r="E75" s="257"/>
      <c r="F75" s="206"/>
      <c r="G75" s="193"/>
      <c r="H75" s="327"/>
      <c r="I75" s="327"/>
      <c r="J75" s="177"/>
      <c r="K75" s="327"/>
      <c r="L75" s="327"/>
      <c r="M75" s="177"/>
      <c r="N75" s="325" t="s">
        <v>244</v>
      </c>
      <c r="O75" s="327"/>
      <c r="P75" s="177"/>
      <c r="Q75" s="327"/>
      <c r="R75" s="327"/>
      <c r="S75" s="177"/>
      <c r="T75" s="327"/>
      <c r="U75" s="327"/>
      <c r="V75" s="177"/>
      <c r="W75" s="327"/>
      <c r="X75" s="327"/>
      <c r="Y75" s="177"/>
      <c r="Z75" s="327"/>
      <c r="AA75" s="327"/>
      <c r="AB75" s="177"/>
      <c r="AC75" s="325" t="s">
        <v>244</v>
      </c>
      <c r="AD75" s="327"/>
      <c r="AE75" s="177"/>
      <c r="AF75" s="327"/>
      <c r="AG75" s="327"/>
      <c r="AH75" s="177"/>
      <c r="AI75" s="327"/>
      <c r="AJ75" s="327"/>
      <c r="AK75" s="177"/>
      <c r="AL75" s="327"/>
      <c r="AM75" s="327"/>
      <c r="AN75" s="177"/>
      <c r="AO75" s="327"/>
      <c r="AP75" s="327"/>
      <c r="AQ75" s="177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</row>
    <row r="76">
      <c r="A76" s="260">
        <v>320.0</v>
      </c>
      <c r="B76" s="212" t="s">
        <v>243</v>
      </c>
      <c r="C76" s="253" t="s">
        <v>243</v>
      </c>
      <c r="D76" s="253" t="s">
        <v>185</v>
      </c>
      <c r="E76" s="257" t="s">
        <v>246</v>
      </c>
      <c r="F76" s="206"/>
      <c r="G76" s="223"/>
      <c r="H76" s="224" t="s">
        <v>81</v>
      </c>
      <c r="I76" s="207"/>
      <c r="J76" s="177"/>
      <c r="K76" s="207"/>
      <c r="L76" s="207"/>
      <c r="M76" s="177"/>
      <c r="N76" s="325" t="s">
        <v>244</v>
      </c>
      <c r="O76" s="328" t="s">
        <v>247</v>
      </c>
      <c r="P76" s="177"/>
      <c r="Q76" s="207"/>
      <c r="R76" s="207"/>
      <c r="S76" s="177"/>
      <c r="T76" s="325" t="s">
        <v>244</v>
      </c>
      <c r="U76" s="207"/>
      <c r="V76" s="177"/>
      <c r="W76" s="325" t="s">
        <v>244</v>
      </c>
      <c r="X76" s="207"/>
      <c r="Y76" s="177"/>
      <c r="Z76" s="207"/>
      <c r="AA76" s="207"/>
      <c r="AB76" s="177"/>
      <c r="AC76" s="229" t="s">
        <v>66</v>
      </c>
      <c r="AD76" s="207"/>
      <c r="AE76" s="177"/>
      <c r="AF76" s="325" t="s">
        <v>244</v>
      </c>
      <c r="AG76" s="227" t="s">
        <v>237</v>
      </c>
      <c r="AH76" s="177"/>
      <c r="AI76" s="230" t="s">
        <v>29</v>
      </c>
      <c r="AJ76" s="227" t="s">
        <v>64</v>
      </c>
      <c r="AK76" s="177"/>
      <c r="AL76" s="207"/>
      <c r="AM76" s="207"/>
      <c r="AN76" s="177"/>
      <c r="AO76" s="207"/>
      <c r="AP76" s="207"/>
      <c r="AQ76" s="177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</row>
    <row r="77">
      <c r="A77" s="260">
        <v>321.0</v>
      </c>
      <c r="B77" s="212" t="s">
        <v>243</v>
      </c>
      <c r="C77" s="203" t="s">
        <v>248</v>
      </c>
      <c r="D77" s="203" t="s">
        <v>249</v>
      </c>
      <c r="E77" s="257" t="s">
        <v>250</v>
      </c>
      <c r="F77" s="206"/>
      <c r="G77" s="193"/>
      <c r="H77" s="294"/>
      <c r="I77" s="207"/>
      <c r="J77" s="177"/>
      <c r="K77" s="264" t="s">
        <v>226</v>
      </c>
      <c r="L77" s="207"/>
      <c r="M77" s="177"/>
      <c r="N77" s="227" t="s">
        <v>64</v>
      </c>
      <c r="O77" s="207"/>
      <c r="P77" s="177"/>
      <c r="Q77" s="325" t="s">
        <v>244</v>
      </c>
      <c r="R77" s="207"/>
      <c r="S77" s="177"/>
      <c r="T77" s="227" t="s">
        <v>76</v>
      </c>
      <c r="U77" s="207"/>
      <c r="V77" s="177"/>
      <c r="W77" s="229" t="s">
        <v>66</v>
      </c>
      <c r="X77" s="207"/>
      <c r="Y77" s="177"/>
      <c r="Z77" s="325" t="s">
        <v>244</v>
      </c>
      <c r="AA77" s="207"/>
      <c r="AB77" s="177"/>
      <c r="AC77" s="207"/>
      <c r="AD77" s="207"/>
      <c r="AE77" s="177"/>
      <c r="AF77" s="295"/>
      <c r="AG77" s="207"/>
      <c r="AH77" s="177"/>
      <c r="AI77" s="207"/>
      <c r="AJ77" s="207"/>
      <c r="AK77" s="177"/>
      <c r="AL77" s="207"/>
      <c r="AM77" s="207"/>
      <c r="AN77" s="177"/>
      <c r="AO77" s="207"/>
      <c r="AP77" s="207"/>
      <c r="AQ77" s="177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</row>
    <row r="78">
      <c r="A78" s="212"/>
      <c r="B78" s="212"/>
      <c r="C78" s="253"/>
      <c r="D78" s="253"/>
      <c r="E78" s="257"/>
      <c r="F78" s="206"/>
      <c r="G78" s="193"/>
      <c r="H78" s="294"/>
      <c r="I78" s="207"/>
      <c r="J78" s="177"/>
      <c r="K78" s="207"/>
      <c r="L78" s="207"/>
      <c r="M78" s="177"/>
      <c r="N78" s="207"/>
      <c r="O78" s="207"/>
      <c r="P78" s="177"/>
      <c r="Q78" s="207"/>
      <c r="R78" s="207"/>
      <c r="S78" s="177"/>
      <c r="T78" s="207"/>
      <c r="U78" s="207"/>
      <c r="V78" s="177"/>
      <c r="W78" s="207"/>
      <c r="X78" s="207"/>
      <c r="Y78" s="177"/>
      <c r="Z78" s="207"/>
      <c r="AA78" s="207"/>
      <c r="AB78" s="177"/>
      <c r="AD78" s="207"/>
      <c r="AE78" s="177"/>
      <c r="AF78" s="295"/>
      <c r="AG78" s="207"/>
      <c r="AH78" s="177"/>
      <c r="AI78" s="207"/>
      <c r="AJ78" s="207"/>
      <c r="AK78" s="177"/>
      <c r="AL78" s="207"/>
      <c r="AM78" s="207"/>
      <c r="AN78" s="177"/>
      <c r="AO78" s="207"/>
      <c r="AP78" s="207"/>
      <c r="AQ78" s="177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</row>
    <row r="79">
      <c r="A79" s="329">
        <v>322.0</v>
      </c>
      <c r="B79" s="212" t="s">
        <v>70</v>
      </c>
      <c r="C79" s="253" t="s">
        <v>251</v>
      </c>
      <c r="D79" s="253" t="s">
        <v>251</v>
      </c>
      <c r="E79" s="257" t="s">
        <v>250</v>
      </c>
      <c r="F79" s="206"/>
      <c r="G79" s="193"/>
      <c r="H79" s="330" t="s">
        <v>252</v>
      </c>
      <c r="I79" s="330" t="s">
        <v>252</v>
      </c>
      <c r="J79" s="177"/>
      <c r="K79" s="234"/>
      <c r="L79" s="207"/>
      <c r="M79" s="177"/>
      <c r="O79" s="216" t="s">
        <v>52</v>
      </c>
      <c r="P79" s="177"/>
      <c r="Q79" s="325" t="s">
        <v>244</v>
      </c>
      <c r="R79" s="207"/>
      <c r="S79" s="177"/>
      <c r="T79" s="331" t="s">
        <v>253</v>
      </c>
      <c r="U79" s="216" t="s">
        <v>52</v>
      </c>
      <c r="V79" s="177"/>
      <c r="W79" s="331" t="s">
        <v>253</v>
      </c>
      <c r="X79" s="325" t="s">
        <v>244</v>
      </c>
      <c r="Y79" s="177"/>
      <c r="AA79" s="207"/>
      <c r="AB79" s="177"/>
      <c r="AC79" s="325" t="s">
        <v>244</v>
      </c>
      <c r="AD79" s="216" t="s">
        <v>52</v>
      </c>
      <c r="AE79" s="177"/>
      <c r="AF79" s="235" t="s">
        <v>75</v>
      </c>
      <c r="AG79" s="325" t="s">
        <v>244</v>
      </c>
      <c r="AH79" s="177"/>
      <c r="AI79" s="331" t="s">
        <v>253</v>
      </c>
      <c r="AJ79" s="207"/>
      <c r="AK79" s="177"/>
      <c r="AL79" s="331" t="s">
        <v>253</v>
      </c>
      <c r="AM79" s="207"/>
      <c r="AN79" s="177"/>
      <c r="AO79" s="331" t="s">
        <v>253</v>
      </c>
      <c r="AP79" s="207"/>
      <c r="AQ79" s="177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</row>
    <row r="80">
      <c r="A80" s="260">
        <v>324.0</v>
      </c>
      <c r="B80" s="212" t="s">
        <v>70</v>
      </c>
      <c r="C80" s="253" t="s">
        <v>254</v>
      </c>
      <c r="D80" s="253" t="s">
        <v>254</v>
      </c>
      <c r="E80" s="257" t="s">
        <v>250</v>
      </c>
      <c r="F80" s="206"/>
      <c r="G80" s="193"/>
      <c r="H80" s="294"/>
      <c r="I80" s="207"/>
      <c r="J80" s="177"/>
      <c r="K80" s="207"/>
      <c r="L80" s="207"/>
      <c r="M80" s="177"/>
      <c r="N80" s="325" t="s">
        <v>244</v>
      </c>
      <c r="O80" s="264" t="s">
        <v>226</v>
      </c>
      <c r="P80" s="177"/>
      <c r="Q80" s="207"/>
      <c r="R80" s="265"/>
      <c r="S80" s="177"/>
      <c r="T80" s="325" t="s">
        <v>244</v>
      </c>
      <c r="U80" s="227" t="s">
        <v>255</v>
      </c>
      <c r="V80" s="177"/>
      <c r="W80" s="207"/>
      <c r="X80" s="207"/>
      <c r="Y80" s="177"/>
      <c r="Z80" s="207"/>
      <c r="AA80" s="207"/>
      <c r="AB80" s="177"/>
      <c r="AC80" s="325" t="s">
        <v>244</v>
      </c>
      <c r="AD80" s="207"/>
      <c r="AE80" s="177"/>
      <c r="AF80" s="296" t="s">
        <v>76</v>
      </c>
      <c r="AG80" s="207"/>
      <c r="AH80" s="177"/>
      <c r="AI80" s="209" t="s">
        <v>45</v>
      </c>
      <c r="AJ80" s="207"/>
      <c r="AK80" s="177"/>
      <c r="AL80" s="207"/>
      <c r="AM80" s="207"/>
      <c r="AN80" s="177"/>
      <c r="AO80" s="207"/>
      <c r="AP80" s="207"/>
      <c r="AQ80" s="177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</row>
    <row r="81">
      <c r="A81" s="260">
        <v>325.0</v>
      </c>
      <c r="B81" s="212" t="s">
        <v>70</v>
      </c>
      <c r="C81" s="203" t="s">
        <v>256</v>
      </c>
      <c r="D81" s="203" t="s">
        <v>256</v>
      </c>
      <c r="E81" s="257" t="s">
        <v>70</v>
      </c>
      <c r="F81" s="206"/>
      <c r="G81" s="193"/>
      <c r="H81" s="331" t="s">
        <v>253</v>
      </c>
      <c r="I81" s="207"/>
      <c r="J81" s="177"/>
      <c r="K81" s="207"/>
      <c r="L81" s="207"/>
      <c r="M81" s="177"/>
      <c r="N81" s="331" t="s">
        <v>253</v>
      </c>
      <c r="O81" s="209" t="s">
        <v>43</v>
      </c>
      <c r="P81" s="177"/>
      <c r="Q81" s="331" t="s">
        <v>253</v>
      </c>
      <c r="R81" s="209" t="s">
        <v>43</v>
      </c>
      <c r="S81" s="177"/>
      <c r="T81" s="209" t="s">
        <v>43</v>
      </c>
      <c r="U81" s="217" t="s">
        <v>20</v>
      </c>
      <c r="V81" s="177"/>
      <c r="W81" s="235" t="s">
        <v>75</v>
      </c>
      <c r="X81" s="209" t="s">
        <v>45</v>
      </c>
      <c r="Y81" s="177"/>
      <c r="Z81" s="331" t="s">
        <v>253</v>
      </c>
      <c r="AA81" s="209" t="s">
        <v>45</v>
      </c>
      <c r="AB81" s="177"/>
      <c r="AC81" s="331" t="s">
        <v>253</v>
      </c>
      <c r="AD81" s="207"/>
      <c r="AE81" s="177"/>
      <c r="AF81" s="209" t="s">
        <v>45</v>
      </c>
      <c r="AG81" s="207"/>
      <c r="AH81" s="177"/>
      <c r="AI81" s="209" t="s">
        <v>45</v>
      </c>
      <c r="AJ81" s="265"/>
      <c r="AK81" s="177"/>
      <c r="AL81" s="209" t="s">
        <v>45</v>
      </c>
      <c r="AM81" s="207"/>
      <c r="AN81" s="177"/>
      <c r="AO81" s="209" t="s">
        <v>45</v>
      </c>
      <c r="AP81" s="207"/>
      <c r="AQ81" s="177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</row>
    <row r="82">
      <c r="A82" s="260">
        <v>326.0</v>
      </c>
      <c r="B82" s="212" t="s">
        <v>70</v>
      </c>
      <c r="C82" s="253" t="s">
        <v>257</v>
      </c>
      <c r="D82" s="253" t="s">
        <v>258</v>
      </c>
      <c r="E82" s="257" t="s">
        <v>259</v>
      </c>
      <c r="F82" s="206"/>
      <c r="G82" s="332"/>
      <c r="H82" s="323"/>
      <c r="I82" s="207"/>
      <c r="J82" s="177"/>
      <c r="K82" s="224" t="s">
        <v>62</v>
      </c>
      <c r="L82" s="265"/>
      <c r="M82" s="177"/>
      <c r="N82" s="333" t="s">
        <v>64</v>
      </c>
      <c r="O82" s="207"/>
      <c r="P82" s="177"/>
      <c r="R82" s="207"/>
      <c r="S82" s="177"/>
      <c r="T82" s="228" t="s">
        <v>65</v>
      </c>
      <c r="U82" s="325" t="s">
        <v>244</v>
      </c>
      <c r="V82" s="177"/>
      <c r="W82" s="207"/>
      <c r="X82" s="207"/>
      <c r="Y82" s="177"/>
      <c r="Z82" s="325" t="s">
        <v>244</v>
      </c>
      <c r="AA82" s="207"/>
      <c r="AB82" s="177"/>
      <c r="AC82" s="207"/>
      <c r="AD82" s="207"/>
      <c r="AE82" s="177"/>
      <c r="AF82" s="295"/>
      <c r="AG82" s="207"/>
      <c r="AH82" s="177"/>
      <c r="AI82" s="207"/>
      <c r="AJ82" s="207"/>
      <c r="AK82" s="177"/>
      <c r="AL82" s="207"/>
      <c r="AM82" s="207"/>
      <c r="AN82" s="177"/>
      <c r="AO82" s="207"/>
      <c r="AP82" s="207"/>
      <c r="AQ82" s="177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</row>
    <row r="83">
      <c r="A83" s="260">
        <v>327.0</v>
      </c>
      <c r="B83" s="212" t="s">
        <v>70</v>
      </c>
      <c r="C83" s="253" t="s">
        <v>257</v>
      </c>
      <c r="D83" s="253" t="s">
        <v>70</v>
      </c>
      <c r="E83" s="257" t="s">
        <v>104</v>
      </c>
      <c r="F83" s="206"/>
      <c r="G83" s="193"/>
      <c r="H83" s="296" t="s">
        <v>186</v>
      </c>
      <c r="I83" s="207"/>
      <c r="J83" s="177"/>
      <c r="K83" s="215" t="s">
        <v>51</v>
      </c>
      <c r="L83" s="207"/>
      <c r="M83" s="177"/>
      <c r="N83" s="325" t="s">
        <v>244</v>
      </c>
      <c r="O83" s="207"/>
      <c r="P83" s="177"/>
      <c r="Q83" s="325" t="s">
        <v>244</v>
      </c>
      <c r="R83" s="207"/>
      <c r="S83" s="177"/>
      <c r="T83" s="234"/>
      <c r="U83" s="207"/>
      <c r="V83" s="177"/>
      <c r="W83" s="325" t="s">
        <v>244</v>
      </c>
      <c r="X83" s="207"/>
      <c r="Y83" s="177"/>
      <c r="Z83" s="207"/>
      <c r="AA83" s="207"/>
      <c r="AB83" s="177"/>
      <c r="AC83" s="325" t="s">
        <v>244</v>
      </c>
      <c r="AD83" s="331" t="s">
        <v>253</v>
      </c>
      <c r="AE83" s="177"/>
      <c r="AF83" s="325" t="s">
        <v>244</v>
      </c>
      <c r="AG83" s="207"/>
      <c r="AH83" s="177"/>
      <c r="AI83" s="207"/>
      <c r="AJ83" s="207"/>
      <c r="AK83" s="177"/>
      <c r="AL83" s="207"/>
      <c r="AM83" s="207"/>
      <c r="AN83" s="177"/>
      <c r="AO83" s="207"/>
      <c r="AP83" s="207"/>
      <c r="AQ83" s="177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</row>
    <row r="84">
      <c r="A84" s="260">
        <v>328.0</v>
      </c>
      <c r="B84" s="212" t="s">
        <v>70</v>
      </c>
      <c r="C84" s="253" t="s">
        <v>260</v>
      </c>
      <c r="D84" s="246" t="s">
        <v>261</v>
      </c>
      <c r="E84" s="257" t="s">
        <v>250</v>
      </c>
      <c r="F84" s="206"/>
      <c r="G84" s="193"/>
      <c r="H84" s="224" t="s">
        <v>62</v>
      </c>
      <c r="I84" s="331" t="s">
        <v>253</v>
      </c>
      <c r="J84" s="177"/>
      <c r="K84" s="334"/>
      <c r="L84" s="331" t="s">
        <v>253</v>
      </c>
      <c r="M84" s="177"/>
      <c r="N84" s="226" t="s">
        <v>63</v>
      </c>
      <c r="O84" s="331" t="s">
        <v>253</v>
      </c>
      <c r="P84" s="177"/>
      <c r="Q84" s="325" t="s">
        <v>244</v>
      </c>
      <c r="R84" s="227" t="s">
        <v>76</v>
      </c>
      <c r="S84" s="177"/>
      <c r="T84" s="227" t="s">
        <v>64</v>
      </c>
      <c r="U84" s="331" t="s">
        <v>253</v>
      </c>
      <c r="V84" s="177"/>
      <c r="W84" s="325" t="s">
        <v>244</v>
      </c>
      <c r="X84" s="331" t="s">
        <v>253</v>
      </c>
      <c r="Y84" s="177"/>
      <c r="Z84" s="325" t="s">
        <v>244</v>
      </c>
      <c r="AA84" s="331" t="s">
        <v>253</v>
      </c>
      <c r="AB84" s="177"/>
      <c r="AC84" s="334"/>
      <c r="AE84" s="177"/>
      <c r="AF84" s="334"/>
      <c r="AG84" s="331" t="s">
        <v>253</v>
      </c>
      <c r="AH84" s="177"/>
      <c r="AI84" s="210" t="s">
        <v>44</v>
      </c>
      <c r="AJ84" s="331" t="s">
        <v>253</v>
      </c>
      <c r="AK84" s="177"/>
      <c r="AL84" s="334"/>
      <c r="AM84" s="331" t="s">
        <v>253</v>
      </c>
      <c r="AN84" s="177"/>
      <c r="AO84" s="334"/>
      <c r="AP84" s="331" t="s">
        <v>253</v>
      </c>
      <c r="AQ84" s="177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</row>
    <row r="85">
      <c r="A85" s="260">
        <v>329.0</v>
      </c>
      <c r="B85" s="212" t="s">
        <v>70</v>
      </c>
      <c r="C85" s="253" t="s">
        <v>262</v>
      </c>
      <c r="D85" s="203" t="s">
        <v>263</v>
      </c>
      <c r="E85" s="257" t="s">
        <v>264</v>
      </c>
      <c r="F85" s="206"/>
      <c r="G85" s="193"/>
      <c r="H85" s="217" t="s">
        <v>20</v>
      </c>
      <c r="I85" s="265"/>
      <c r="J85" s="177"/>
      <c r="K85" s="224" t="s">
        <v>62</v>
      </c>
      <c r="L85" s="207"/>
      <c r="M85" s="177"/>
      <c r="N85" s="211" t="s">
        <v>46</v>
      </c>
      <c r="O85" s="217" t="s">
        <v>20</v>
      </c>
      <c r="P85" s="177"/>
      <c r="Q85" s="331" t="s">
        <v>253</v>
      </c>
      <c r="R85" s="217" t="s">
        <v>20</v>
      </c>
      <c r="S85" s="177"/>
      <c r="T85" s="207"/>
      <c r="U85" s="207"/>
      <c r="V85" s="177"/>
      <c r="W85" s="235" t="s">
        <v>75</v>
      </c>
      <c r="X85" s="217" t="s">
        <v>20</v>
      </c>
      <c r="Y85" s="177"/>
      <c r="Z85" s="217" t="s">
        <v>20</v>
      </c>
      <c r="AA85" s="207"/>
      <c r="AB85" s="177"/>
      <c r="AC85" s="334"/>
      <c r="AD85" s="207"/>
      <c r="AE85" s="177"/>
      <c r="AF85" s="217" t="s">
        <v>20</v>
      </c>
      <c r="AG85" s="207"/>
      <c r="AH85" s="177"/>
      <c r="AI85" s="334"/>
      <c r="AJ85" s="207"/>
      <c r="AK85" s="177"/>
      <c r="AL85" s="217" t="s">
        <v>20</v>
      </c>
      <c r="AM85" s="207"/>
      <c r="AN85" s="177"/>
      <c r="AO85" s="207"/>
      <c r="AP85" s="207"/>
      <c r="AQ85" s="177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</row>
    <row r="86">
      <c r="A86" s="212"/>
      <c r="B86" s="252"/>
      <c r="C86" s="253"/>
      <c r="D86" s="253"/>
      <c r="E86" s="205"/>
      <c r="F86" s="206"/>
      <c r="G86" s="193"/>
      <c r="H86" s="294"/>
      <c r="I86" s="207"/>
      <c r="J86" s="177"/>
      <c r="K86" s="207"/>
      <c r="L86" s="207"/>
      <c r="M86" s="177"/>
      <c r="N86" s="207"/>
      <c r="O86" s="207"/>
      <c r="P86" s="177"/>
      <c r="Q86" s="207"/>
      <c r="R86" s="207"/>
      <c r="S86" s="177"/>
      <c r="T86" s="207"/>
      <c r="U86" s="207"/>
      <c r="V86" s="177"/>
      <c r="W86" s="207"/>
      <c r="X86" s="207"/>
      <c r="Y86" s="177"/>
      <c r="Z86" s="207"/>
      <c r="AA86" s="207"/>
      <c r="AB86" s="177"/>
      <c r="AC86" s="207"/>
      <c r="AD86" s="207"/>
      <c r="AE86" s="177"/>
      <c r="AF86" s="295"/>
      <c r="AG86" s="207"/>
      <c r="AH86" s="177"/>
      <c r="AI86" s="207"/>
      <c r="AJ86" s="207"/>
      <c r="AK86" s="177"/>
      <c r="AL86" s="207"/>
      <c r="AM86" s="207"/>
      <c r="AN86" s="177"/>
      <c r="AO86" s="207"/>
      <c r="AP86" s="207"/>
      <c r="AQ86" s="177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</row>
    <row r="87">
      <c r="A87" s="260">
        <v>330.0</v>
      </c>
      <c r="B87" s="212" t="s">
        <v>185</v>
      </c>
      <c r="C87" s="253" t="s">
        <v>265</v>
      </c>
      <c r="D87" s="203" t="s">
        <v>266</v>
      </c>
      <c r="E87" s="257" t="s">
        <v>246</v>
      </c>
      <c r="F87" s="206"/>
      <c r="G87" s="193"/>
      <c r="H87" s="294"/>
      <c r="I87" s="207"/>
      <c r="J87" s="177"/>
      <c r="K87" s="224" t="s">
        <v>71</v>
      </c>
      <c r="L87" s="207"/>
      <c r="M87" s="177"/>
      <c r="N87" s="217" t="s">
        <v>20</v>
      </c>
      <c r="O87" s="207"/>
      <c r="P87" s="177"/>
      <c r="Q87" s="227" t="s">
        <v>64</v>
      </c>
      <c r="R87" s="207"/>
      <c r="S87" s="177"/>
      <c r="T87" s="228" t="s">
        <v>65</v>
      </c>
      <c r="U87" s="207"/>
      <c r="V87" s="177"/>
      <c r="W87" s="227" t="s">
        <v>76</v>
      </c>
      <c r="X87" s="207"/>
      <c r="Y87" s="177"/>
      <c r="Z87" s="207"/>
      <c r="AA87" s="227" t="s">
        <v>190</v>
      </c>
      <c r="AB87" s="177"/>
      <c r="AC87" s="207"/>
      <c r="AD87" s="207"/>
      <c r="AE87" s="177"/>
      <c r="AF87" s="295"/>
      <c r="AG87" s="207"/>
      <c r="AH87" s="177"/>
      <c r="AI87" s="207"/>
      <c r="AJ87" s="207"/>
      <c r="AK87" s="177"/>
      <c r="AL87" s="207"/>
      <c r="AM87" s="207"/>
      <c r="AN87" s="177"/>
      <c r="AO87" s="207"/>
      <c r="AP87" s="217" t="s">
        <v>20</v>
      </c>
      <c r="AQ87" s="177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</row>
    <row r="88">
      <c r="A88" s="260">
        <v>331.0</v>
      </c>
      <c r="B88" s="212" t="s">
        <v>185</v>
      </c>
      <c r="C88" s="253" t="s">
        <v>267</v>
      </c>
      <c r="D88" s="253" t="s">
        <v>205</v>
      </c>
      <c r="E88" s="257" t="s">
        <v>99</v>
      </c>
      <c r="F88" s="206"/>
      <c r="G88" s="193"/>
      <c r="H88" s="320" t="s">
        <v>233</v>
      </c>
      <c r="I88" s="227" t="s">
        <v>190</v>
      </c>
      <c r="J88" s="177"/>
      <c r="K88" s="227" t="s">
        <v>188</v>
      </c>
      <c r="L88" s="207"/>
      <c r="M88" s="177"/>
      <c r="N88" s="336" t="s">
        <v>268</v>
      </c>
      <c r="O88" s="226" t="s">
        <v>63</v>
      </c>
      <c r="P88" s="177"/>
      <c r="Q88" s="207"/>
      <c r="R88" s="207"/>
      <c r="S88" s="177"/>
      <c r="T88" s="227" t="s">
        <v>76</v>
      </c>
      <c r="U88" s="207"/>
      <c r="V88" s="177"/>
      <c r="W88" s="227" t="s">
        <v>237</v>
      </c>
      <c r="X88" s="336" t="s">
        <v>268</v>
      </c>
      <c r="Y88" s="177"/>
      <c r="Z88" s="217" t="s">
        <v>20</v>
      </c>
      <c r="AA88" s="207"/>
      <c r="AB88" s="177"/>
      <c r="AC88" s="229" t="s">
        <v>66</v>
      </c>
      <c r="AD88" s="207"/>
      <c r="AE88" s="177"/>
      <c r="AF88" s="336" t="s">
        <v>268</v>
      </c>
      <c r="AG88" s="217" t="s">
        <v>20</v>
      </c>
      <c r="AH88" s="177"/>
      <c r="AI88" s="207"/>
      <c r="AJ88" s="217" t="s">
        <v>20</v>
      </c>
      <c r="AK88" s="177"/>
      <c r="AL88" s="336" t="s">
        <v>268</v>
      </c>
      <c r="AM88" s="217" t="s">
        <v>20</v>
      </c>
      <c r="AN88" s="177"/>
      <c r="AO88" s="207"/>
      <c r="AP88" s="207"/>
      <c r="AQ88" s="177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</row>
    <row r="89">
      <c r="A89" s="260">
        <v>332.0</v>
      </c>
      <c r="B89" s="212" t="s">
        <v>185</v>
      </c>
      <c r="C89" s="253" t="s">
        <v>269</v>
      </c>
      <c r="D89" s="253" t="s">
        <v>270</v>
      </c>
      <c r="E89" s="257" t="s">
        <v>185</v>
      </c>
      <c r="F89" s="206"/>
      <c r="G89" s="193"/>
      <c r="H89" s="210" t="s">
        <v>271</v>
      </c>
      <c r="I89" s="210" t="s">
        <v>271</v>
      </c>
      <c r="J89" s="177"/>
      <c r="K89" s="231" t="s">
        <v>83</v>
      </c>
      <c r="L89" s="207"/>
      <c r="M89" s="177"/>
      <c r="N89" s="226" t="s">
        <v>63</v>
      </c>
      <c r="O89" s="207"/>
      <c r="P89" s="177"/>
      <c r="Q89" s="207"/>
      <c r="R89" s="207"/>
      <c r="S89" s="177"/>
      <c r="T89" s="265"/>
      <c r="U89" s="207"/>
      <c r="V89" s="177"/>
      <c r="W89" s="229" t="s">
        <v>66</v>
      </c>
      <c r="X89" s="207"/>
      <c r="Y89" s="177"/>
      <c r="Z89" s="207"/>
      <c r="AA89" s="207"/>
      <c r="AB89" s="177"/>
      <c r="AC89" s="207"/>
      <c r="AD89" s="207"/>
      <c r="AE89" s="177"/>
      <c r="AF89" s="295"/>
      <c r="AG89" s="207"/>
      <c r="AH89" s="177"/>
      <c r="AI89" s="207"/>
      <c r="AJ89" s="207"/>
      <c r="AK89" s="177"/>
      <c r="AL89" s="262" t="s">
        <v>127</v>
      </c>
      <c r="AM89" s="207"/>
      <c r="AN89" s="177"/>
      <c r="AO89" s="207"/>
      <c r="AP89" s="207"/>
      <c r="AQ89" s="177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</row>
    <row r="90">
      <c r="A90" s="260">
        <v>333.0</v>
      </c>
      <c r="B90" s="236" t="s">
        <v>185</v>
      </c>
      <c r="C90" s="203" t="s">
        <v>272</v>
      </c>
      <c r="D90" s="203" t="s">
        <v>273</v>
      </c>
      <c r="E90" s="257" t="s">
        <v>274</v>
      </c>
      <c r="F90" s="206"/>
      <c r="G90" s="193"/>
      <c r="H90" s="224" t="s">
        <v>62</v>
      </c>
      <c r="I90" s="207"/>
      <c r="J90" s="177"/>
      <c r="K90" s="209" t="s">
        <v>43</v>
      </c>
      <c r="L90" s="207"/>
      <c r="M90" s="177"/>
      <c r="N90" s="227" t="s">
        <v>255</v>
      </c>
      <c r="O90" s="237" t="s">
        <v>275</v>
      </c>
      <c r="P90" s="177"/>
      <c r="Q90" s="227" t="s">
        <v>76</v>
      </c>
      <c r="R90" s="265"/>
      <c r="S90" s="177"/>
      <c r="T90" s="215" t="s">
        <v>51</v>
      </c>
      <c r="U90" s="227" t="s">
        <v>276</v>
      </c>
      <c r="V90" s="177"/>
      <c r="W90" s="217" t="s">
        <v>20</v>
      </c>
      <c r="X90" s="207"/>
      <c r="Y90" s="177"/>
      <c r="Z90" s="207"/>
      <c r="AA90" s="207"/>
      <c r="AB90" s="177"/>
      <c r="AC90" s="207"/>
      <c r="AD90" s="207"/>
      <c r="AE90" s="177"/>
      <c r="AF90" s="295"/>
      <c r="AG90" s="207"/>
      <c r="AH90" s="177"/>
      <c r="AI90" s="227" t="s">
        <v>188</v>
      </c>
      <c r="AJ90" s="207"/>
      <c r="AK90" s="177"/>
      <c r="AL90" s="207"/>
      <c r="AM90" s="207"/>
      <c r="AN90" s="177"/>
      <c r="AO90" s="217" t="s">
        <v>20</v>
      </c>
      <c r="AP90" s="207"/>
      <c r="AQ90" s="177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</row>
    <row r="91">
      <c r="A91" s="260">
        <v>334.0</v>
      </c>
      <c r="B91" s="212" t="s">
        <v>185</v>
      </c>
      <c r="C91" s="253" t="s">
        <v>277</v>
      </c>
      <c r="D91" s="253" t="s">
        <v>278</v>
      </c>
      <c r="E91" s="205"/>
      <c r="F91" s="206"/>
      <c r="G91" s="193"/>
      <c r="H91" s="296" t="s">
        <v>276</v>
      </c>
      <c r="I91" s="327"/>
      <c r="J91" s="177"/>
      <c r="K91" s="215" t="s">
        <v>51</v>
      </c>
      <c r="L91" s="327"/>
      <c r="M91" s="177"/>
      <c r="N91" s="320" t="s">
        <v>233</v>
      </c>
      <c r="O91" s="327"/>
      <c r="P91" s="177"/>
      <c r="Q91" s="209" t="s">
        <v>43</v>
      </c>
      <c r="R91" s="337" t="s">
        <v>279</v>
      </c>
      <c r="S91" s="177"/>
      <c r="T91" s="209" t="s">
        <v>43</v>
      </c>
      <c r="U91" s="327"/>
      <c r="V91" s="177"/>
      <c r="W91" s="296" t="s">
        <v>276</v>
      </c>
      <c r="X91" s="327"/>
      <c r="Y91" s="177"/>
      <c r="Z91" s="209" t="s">
        <v>45</v>
      </c>
      <c r="AA91" s="327"/>
      <c r="AB91" s="177"/>
      <c r="AC91" s="229" t="s">
        <v>66</v>
      </c>
      <c r="AD91" s="327"/>
      <c r="AE91" s="177"/>
      <c r="AF91" s="296" t="s">
        <v>76</v>
      </c>
      <c r="AG91" s="327"/>
      <c r="AH91" s="177"/>
      <c r="AI91" s="227" t="s">
        <v>276</v>
      </c>
      <c r="AJ91" s="327"/>
      <c r="AK91" s="177"/>
      <c r="AL91" s="209" t="s">
        <v>45</v>
      </c>
      <c r="AM91" s="327"/>
      <c r="AN91" s="177"/>
      <c r="AO91" s="209" t="s">
        <v>45</v>
      </c>
      <c r="AP91" s="327"/>
      <c r="AQ91" s="177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</row>
    <row r="92">
      <c r="A92" s="260">
        <v>335.0</v>
      </c>
      <c r="B92" s="212" t="s">
        <v>185</v>
      </c>
      <c r="C92" s="253" t="s">
        <v>280</v>
      </c>
      <c r="D92" s="253" t="s">
        <v>281</v>
      </c>
      <c r="E92" s="257" t="s">
        <v>185</v>
      </c>
      <c r="F92" s="206"/>
      <c r="G92" s="193"/>
      <c r="H92" s="296" t="s">
        <v>276</v>
      </c>
      <c r="I92" s="227" t="s">
        <v>276</v>
      </c>
      <c r="J92" s="177"/>
      <c r="K92" s="224" t="s">
        <v>62</v>
      </c>
      <c r="L92" s="207"/>
      <c r="M92" s="177"/>
      <c r="N92" s="217" t="s">
        <v>20</v>
      </c>
      <c r="O92" s="207"/>
      <c r="P92" s="177"/>
      <c r="Q92" s="227" t="s">
        <v>64</v>
      </c>
      <c r="R92" s="207"/>
      <c r="S92" s="177"/>
      <c r="T92" s="227" t="s">
        <v>188</v>
      </c>
      <c r="U92" s="207"/>
      <c r="V92" s="177"/>
      <c r="W92" s="209" t="s">
        <v>45</v>
      </c>
      <c r="X92" s="207"/>
      <c r="Y92" s="177"/>
      <c r="Z92" s="227" t="s">
        <v>276</v>
      </c>
      <c r="AA92" s="227" t="s">
        <v>276</v>
      </c>
      <c r="AB92" s="177"/>
      <c r="AC92" s="207"/>
      <c r="AD92" s="207"/>
      <c r="AE92" s="177"/>
      <c r="AF92" s="295"/>
      <c r="AG92" s="207"/>
      <c r="AH92" s="177"/>
      <c r="AI92" s="217" t="s">
        <v>20</v>
      </c>
      <c r="AJ92" s="227" t="s">
        <v>76</v>
      </c>
      <c r="AK92" s="177"/>
      <c r="AL92" s="338"/>
      <c r="AM92" s="207"/>
      <c r="AN92" s="177"/>
      <c r="AO92" s="217" t="s">
        <v>20</v>
      </c>
      <c r="AP92" s="207"/>
      <c r="AQ92" s="177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</row>
    <row r="93">
      <c r="A93" s="260">
        <v>336.0</v>
      </c>
      <c r="B93" s="212" t="s">
        <v>185</v>
      </c>
      <c r="C93" s="253" t="s">
        <v>282</v>
      </c>
      <c r="D93" s="253" t="s">
        <v>283</v>
      </c>
      <c r="E93" s="257" t="s">
        <v>284</v>
      </c>
      <c r="F93" s="206"/>
      <c r="G93" s="332"/>
      <c r="H93" s="323"/>
      <c r="I93" s="265"/>
      <c r="J93" s="177"/>
      <c r="L93" s="207"/>
      <c r="M93" s="177"/>
      <c r="N93" s="227" t="s">
        <v>188</v>
      </c>
      <c r="O93" s="207"/>
      <c r="P93" s="177"/>
      <c r="Q93" s="207"/>
      <c r="R93" s="227" t="s">
        <v>255</v>
      </c>
      <c r="S93" s="177"/>
      <c r="T93" s="227" t="s">
        <v>76</v>
      </c>
      <c r="U93" s="207"/>
      <c r="V93" s="177"/>
      <c r="W93" s="207"/>
      <c r="X93" s="207"/>
      <c r="Y93" s="177"/>
      <c r="Z93" s="209"/>
      <c r="AA93" s="207"/>
      <c r="AB93" s="177"/>
      <c r="AC93" s="207"/>
      <c r="AD93" s="207"/>
      <c r="AE93" s="177"/>
      <c r="AF93" s="295"/>
      <c r="AG93" s="207"/>
      <c r="AH93" s="177"/>
      <c r="AI93" s="209" t="s">
        <v>45</v>
      </c>
      <c r="AJ93" s="207"/>
      <c r="AK93" s="177"/>
      <c r="AL93" s="338"/>
      <c r="AM93" s="207"/>
      <c r="AN93" s="177"/>
      <c r="AO93" s="207"/>
      <c r="AP93" s="207"/>
      <c r="AQ93" s="177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</row>
    <row r="94">
      <c r="A94" s="260">
        <v>337.0</v>
      </c>
      <c r="B94" s="212" t="s">
        <v>185</v>
      </c>
      <c r="C94" s="253" t="s">
        <v>285</v>
      </c>
      <c r="D94" s="253" t="s">
        <v>286</v>
      </c>
      <c r="E94" s="257" t="s">
        <v>185</v>
      </c>
      <c r="F94" s="206"/>
      <c r="G94" s="332"/>
      <c r="H94" s="323"/>
      <c r="I94" s="207"/>
      <c r="J94" s="177"/>
      <c r="K94" s="207"/>
      <c r="L94" s="227" t="s">
        <v>287</v>
      </c>
      <c r="M94" s="177"/>
      <c r="N94" s="305" t="s">
        <v>203</v>
      </c>
      <c r="O94" s="207"/>
      <c r="P94" s="177"/>
      <c r="Q94" s="209" t="s">
        <v>43</v>
      </c>
      <c r="R94" s="228" t="s">
        <v>288</v>
      </c>
      <c r="S94" s="177"/>
      <c r="T94" s="227" t="s">
        <v>188</v>
      </c>
      <c r="U94" s="207"/>
      <c r="V94" s="177"/>
      <c r="W94" s="207"/>
      <c r="X94" s="207"/>
      <c r="Y94" s="177"/>
      <c r="Z94" s="265"/>
      <c r="AA94" s="207"/>
      <c r="AB94" s="177"/>
      <c r="AC94" s="209" t="s">
        <v>45</v>
      </c>
      <c r="AD94" s="207"/>
      <c r="AE94" s="177"/>
      <c r="AF94" s="295"/>
      <c r="AG94" s="227" t="s">
        <v>76</v>
      </c>
      <c r="AH94" s="177"/>
      <c r="AI94" s="207"/>
      <c r="AJ94" s="207"/>
      <c r="AK94" s="177"/>
      <c r="AL94" s="338"/>
      <c r="AM94" s="227" t="s">
        <v>237</v>
      </c>
      <c r="AN94" s="177"/>
      <c r="AO94" s="207"/>
      <c r="AP94" s="207"/>
      <c r="AQ94" s="177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</row>
    <row r="95">
      <c r="A95" s="260">
        <v>338.0</v>
      </c>
      <c r="B95" s="212" t="s">
        <v>185</v>
      </c>
      <c r="C95" s="339" t="s">
        <v>289</v>
      </c>
      <c r="D95" s="339" t="s">
        <v>290</v>
      </c>
      <c r="E95" s="257" t="s">
        <v>274</v>
      </c>
      <c r="F95" s="206"/>
      <c r="G95" s="223"/>
      <c r="H95" s="224" t="s">
        <v>62</v>
      </c>
      <c r="I95" s="207"/>
      <c r="J95" s="177"/>
      <c r="K95" s="207"/>
      <c r="L95" s="207"/>
      <c r="M95" s="177"/>
      <c r="N95" s="265"/>
      <c r="O95" s="210" t="s">
        <v>44</v>
      </c>
      <c r="P95" s="177"/>
      <c r="Q95" s="207"/>
      <c r="R95" s="207"/>
      <c r="S95" s="177"/>
      <c r="T95" s="228" t="s">
        <v>65</v>
      </c>
      <c r="U95" s="210" t="s">
        <v>44</v>
      </c>
      <c r="V95" s="177"/>
      <c r="W95" s="207"/>
      <c r="X95" s="207"/>
      <c r="Y95" s="177"/>
      <c r="Z95" s="234"/>
      <c r="AA95" s="207"/>
      <c r="AB95" s="177"/>
      <c r="AC95" s="207"/>
      <c r="AD95" s="207"/>
      <c r="AE95" s="177"/>
      <c r="AF95" s="210" t="s">
        <v>44</v>
      </c>
      <c r="AG95" s="207"/>
      <c r="AH95" s="177"/>
      <c r="AI95" s="227" t="s">
        <v>188</v>
      </c>
      <c r="AJ95" s="207"/>
      <c r="AK95" s="177"/>
      <c r="AL95" s="338"/>
      <c r="AM95" s="207"/>
      <c r="AN95" s="177"/>
      <c r="AO95" s="227" t="s">
        <v>237</v>
      </c>
      <c r="AP95" s="207"/>
      <c r="AQ95" s="177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</row>
    <row r="96">
      <c r="A96" s="260">
        <v>339.0</v>
      </c>
      <c r="B96" s="212" t="s">
        <v>185</v>
      </c>
      <c r="C96" s="204" t="s">
        <v>291</v>
      </c>
      <c r="D96" s="253"/>
      <c r="E96" s="257" t="s">
        <v>292</v>
      </c>
      <c r="F96" s="206"/>
      <c r="G96" s="209"/>
      <c r="H96" s="209" t="s">
        <v>43</v>
      </c>
      <c r="I96" s="207"/>
      <c r="J96" s="177"/>
      <c r="K96" s="209" t="s">
        <v>43</v>
      </c>
      <c r="L96" s="207"/>
      <c r="M96" s="177"/>
      <c r="N96" s="207"/>
      <c r="O96" s="207"/>
      <c r="P96" s="177"/>
      <c r="Q96" s="207"/>
      <c r="R96" s="227" t="s">
        <v>237</v>
      </c>
      <c r="S96" s="177"/>
      <c r="T96" s="228" t="s">
        <v>65</v>
      </c>
      <c r="U96" s="207"/>
      <c r="V96" s="177"/>
      <c r="W96" s="207"/>
      <c r="X96" s="207"/>
      <c r="Y96" s="177"/>
      <c r="Z96" s="234"/>
      <c r="AA96" s="340"/>
      <c r="AB96" s="177"/>
      <c r="AC96" s="209" t="s">
        <v>45</v>
      </c>
      <c r="AD96" s="207"/>
      <c r="AE96" s="177"/>
      <c r="AF96" s="295"/>
      <c r="AG96" s="207"/>
      <c r="AH96" s="177"/>
      <c r="AI96" s="227" t="s">
        <v>76</v>
      </c>
      <c r="AJ96" s="207"/>
      <c r="AK96" s="177"/>
      <c r="AL96" s="338"/>
      <c r="AM96" s="265"/>
      <c r="AN96" s="177"/>
      <c r="AO96" s="207"/>
      <c r="AP96" s="207"/>
      <c r="AQ96" s="177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</row>
    <row r="97">
      <c r="A97" s="260">
        <v>340.0</v>
      </c>
      <c r="B97" s="212" t="s">
        <v>185</v>
      </c>
      <c r="C97" s="204" t="s">
        <v>293</v>
      </c>
      <c r="D97" s="204" t="s">
        <v>225</v>
      </c>
      <c r="E97" s="257" t="s">
        <v>196</v>
      </c>
      <c r="F97" s="206"/>
      <c r="G97" s="322"/>
      <c r="H97" s="341" t="s">
        <v>294</v>
      </c>
      <c r="I97" s="207"/>
      <c r="J97" s="177"/>
      <c r="K97" s="341" t="s">
        <v>294</v>
      </c>
      <c r="L97" s="231" t="s">
        <v>211</v>
      </c>
      <c r="M97" s="177"/>
      <c r="N97" s="336" t="s">
        <v>295</v>
      </c>
      <c r="O97" s="216" t="s">
        <v>52</v>
      </c>
      <c r="P97" s="177"/>
      <c r="Q97" s="341" t="s">
        <v>294</v>
      </c>
      <c r="R97" s="207"/>
      <c r="S97" s="177"/>
      <c r="T97" s="341" t="s">
        <v>294</v>
      </c>
      <c r="U97" s="216" t="s">
        <v>52</v>
      </c>
      <c r="V97" s="177"/>
      <c r="W97" s="341" t="s">
        <v>294</v>
      </c>
      <c r="X97" s="336" t="s">
        <v>268</v>
      </c>
      <c r="Y97" s="177"/>
      <c r="Z97" s="341" t="s">
        <v>294</v>
      </c>
      <c r="AA97" s="207"/>
      <c r="AB97" s="177"/>
      <c r="AC97" s="341" t="s">
        <v>294</v>
      </c>
      <c r="AD97" s="207"/>
      <c r="AE97" s="177"/>
      <c r="AF97" s="341" t="s">
        <v>294</v>
      </c>
      <c r="AG97" s="336" t="s">
        <v>268</v>
      </c>
      <c r="AH97" s="177"/>
      <c r="AI97" s="341" t="s">
        <v>294</v>
      </c>
      <c r="AJ97" s="207"/>
      <c r="AK97" s="177"/>
      <c r="AL97" s="341" t="s">
        <v>294</v>
      </c>
      <c r="AM97" s="336" t="s">
        <v>268</v>
      </c>
      <c r="AN97" s="177"/>
      <c r="AO97" s="341" t="s">
        <v>294</v>
      </c>
      <c r="AP97" s="207"/>
      <c r="AQ97" s="177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</row>
    <row r="98">
      <c r="A98" s="260">
        <v>341.0</v>
      </c>
      <c r="B98" s="212" t="s">
        <v>185</v>
      </c>
      <c r="C98" s="339" t="s">
        <v>296</v>
      </c>
      <c r="D98" s="339" t="s">
        <v>297</v>
      </c>
      <c r="E98" s="257" t="s">
        <v>196</v>
      </c>
      <c r="F98" s="206"/>
      <c r="G98" s="209"/>
      <c r="H98" s="209" t="s">
        <v>43</v>
      </c>
      <c r="I98" s="207"/>
      <c r="J98" s="177"/>
      <c r="K98" s="210" t="s">
        <v>44</v>
      </c>
      <c r="L98" s="207"/>
      <c r="M98" s="177"/>
      <c r="N98" s="209" t="s">
        <v>43</v>
      </c>
      <c r="O98" s="341" t="s">
        <v>294</v>
      </c>
      <c r="P98" s="177"/>
      <c r="Q98" s="210" t="s">
        <v>44</v>
      </c>
      <c r="R98" s="341" t="s">
        <v>294</v>
      </c>
      <c r="S98" s="177"/>
      <c r="T98" s="209" t="s">
        <v>43</v>
      </c>
      <c r="U98" s="207"/>
      <c r="V98" s="177"/>
      <c r="W98" s="209" t="s">
        <v>45</v>
      </c>
      <c r="X98" s="207"/>
      <c r="Y98" s="177"/>
      <c r="Z98" s="341" t="s">
        <v>294</v>
      </c>
      <c r="AA98" s="207"/>
      <c r="AB98" s="177"/>
      <c r="AC98" s="209" t="s">
        <v>45</v>
      </c>
      <c r="AD98" s="207"/>
      <c r="AE98" s="177"/>
      <c r="AF98" s="209" t="s">
        <v>45</v>
      </c>
      <c r="AG98" s="207"/>
      <c r="AH98" s="177"/>
      <c r="AI98" s="209" t="s">
        <v>45</v>
      </c>
      <c r="AJ98" s="207"/>
      <c r="AK98" s="177"/>
      <c r="AL98" s="209" t="s">
        <v>45</v>
      </c>
      <c r="AM98" s="207"/>
      <c r="AN98" s="177"/>
      <c r="AO98" s="209" t="s">
        <v>45</v>
      </c>
      <c r="AP98" s="207"/>
      <c r="AQ98" s="177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</row>
    <row r="99">
      <c r="A99" s="260">
        <v>342.0</v>
      </c>
      <c r="B99" s="212" t="s">
        <v>185</v>
      </c>
      <c r="C99" s="204" t="s">
        <v>298</v>
      </c>
      <c r="D99" s="204" t="s">
        <v>225</v>
      </c>
      <c r="E99" s="257" t="s">
        <v>185</v>
      </c>
      <c r="F99" s="206"/>
      <c r="G99" s="314"/>
      <c r="H99" s="296" t="s">
        <v>190</v>
      </c>
      <c r="I99" s="231" t="s">
        <v>211</v>
      </c>
      <c r="J99" s="177"/>
      <c r="K99" s="231" t="s">
        <v>83</v>
      </c>
      <c r="L99" s="340"/>
      <c r="M99" s="177"/>
      <c r="N99" s="209" t="s">
        <v>43</v>
      </c>
      <c r="O99" s="207"/>
      <c r="P99" s="177"/>
      <c r="Q99" s="227" t="s">
        <v>76</v>
      </c>
      <c r="R99" s="264" t="s">
        <v>226</v>
      </c>
      <c r="S99" s="177"/>
      <c r="T99" s="265"/>
      <c r="U99" s="207"/>
      <c r="V99" s="177"/>
      <c r="W99" s="228" t="s">
        <v>299</v>
      </c>
      <c r="X99" s="229" t="s">
        <v>66</v>
      </c>
      <c r="Y99" s="177"/>
      <c r="Z99" s="234"/>
      <c r="AA99" s="207"/>
      <c r="AB99" s="177"/>
      <c r="AC99" s="229" t="s">
        <v>66</v>
      </c>
      <c r="AD99" s="207"/>
      <c r="AE99" s="177"/>
      <c r="AF99" s="295"/>
      <c r="AG99" s="207"/>
      <c r="AH99" s="177"/>
      <c r="AI99" s="207"/>
      <c r="AJ99" s="207"/>
      <c r="AK99" s="177"/>
      <c r="AL99" s="262" t="s">
        <v>127</v>
      </c>
      <c r="AM99" s="207"/>
      <c r="AN99" s="177"/>
      <c r="AO99" s="207"/>
      <c r="AP99" s="207"/>
      <c r="AQ99" s="177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</row>
    <row r="100">
      <c r="A100" s="260">
        <v>343.0</v>
      </c>
      <c r="B100" s="212" t="s">
        <v>185</v>
      </c>
      <c r="C100" s="253" t="s">
        <v>300</v>
      </c>
      <c r="D100" s="204" t="s">
        <v>301</v>
      </c>
      <c r="E100" s="257" t="s">
        <v>250</v>
      </c>
      <c r="F100" s="206"/>
      <c r="G100" s="343"/>
      <c r="H100" s="227" t="s">
        <v>302</v>
      </c>
      <c r="I100" s="333" t="s">
        <v>276</v>
      </c>
      <c r="J100" s="177"/>
      <c r="K100" s="209" t="s">
        <v>43</v>
      </c>
      <c r="L100" s="227" t="s">
        <v>303</v>
      </c>
      <c r="M100" s="177"/>
      <c r="N100" s="227" t="s">
        <v>304</v>
      </c>
      <c r="O100" s="227" t="s">
        <v>305</v>
      </c>
      <c r="P100" s="177"/>
      <c r="Q100" s="227" t="s">
        <v>305</v>
      </c>
      <c r="R100" s="227" t="s">
        <v>306</v>
      </c>
      <c r="S100" s="177"/>
      <c r="T100" s="215" t="s">
        <v>51</v>
      </c>
      <c r="U100" s="227" t="s">
        <v>276</v>
      </c>
      <c r="V100" s="177"/>
      <c r="W100" s="227" t="s">
        <v>76</v>
      </c>
      <c r="X100" s="227" t="s">
        <v>276</v>
      </c>
      <c r="Y100" s="177"/>
      <c r="Z100" s="209" t="s">
        <v>45</v>
      </c>
      <c r="AA100" s="227" t="s">
        <v>276</v>
      </c>
      <c r="AB100" s="177"/>
      <c r="AC100" s="230" t="s">
        <v>29</v>
      </c>
      <c r="AD100" s="207"/>
      <c r="AE100" s="177"/>
      <c r="AF100" s="336" t="s">
        <v>268</v>
      </c>
      <c r="AG100" s="227" t="s">
        <v>307</v>
      </c>
      <c r="AH100" s="177"/>
      <c r="AI100" s="230" t="s">
        <v>29</v>
      </c>
      <c r="AJ100" s="227" t="s">
        <v>276</v>
      </c>
      <c r="AK100" s="177"/>
      <c r="AL100" s="336" t="s">
        <v>268</v>
      </c>
      <c r="AM100" s="207"/>
      <c r="AN100" s="177"/>
      <c r="AO100" s="207"/>
      <c r="AP100" s="227" t="s">
        <v>307</v>
      </c>
      <c r="AQ100" s="177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</row>
    <row r="101">
      <c r="A101" s="260">
        <v>344.0</v>
      </c>
      <c r="B101" s="202" t="s">
        <v>308</v>
      </c>
      <c r="C101" s="203" t="s">
        <v>309</v>
      </c>
      <c r="D101" s="204" t="s">
        <v>301</v>
      </c>
      <c r="E101" s="205"/>
      <c r="F101" s="206"/>
      <c r="G101" s="314"/>
      <c r="H101" s="296" t="s">
        <v>310</v>
      </c>
      <c r="I101" s="344" t="s">
        <v>50</v>
      </c>
      <c r="J101" s="177"/>
      <c r="K101" s="227" t="s">
        <v>190</v>
      </c>
      <c r="L101" s="227" t="s">
        <v>311</v>
      </c>
      <c r="M101" s="177"/>
      <c r="N101" s="296" t="s">
        <v>312</v>
      </c>
      <c r="O101" s="227" t="s">
        <v>307</v>
      </c>
      <c r="P101" s="177"/>
      <c r="Q101" s="296" t="s">
        <v>313</v>
      </c>
      <c r="R101" s="227" t="s">
        <v>307</v>
      </c>
      <c r="S101" s="177"/>
      <c r="T101" s="323" t="s">
        <v>74</v>
      </c>
      <c r="U101" s="228" t="s">
        <v>65</v>
      </c>
      <c r="V101" s="177"/>
      <c r="W101" s="336" t="s">
        <v>268</v>
      </c>
      <c r="X101" s="265"/>
      <c r="Y101" s="177"/>
      <c r="Z101" s="230" t="s">
        <v>29</v>
      </c>
      <c r="AA101" s="214" t="s">
        <v>50</v>
      </c>
      <c r="AB101" s="177"/>
      <c r="AC101" s="323"/>
      <c r="AD101" s="207"/>
      <c r="AE101" s="177"/>
      <c r="AF101" s="323"/>
      <c r="AG101" s="209"/>
      <c r="AH101" s="177"/>
      <c r="AI101" s="296" t="s">
        <v>188</v>
      </c>
      <c r="AJ101" s="228" t="s">
        <v>314</v>
      </c>
      <c r="AK101" s="177"/>
      <c r="AL101" s="323"/>
      <c r="AM101" s="227" t="s">
        <v>307</v>
      </c>
      <c r="AN101" s="177"/>
      <c r="AO101" s="323"/>
      <c r="AP101" s="207"/>
      <c r="AQ101" s="177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</row>
    <row r="102">
      <c r="A102" s="329">
        <v>363.0</v>
      </c>
      <c r="B102" s="202" t="s">
        <v>185</v>
      </c>
      <c r="C102" s="345" t="s">
        <v>315</v>
      </c>
      <c r="D102" s="246" t="s">
        <v>225</v>
      </c>
      <c r="E102" s="205"/>
      <c r="F102" s="206"/>
      <c r="G102" s="332"/>
      <c r="H102" s="217" t="s">
        <v>20</v>
      </c>
      <c r="I102" s="341" t="s">
        <v>294</v>
      </c>
      <c r="J102" s="177"/>
      <c r="K102" s="323"/>
      <c r="L102" s="341" t="s">
        <v>294</v>
      </c>
      <c r="M102" s="177"/>
      <c r="N102" s="323"/>
      <c r="O102" s="341" t="s">
        <v>294</v>
      </c>
      <c r="P102" s="177"/>
      <c r="Q102" s="217" t="s">
        <v>20</v>
      </c>
      <c r="R102" s="341" t="s">
        <v>294</v>
      </c>
      <c r="S102" s="177"/>
      <c r="T102" s="323"/>
      <c r="U102" s="341" t="s">
        <v>294</v>
      </c>
      <c r="V102" s="177"/>
      <c r="W102" s="217" t="s">
        <v>20</v>
      </c>
      <c r="X102" s="341" t="s">
        <v>294</v>
      </c>
      <c r="Y102" s="177"/>
      <c r="Z102" s="323"/>
      <c r="AA102" s="341" t="s">
        <v>294</v>
      </c>
      <c r="AB102" s="177"/>
      <c r="AC102" s="323"/>
      <c r="AD102" s="341" t="s">
        <v>294</v>
      </c>
      <c r="AE102" s="177"/>
      <c r="AF102" s="295"/>
      <c r="AG102" s="341" t="s">
        <v>294</v>
      </c>
      <c r="AH102" s="177"/>
      <c r="AI102" s="207"/>
      <c r="AJ102" s="341" t="s">
        <v>294</v>
      </c>
      <c r="AK102" s="177"/>
      <c r="AL102" s="338"/>
      <c r="AM102" s="341" t="s">
        <v>294</v>
      </c>
      <c r="AN102" s="177"/>
      <c r="AO102" s="217" t="s">
        <v>20</v>
      </c>
      <c r="AP102" s="341" t="s">
        <v>294</v>
      </c>
      <c r="AQ102" s="177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</row>
    <row r="103">
      <c r="A103" s="306"/>
      <c r="B103" s="202"/>
      <c r="C103" s="203"/>
      <c r="D103" s="203"/>
      <c r="E103" s="205"/>
      <c r="F103" s="206"/>
      <c r="G103" s="332"/>
      <c r="H103" s="323"/>
      <c r="I103" s="207"/>
      <c r="J103" s="177"/>
      <c r="K103" s="207"/>
      <c r="L103" s="207"/>
      <c r="M103" s="177"/>
      <c r="N103" s="207"/>
      <c r="O103" s="207"/>
      <c r="P103" s="177"/>
      <c r="Q103" s="207"/>
      <c r="R103" s="207"/>
      <c r="S103" s="177"/>
      <c r="T103" s="207"/>
      <c r="U103" s="207"/>
      <c r="V103" s="177"/>
      <c r="W103" s="207"/>
      <c r="X103" s="207"/>
      <c r="Y103" s="177"/>
      <c r="Z103" s="234"/>
      <c r="AA103" s="207"/>
      <c r="AB103" s="177"/>
      <c r="AC103" s="207"/>
      <c r="AD103" s="207"/>
      <c r="AE103" s="177"/>
      <c r="AF103" s="295"/>
      <c r="AG103" s="207"/>
      <c r="AH103" s="177"/>
      <c r="AI103" s="207"/>
      <c r="AJ103" s="207"/>
      <c r="AK103" s="177"/>
      <c r="AL103" s="338"/>
      <c r="AM103" s="207"/>
      <c r="AN103" s="177"/>
      <c r="AO103" s="207"/>
      <c r="AP103" s="207"/>
      <c r="AQ103" s="177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</row>
    <row r="104">
      <c r="A104" s="260">
        <v>345.0</v>
      </c>
      <c r="B104" s="252" t="s">
        <v>242</v>
      </c>
      <c r="C104" s="253" t="s">
        <v>242</v>
      </c>
      <c r="D104" s="253" t="s">
        <v>241</v>
      </c>
      <c r="E104" s="257" t="s">
        <v>229</v>
      </c>
      <c r="F104" s="206"/>
      <c r="G104" s="332"/>
      <c r="H104" s="323"/>
      <c r="I104" s="207"/>
      <c r="J104" s="177"/>
      <c r="K104" s="222" t="s">
        <v>201</v>
      </c>
      <c r="L104" s="234"/>
      <c r="M104" s="177"/>
      <c r="N104" s="347" t="s">
        <v>316</v>
      </c>
      <c r="O104" s="207"/>
      <c r="P104" s="177"/>
      <c r="Q104" s="348"/>
      <c r="R104" s="207"/>
      <c r="S104" s="177"/>
      <c r="T104" s="210" t="s">
        <v>44</v>
      </c>
      <c r="U104" s="207"/>
      <c r="V104" s="177"/>
      <c r="W104" s="207"/>
      <c r="X104" s="207"/>
      <c r="Y104" s="177"/>
      <c r="Z104" s="234"/>
      <c r="AA104" s="207"/>
      <c r="AB104" s="177"/>
      <c r="AC104" s="207"/>
      <c r="AD104" s="207"/>
      <c r="AE104" s="177"/>
      <c r="AF104" s="210" t="s">
        <v>44</v>
      </c>
      <c r="AG104" s="207"/>
      <c r="AH104" s="177"/>
      <c r="AI104" s="227" t="s">
        <v>237</v>
      </c>
      <c r="AJ104" s="207"/>
      <c r="AK104" s="177"/>
      <c r="AL104" s="338"/>
      <c r="AM104" s="207"/>
      <c r="AN104" s="177"/>
      <c r="AO104" s="207"/>
      <c r="AP104" s="207"/>
      <c r="AQ104" s="177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</row>
    <row r="105">
      <c r="A105" s="260">
        <v>346.0</v>
      </c>
      <c r="B105" s="252" t="s">
        <v>317</v>
      </c>
      <c r="C105" s="203" t="s">
        <v>318</v>
      </c>
      <c r="D105" s="203" t="s">
        <v>319</v>
      </c>
      <c r="E105" s="257" t="s">
        <v>320</v>
      </c>
      <c r="F105" s="206"/>
      <c r="G105" s="332"/>
      <c r="H105" s="323"/>
      <c r="I105" s="207"/>
      <c r="J105" s="177"/>
      <c r="K105" s="234" t="s">
        <v>321</v>
      </c>
      <c r="L105" s="234"/>
      <c r="M105" s="177"/>
      <c r="N105" s="226" t="s">
        <v>63</v>
      </c>
      <c r="O105" s="227" t="s">
        <v>237</v>
      </c>
      <c r="P105" s="177"/>
      <c r="Q105" s="348" t="s">
        <v>322</v>
      </c>
      <c r="R105" s="207"/>
      <c r="S105" s="177"/>
      <c r="T105" s="228" t="s">
        <v>65</v>
      </c>
      <c r="U105" s="265"/>
      <c r="V105" s="177"/>
      <c r="W105" s="234"/>
      <c r="X105" s="207"/>
      <c r="Y105" s="177"/>
      <c r="Z105" s="264" t="s">
        <v>132</v>
      </c>
      <c r="AA105" s="207"/>
      <c r="AB105" s="177"/>
      <c r="AC105" s="264" t="s">
        <v>133</v>
      </c>
      <c r="AD105" s="207"/>
      <c r="AE105" s="177"/>
      <c r="AF105" s="348" t="s">
        <v>322</v>
      </c>
      <c r="AG105" s="240" t="s">
        <v>134</v>
      </c>
      <c r="AH105" s="177"/>
      <c r="AI105" s="207"/>
      <c r="AJ105" s="207"/>
      <c r="AK105" s="177"/>
      <c r="AL105" s="338"/>
      <c r="AM105" s="207"/>
      <c r="AN105" s="177"/>
      <c r="AO105" s="348" t="s">
        <v>322</v>
      </c>
      <c r="AP105" s="207"/>
      <c r="AQ105" s="177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</row>
    <row r="106">
      <c r="A106" s="260">
        <v>359.0</v>
      </c>
      <c r="B106" s="350" t="s">
        <v>323</v>
      </c>
      <c r="C106" s="295" t="s">
        <v>324</v>
      </c>
      <c r="D106" s="203" t="s">
        <v>325</v>
      </c>
      <c r="E106" s="257"/>
      <c r="F106" s="206"/>
      <c r="G106" s="332"/>
      <c r="H106" s="323"/>
      <c r="I106" s="207"/>
      <c r="J106" s="177"/>
      <c r="K106" s="234" t="s">
        <v>321</v>
      </c>
      <c r="L106" s="234"/>
      <c r="M106" s="177"/>
      <c r="N106" s="207"/>
      <c r="O106" s="228" t="s">
        <v>326</v>
      </c>
      <c r="P106" s="177"/>
      <c r="Q106" s="348"/>
      <c r="R106" s="348" t="s">
        <v>322</v>
      </c>
      <c r="S106" s="177"/>
      <c r="T106" s="207"/>
      <c r="U106" s="207"/>
      <c r="V106" s="177"/>
      <c r="W106" s="207"/>
      <c r="X106" s="207"/>
      <c r="Y106" s="177"/>
      <c r="Z106" s="234"/>
      <c r="AA106" s="207"/>
      <c r="AB106" s="177"/>
      <c r="AC106" s="234"/>
      <c r="AD106" s="207"/>
      <c r="AE106" s="177"/>
      <c r="AF106" s="348"/>
      <c r="AG106" s="348" t="s">
        <v>322</v>
      </c>
      <c r="AH106" s="177"/>
      <c r="AI106" s="207"/>
      <c r="AJ106" s="207"/>
      <c r="AK106" s="177"/>
      <c r="AL106" s="338"/>
      <c r="AM106" s="207"/>
      <c r="AN106" s="177"/>
      <c r="AO106" s="348"/>
      <c r="AP106" s="348" t="s">
        <v>322</v>
      </c>
      <c r="AQ106" s="177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</row>
    <row r="107">
      <c r="A107" s="260">
        <v>360.0</v>
      </c>
      <c r="B107" s="202" t="s">
        <v>327</v>
      </c>
      <c r="C107" s="203" t="s">
        <v>328</v>
      </c>
      <c r="D107" s="203" t="s">
        <v>329</v>
      </c>
      <c r="E107" s="257"/>
      <c r="F107" s="206"/>
      <c r="G107" s="332"/>
      <c r="H107" s="323"/>
      <c r="I107" s="207"/>
      <c r="J107" s="177"/>
      <c r="K107" s="297" t="s">
        <v>187</v>
      </c>
      <c r="L107" s="207"/>
      <c r="M107" s="177"/>
      <c r="N107" s="217" t="s">
        <v>20</v>
      </c>
      <c r="O107" s="207"/>
      <c r="P107" s="177"/>
      <c r="Q107" s="207"/>
      <c r="R107" s="207"/>
      <c r="S107" s="177"/>
      <c r="T107" s="217" t="s">
        <v>20</v>
      </c>
      <c r="U107" s="207"/>
      <c r="V107" s="177"/>
      <c r="W107" s="227" t="s">
        <v>76</v>
      </c>
      <c r="X107" s="207"/>
      <c r="Y107" s="177"/>
      <c r="Z107" s="230" t="s">
        <v>29</v>
      </c>
      <c r="AA107" s="207"/>
      <c r="AB107" s="177"/>
      <c r="AC107" s="230" t="s">
        <v>29</v>
      </c>
      <c r="AD107" s="207"/>
      <c r="AE107" s="177"/>
      <c r="AF107" s="295"/>
      <c r="AG107" s="207"/>
      <c r="AH107" s="177"/>
      <c r="AI107" s="217" t="s">
        <v>20</v>
      </c>
      <c r="AJ107" s="207"/>
      <c r="AK107" s="177"/>
      <c r="AL107" s="217" t="s">
        <v>20</v>
      </c>
      <c r="AM107" s="207"/>
      <c r="AN107" s="177"/>
      <c r="AO107" s="207"/>
      <c r="AP107" s="207"/>
      <c r="AQ107" s="177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</row>
    <row r="108">
      <c r="A108" s="351"/>
      <c r="B108" s="350"/>
      <c r="C108" s="253"/>
      <c r="D108" s="253"/>
      <c r="E108" s="205"/>
      <c r="F108" s="206"/>
      <c r="G108" s="332"/>
      <c r="H108" s="323"/>
      <c r="I108" s="207"/>
      <c r="J108" s="177"/>
      <c r="K108" s="207"/>
      <c r="L108" s="207"/>
      <c r="M108" s="177"/>
      <c r="N108" s="207"/>
      <c r="O108" s="207"/>
      <c r="P108" s="177"/>
      <c r="Q108" s="207"/>
      <c r="R108" s="207"/>
      <c r="S108" s="177"/>
      <c r="T108" s="207"/>
      <c r="U108" s="207"/>
      <c r="V108" s="177"/>
      <c r="W108" s="207"/>
      <c r="X108" s="207"/>
      <c r="Y108" s="177"/>
      <c r="Z108" s="234"/>
      <c r="AA108" s="207"/>
      <c r="AB108" s="177"/>
      <c r="AC108" s="207"/>
      <c r="AD108" s="207"/>
      <c r="AE108" s="177"/>
      <c r="AF108" s="295"/>
      <c r="AG108" s="207"/>
      <c r="AH108" s="177"/>
      <c r="AI108" s="207"/>
      <c r="AJ108" s="207"/>
      <c r="AK108" s="177"/>
      <c r="AL108" s="338"/>
      <c r="AM108" s="207"/>
      <c r="AN108" s="177"/>
      <c r="AO108" s="207"/>
      <c r="AP108" s="207"/>
      <c r="AQ108" s="177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</row>
    <row r="109">
      <c r="A109" s="352">
        <v>361.0</v>
      </c>
      <c r="B109" s="350" t="s">
        <v>330</v>
      </c>
      <c r="C109" s="203" t="s">
        <v>331</v>
      </c>
      <c r="D109" s="203" t="s">
        <v>332</v>
      </c>
      <c r="E109" s="257" t="s">
        <v>331</v>
      </c>
      <c r="F109" s="206"/>
      <c r="G109" s="221"/>
      <c r="H109" s="217" t="s">
        <v>20</v>
      </c>
      <c r="I109" s="207"/>
      <c r="J109" s="177"/>
      <c r="K109" s="347" t="s">
        <v>316</v>
      </c>
      <c r="L109" s="207"/>
      <c r="M109" s="177"/>
      <c r="N109" s="347" t="s">
        <v>316</v>
      </c>
      <c r="O109" s="207"/>
      <c r="P109" s="177"/>
      <c r="Q109" s="207"/>
      <c r="R109" s="207"/>
      <c r="S109" s="177"/>
      <c r="T109" s="207"/>
      <c r="U109" s="207"/>
      <c r="V109" s="177"/>
      <c r="W109" s="207"/>
      <c r="X109" s="207"/>
      <c r="Y109" s="177"/>
      <c r="Z109" s="230" t="s">
        <v>29</v>
      </c>
      <c r="AA109" s="217" t="s">
        <v>20</v>
      </c>
      <c r="AB109" s="177"/>
      <c r="AC109" s="230" t="s">
        <v>29</v>
      </c>
      <c r="AD109" s="207"/>
      <c r="AE109" s="177"/>
      <c r="AF109" s="217" t="s">
        <v>20</v>
      </c>
      <c r="AG109" s="207"/>
      <c r="AH109" s="177"/>
      <c r="AI109" s="230" t="s">
        <v>29</v>
      </c>
      <c r="AJ109" s="207"/>
      <c r="AK109" s="177"/>
      <c r="AL109" s="217" t="s">
        <v>20</v>
      </c>
      <c r="AM109" s="207"/>
      <c r="AN109" s="177"/>
      <c r="AO109" s="207"/>
      <c r="AP109" s="207"/>
      <c r="AQ109" s="177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</row>
    <row r="110">
      <c r="A110" s="352">
        <v>362.0</v>
      </c>
      <c r="B110" s="183" t="s">
        <v>333</v>
      </c>
      <c r="C110" s="184" t="s">
        <v>334</v>
      </c>
      <c r="D110" s="184" t="s">
        <v>335</v>
      </c>
      <c r="E110" s="185" t="s">
        <v>336</v>
      </c>
      <c r="F110" s="270"/>
      <c r="G110" s="217"/>
      <c r="H110" s="217" t="s">
        <v>20</v>
      </c>
      <c r="I110" s="289"/>
      <c r="J110" s="270"/>
      <c r="K110" s="289"/>
      <c r="L110" s="289"/>
      <c r="M110" s="270"/>
      <c r="N110" s="211" t="s">
        <v>46</v>
      </c>
      <c r="O110" s="289"/>
      <c r="P110" s="270"/>
      <c r="Q110" s="289"/>
      <c r="R110" s="217" t="s">
        <v>20</v>
      </c>
      <c r="S110" s="270"/>
      <c r="T110" s="289"/>
      <c r="U110" s="289"/>
      <c r="V110" s="270"/>
      <c r="W110" s="217" t="s">
        <v>20</v>
      </c>
      <c r="X110" s="289"/>
      <c r="Y110" s="270"/>
      <c r="Z110" s="217" t="s">
        <v>20</v>
      </c>
      <c r="AA110" s="224" t="s">
        <v>337</v>
      </c>
      <c r="AB110" s="270"/>
      <c r="AC110" s="207"/>
      <c r="AD110" s="289"/>
      <c r="AE110" s="270"/>
      <c r="AF110" s="217" t="s">
        <v>20</v>
      </c>
      <c r="AG110" s="289"/>
      <c r="AH110" s="270"/>
      <c r="AI110" s="289"/>
      <c r="AJ110" s="217" t="s">
        <v>20</v>
      </c>
      <c r="AK110" s="270"/>
      <c r="AL110" s="353"/>
      <c r="AM110" s="289"/>
      <c r="AN110" s="270"/>
      <c r="AO110" s="217" t="s">
        <v>20</v>
      </c>
      <c r="AP110" s="289"/>
      <c r="AQ110" s="177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1"/>
      <c r="BG110" s="271"/>
      <c r="BH110" s="271"/>
      <c r="BI110" s="271"/>
      <c r="BJ110" s="271"/>
      <c r="BK110" s="271"/>
      <c r="BL110" s="271"/>
      <c r="BM110" s="271"/>
      <c r="BN110" s="271"/>
      <c r="BO110" s="271"/>
      <c r="BP110" s="271"/>
      <c r="BQ110" s="271"/>
      <c r="BR110" s="271"/>
      <c r="BS110" s="271"/>
      <c r="BT110" s="271"/>
      <c r="BU110" s="271"/>
      <c r="BV110" s="271"/>
      <c r="BW110" s="271"/>
      <c r="BX110" s="271"/>
      <c r="BY110" s="271"/>
      <c r="BZ110" s="271"/>
    </row>
    <row r="111">
      <c r="A111" s="351"/>
      <c r="B111" s="354"/>
      <c r="C111" s="253"/>
      <c r="D111" s="253"/>
      <c r="E111" s="205"/>
      <c r="F111" s="206"/>
      <c r="G111" s="332"/>
      <c r="H111" s="323"/>
      <c r="I111" s="207"/>
      <c r="J111" s="177"/>
      <c r="K111" s="207"/>
      <c r="L111" s="207"/>
      <c r="M111" s="177"/>
      <c r="N111" s="207"/>
      <c r="O111" s="207"/>
      <c r="P111" s="177"/>
      <c r="Q111" s="207"/>
      <c r="R111" s="207"/>
      <c r="S111" s="177"/>
      <c r="T111" s="207"/>
      <c r="U111" s="207"/>
      <c r="V111" s="177"/>
      <c r="W111" s="207"/>
      <c r="X111" s="207"/>
      <c r="Y111" s="177"/>
      <c r="Z111" s="234"/>
      <c r="AA111" s="207"/>
      <c r="AB111" s="177"/>
      <c r="AC111" s="207"/>
      <c r="AD111" s="207"/>
      <c r="AE111" s="177"/>
      <c r="AF111" s="295"/>
      <c r="AG111" s="207"/>
      <c r="AH111" s="177"/>
      <c r="AI111" s="207"/>
      <c r="AJ111" s="207"/>
      <c r="AK111" s="177"/>
      <c r="AL111" s="338"/>
      <c r="AM111" s="207"/>
      <c r="AN111" s="177"/>
      <c r="AO111" s="207"/>
      <c r="AP111" s="207"/>
      <c r="AQ111" s="177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</row>
    <row r="112">
      <c r="A112" s="260">
        <v>347.0</v>
      </c>
      <c r="B112" s="212" t="s">
        <v>178</v>
      </c>
      <c r="C112" s="253" t="s">
        <v>338</v>
      </c>
      <c r="D112" s="253" t="s">
        <v>339</v>
      </c>
      <c r="E112" s="257" t="s">
        <v>178</v>
      </c>
      <c r="F112" s="206"/>
      <c r="G112" s="355"/>
      <c r="H112" s="356" t="s">
        <v>340</v>
      </c>
      <c r="I112" s="207"/>
      <c r="J112" s="177"/>
      <c r="K112" s="356" t="s">
        <v>340</v>
      </c>
      <c r="L112" s="264" t="s">
        <v>226</v>
      </c>
      <c r="M112" s="177"/>
      <c r="N112" s="356" t="s">
        <v>340</v>
      </c>
      <c r="O112" s="217" t="s">
        <v>20</v>
      </c>
      <c r="P112" s="177"/>
      <c r="Q112" s="356" t="s">
        <v>340</v>
      </c>
      <c r="R112" s="207"/>
      <c r="S112" s="177"/>
      <c r="T112" s="356" t="s">
        <v>340</v>
      </c>
      <c r="U112" s="217" t="s">
        <v>20</v>
      </c>
      <c r="V112" s="177"/>
      <c r="W112" s="356" t="s">
        <v>340</v>
      </c>
      <c r="X112" s="207"/>
      <c r="Y112" s="177"/>
      <c r="Z112" s="356" t="s">
        <v>340</v>
      </c>
      <c r="AA112" s="234"/>
      <c r="AB112" s="177"/>
      <c r="AC112" s="356" t="s">
        <v>340</v>
      </c>
      <c r="AD112" s="234"/>
      <c r="AE112" s="177"/>
      <c r="AF112" s="356" t="s">
        <v>340</v>
      </c>
      <c r="AG112" s="217" t="s">
        <v>20</v>
      </c>
      <c r="AH112" s="177"/>
      <c r="AI112" s="356" t="s">
        <v>340</v>
      </c>
      <c r="AJ112" s="230" t="s">
        <v>29</v>
      </c>
      <c r="AK112" s="177"/>
      <c r="AL112" s="356" t="s">
        <v>340</v>
      </c>
      <c r="AM112" s="217" t="s">
        <v>20</v>
      </c>
      <c r="AN112" s="177"/>
      <c r="AO112" s="356" t="s">
        <v>340</v>
      </c>
      <c r="AP112" s="207"/>
      <c r="AQ112" s="177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</row>
    <row r="113">
      <c r="A113" s="260">
        <v>348.0</v>
      </c>
      <c r="B113" s="212" t="s">
        <v>178</v>
      </c>
      <c r="C113" s="357" t="s">
        <v>341</v>
      </c>
      <c r="D113" s="253" t="s">
        <v>342</v>
      </c>
      <c r="E113" s="257" t="s">
        <v>178</v>
      </c>
      <c r="F113" s="206"/>
      <c r="G113" s="332"/>
      <c r="H113" s="207"/>
      <c r="I113" s="207"/>
      <c r="J113" s="177"/>
      <c r="L113" s="207"/>
      <c r="M113" s="177"/>
      <c r="O113" s="264" t="s">
        <v>226</v>
      </c>
      <c r="P113" s="177"/>
      <c r="Q113" s="207"/>
      <c r="R113" s="207"/>
      <c r="S113" s="177"/>
      <c r="T113" s="207"/>
      <c r="U113" s="207"/>
      <c r="V113" s="177"/>
      <c r="W113" s="207"/>
      <c r="X113" s="207"/>
      <c r="Y113" s="177"/>
      <c r="Z113" s="303" t="s">
        <v>200</v>
      </c>
      <c r="AA113" s="207"/>
      <c r="AB113" s="177"/>
      <c r="AC113" s="234"/>
      <c r="AD113" s="207"/>
      <c r="AE113" s="177"/>
      <c r="AF113" s="217" t="s">
        <v>20</v>
      </c>
      <c r="AG113" s="207"/>
      <c r="AH113" s="177"/>
      <c r="AI113" s="207"/>
      <c r="AJ113" s="207"/>
      <c r="AK113" s="177"/>
      <c r="AL113" s="338"/>
      <c r="AM113" s="207"/>
      <c r="AN113" s="177"/>
      <c r="AO113" s="207"/>
      <c r="AP113" s="207"/>
      <c r="AQ113" s="177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</row>
    <row r="114">
      <c r="A114" s="260">
        <v>349.0</v>
      </c>
      <c r="B114" s="212" t="s">
        <v>178</v>
      </c>
      <c r="C114" s="203" t="s">
        <v>343</v>
      </c>
      <c r="D114" s="253"/>
      <c r="E114" s="257" t="s">
        <v>178</v>
      </c>
      <c r="F114" s="206"/>
      <c r="G114" s="322"/>
      <c r="H114" s="303" t="s">
        <v>200</v>
      </c>
      <c r="I114" s="231" t="s">
        <v>211</v>
      </c>
      <c r="J114" s="177"/>
      <c r="K114" s="231" t="s">
        <v>83</v>
      </c>
      <c r="L114" s="207"/>
      <c r="M114" s="177"/>
      <c r="N114" s="261" t="s">
        <v>125</v>
      </c>
      <c r="O114" s="217" t="s">
        <v>20</v>
      </c>
      <c r="P114" s="177"/>
      <c r="Q114" s="207"/>
      <c r="R114" s="207"/>
      <c r="S114" s="177"/>
      <c r="U114" s="217" t="s">
        <v>20</v>
      </c>
      <c r="V114" s="177"/>
      <c r="W114" s="207"/>
      <c r="X114" s="207"/>
      <c r="Y114" s="177"/>
      <c r="Z114" s="230" t="s">
        <v>29</v>
      </c>
      <c r="AA114" s="207"/>
      <c r="AB114" s="177"/>
      <c r="AC114" s="230" t="s">
        <v>29</v>
      </c>
      <c r="AD114" s="207"/>
      <c r="AE114" s="177"/>
      <c r="AF114" s="295"/>
      <c r="AG114" s="207"/>
      <c r="AH114" s="177"/>
      <c r="AI114" s="230" t="s">
        <v>29</v>
      </c>
      <c r="AJ114" s="207"/>
      <c r="AK114" s="177"/>
      <c r="AL114" s="217" t="s">
        <v>20</v>
      </c>
      <c r="AM114" s="207"/>
      <c r="AN114" s="177"/>
      <c r="AO114" s="207"/>
      <c r="AP114" s="207"/>
      <c r="AQ114" s="177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</row>
    <row r="115">
      <c r="A115" s="260">
        <v>350.0</v>
      </c>
      <c r="B115" s="212" t="s">
        <v>178</v>
      </c>
      <c r="C115" s="253" t="s">
        <v>345</v>
      </c>
      <c r="D115" s="204" t="s">
        <v>346</v>
      </c>
      <c r="E115" s="257" t="s">
        <v>347</v>
      </c>
      <c r="F115" s="206"/>
      <c r="G115" s="322"/>
      <c r="H115" s="217" t="s">
        <v>20</v>
      </c>
      <c r="I115" s="313" t="s">
        <v>222</v>
      </c>
      <c r="J115" s="177"/>
      <c r="K115" s="297" t="s">
        <v>187</v>
      </c>
      <c r="L115" s="207"/>
      <c r="M115" s="177"/>
      <c r="N115" s="304" t="s">
        <v>348</v>
      </c>
      <c r="O115" s="226" t="s">
        <v>63</v>
      </c>
      <c r="P115" s="177"/>
      <c r="Q115" s="264" t="s">
        <v>226</v>
      </c>
      <c r="R115" s="217" t="s">
        <v>20</v>
      </c>
      <c r="S115" s="177"/>
      <c r="T115" s="207"/>
      <c r="U115" s="207"/>
      <c r="V115" s="177"/>
      <c r="W115" s="217" t="s">
        <v>20</v>
      </c>
      <c r="X115" s="207"/>
      <c r="Y115" s="177"/>
      <c r="Z115" s="234"/>
      <c r="AA115" s="207"/>
      <c r="AB115" s="177"/>
      <c r="AC115" s="207"/>
      <c r="AD115" s="207"/>
      <c r="AE115" s="177"/>
      <c r="AF115" s="295"/>
      <c r="AG115" s="207"/>
      <c r="AH115" s="177"/>
      <c r="AI115" s="217" t="s">
        <v>20</v>
      </c>
      <c r="AJ115" s="304" t="s">
        <v>348</v>
      </c>
      <c r="AK115" s="177"/>
      <c r="AL115" s="262" t="s">
        <v>127</v>
      </c>
      <c r="AM115" s="207"/>
      <c r="AN115" s="177"/>
      <c r="AO115" s="217" t="s">
        <v>20</v>
      </c>
      <c r="AP115" s="304" t="s">
        <v>348</v>
      </c>
      <c r="AQ115" s="177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</row>
    <row r="116">
      <c r="A116" s="260">
        <v>351.0</v>
      </c>
      <c r="B116" s="212" t="s">
        <v>178</v>
      </c>
      <c r="C116" s="253" t="s">
        <v>349</v>
      </c>
      <c r="D116" s="204" t="s">
        <v>350</v>
      </c>
      <c r="E116" s="257" t="s">
        <v>178</v>
      </c>
      <c r="F116" s="206"/>
      <c r="G116" s="221"/>
      <c r="H116" s="217" t="s">
        <v>20</v>
      </c>
      <c r="I116" s="207"/>
      <c r="J116" s="177"/>
      <c r="K116" s="231" t="s">
        <v>211</v>
      </c>
      <c r="L116" s="207"/>
      <c r="M116" s="177"/>
      <c r="N116" s="261" t="s">
        <v>125</v>
      </c>
      <c r="O116" s="291" t="s">
        <v>179</v>
      </c>
      <c r="P116" s="177"/>
      <c r="Q116" s="207"/>
      <c r="R116" s="207"/>
      <c r="S116" s="177"/>
      <c r="T116" s="207"/>
      <c r="U116" s="207"/>
      <c r="V116" s="177"/>
      <c r="W116" s="207"/>
      <c r="X116" s="207"/>
      <c r="Y116" s="177"/>
      <c r="Z116" s="217" t="s">
        <v>20</v>
      </c>
      <c r="AA116" s="207"/>
      <c r="AB116" s="177"/>
      <c r="AC116" s="207"/>
      <c r="AD116" s="207"/>
      <c r="AE116" s="177"/>
      <c r="AF116" s="295"/>
      <c r="AG116" s="207"/>
      <c r="AH116" s="177"/>
      <c r="AI116" s="217" t="s">
        <v>20</v>
      </c>
      <c r="AJ116" s="207"/>
      <c r="AK116" s="177"/>
      <c r="AL116" s="338"/>
      <c r="AM116" s="207"/>
      <c r="AN116" s="177"/>
      <c r="AO116" s="217" t="s">
        <v>20</v>
      </c>
      <c r="AP116" s="207"/>
      <c r="AQ116" s="177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</row>
    <row r="117">
      <c r="A117" s="212"/>
      <c r="B117" s="252"/>
      <c r="C117" s="253"/>
      <c r="D117" s="253"/>
      <c r="E117" s="205"/>
      <c r="F117" s="206"/>
      <c r="G117" s="332"/>
      <c r="H117" s="323"/>
      <c r="I117" s="207"/>
      <c r="J117" s="177"/>
      <c r="K117" s="207"/>
      <c r="L117" s="207"/>
      <c r="M117" s="177"/>
      <c r="N117" s="207"/>
      <c r="O117" s="207"/>
      <c r="P117" s="177"/>
      <c r="Q117" s="207"/>
      <c r="R117" s="207"/>
      <c r="S117" s="177"/>
      <c r="T117" s="207"/>
      <c r="U117" s="207"/>
      <c r="V117" s="177"/>
      <c r="W117" s="207"/>
      <c r="X117" s="207"/>
      <c r="Y117" s="177"/>
      <c r="Z117" s="234"/>
      <c r="AA117" s="207"/>
      <c r="AB117" s="177"/>
      <c r="AC117" s="207"/>
      <c r="AD117" s="207"/>
      <c r="AE117" s="177"/>
      <c r="AF117" s="295"/>
      <c r="AG117" s="207"/>
      <c r="AH117" s="177"/>
      <c r="AI117" s="207"/>
      <c r="AJ117" s="207"/>
      <c r="AK117" s="177"/>
      <c r="AL117" s="338"/>
      <c r="AM117" s="207"/>
      <c r="AN117" s="177"/>
      <c r="AO117" s="207"/>
      <c r="AP117" s="207"/>
      <c r="AQ117" s="177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</row>
    <row r="118">
      <c r="A118" s="260">
        <v>352.0</v>
      </c>
      <c r="B118" s="212" t="s">
        <v>210</v>
      </c>
      <c r="C118" s="253" t="s">
        <v>351</v>
      </c>
      <c r="D118" s="253"/>
      <c r="E118" s="257" t="s">
        <v>196</v>
      </c>
      <c r="F118" s="206"/>
      <c r="G118" s="332"/>
      <c r="H118" s="323"/>
      <c r="I118" s="313" t="s">
        <v>222</v>
      </c>
      <c r="J118" s="177"/>
      <c r="K118" s="207"/>
      <c r="L118" s="207"/>
      <c r="M118" s="177"/>
      <c r="N118" s="207"/>
      <c r="O118" s="207"/>
      <c r="P118" s="177"/>
      <c r="Q118" s="207"/>
      <c r="R118" s="304" t="s">
        <v>348</v>
      </c>
      <c r="S118" s="177"/>
      <c r="T118" s="207"/>
      <c r="U118" s="207"/>
      <c r="V118" s="177"/>
      <c r="W118" s="207"/>
      <c r="X118" s="304" t="s">
        <v>348</v>
      </c>
      <c r="Y118" s="177"/>
      <c r="Z118" s="234"/>
      <c r="AA118" s="207"/>
      <c r="AB118" s="177"/>
      <c r="AC118" s="207"/>
      <c r="AD118" s="207"/>
      <c r="AE118" s="177"/>
      <c r="AF118" s="295"/>
      <c r="AG118" s="207"/>
      <c r="AH118" s="177"/>
      <c r="AI118" s="207"/>
      <c r="AJ118" s="207"/>
      <c r="AK118" s="177"/>
      <c r="AL118" s="338"/>
      <c r="AM118" s="207"/>
      <c r="AN118" s="177"/>
      <c r="AO118" s="207"/>
      <c r="AP118" s="207"/>
      <c r="AQ118" s="177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</row>
    <row r="119">
      <c r="A119" s="260">
        <v>353.0</v>
      </c>
      <c r="B119" s="212" t="s">
        <v>210</v>
      </c>
      <c r="C119" s="203" t="s">
        <v>352</v>
      </c>
      <c r="D119" s="246" t="s">
        <v>353</v>
      </c>
      <c r="E119" s="257" t="s">
        <v>354</v>
      </c>
      <c r="F119" s="206"/>
      <c r="G119" s="322"/>
      <c r="H119" s="207"/>
      <c r="I119" s="207"/>
      <c r="J119" s="177"/>
      <c r="K119" s="207"/>
      <c r="L119" s="207"/>
      <c r="M119" s="177"/>
      <c r="N119" s="291" t="s">
        <v>179</v>
      </c>
      <c r="O119" s="304" t="s">
        <v>348</v>
      </c>
      <c r="P119" s="177"/>
      <c r="Q119" s="217" t="s">
        <v>20</v>
      </c>
      <c r="R119" s="207"/>
      <c r="S119" s="177"/>
      <c r="U119" s="304" t="s">
        <v>348</v>
      </c>
      <c r="V119" s="177"/>
      <c r="W119" s="207"/>
      <c r="X119" s="217" t="s">
        <v>20</v>
      </c>
      <c r="Y119" s="177"/>
      <c r="Z119" s="207"/>
      <c r="AA119" s="217" t="s">
        <v>20</v>
      </c>
      <c r="AB119" s="177"/>
      <c r="AC119" s="207"/>
      <c r="AD119" s="304" t="s">
        <v>348</v>
      </c>
      <c r="AE119" s="177"/>
      <c r="AF119" s="217" t="s">
        <v>20</v>
      </c>
      <c r="AG119" s="207"/>
      <c r="AH119" s="177"/>
      <c r="AI119" s="207"/>
      <c r="AJ119" s="207"/>
      <c r="AK119" s="177"/>
      <c r="AL119" s="217" t="s">
        <v>20</v>
      </c>
      <c r="AM119" s="291" t="s">
        <v>179</v>
      </c>
      <c r="AN119" s="177"/>
      <c r="AO119" s="207"/>
      <c r="AP119" s="304" t="s">
        <v>348</v>
      </c>
      <c r="AQ119" s="177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</row>
    <row r="120">
      <c r="A120" s="358" t="s">
        <v>355</v>
      </c>
      <c r="B120" s="212" t="s">
        <v>210</v>
      </c>
      <c r="C120" s="203" t="s">
        <v>356</v>
      </c>
      <c r="D120" s="203" t="s">
        <v>357</v>
      </c>
      <c r="E120" s="205"/>
      <c r="F120" s="206"/>
      <c r="G120" s="332"/>
      <c r="H120" s="323"/>
      <c r="I120" s="207"/>
      <c r="J120" s="177"/>
      <c r="K120" s="207"/>
      <c r="L120" s="207"/>
      <c r="M120" s="177"/>
      <c r="N120" s="207"/>
      <c r="O120" s="207"/>
      <c r="P120" s="177"/>
      <c r="Q120" s="207"/>
      <c r="R120" s="207"/>
      <c r="S120" s="177"/>
      <c r="T120" s="207"/>
      <c r="U120" s="207"/>
      <c r="V120" s="177"/>
      <c r="W120" s="207"/>
      <c r="X120" s="304" t="s">
        <v>348</v>
      </c>
      <c r="Y120" s="177"/>
      <c r="Z120" s="234"/>
      <c r="AA120" s="207"/>
      <c r="AB120" s="177"/>
      <c r="AC120" s="207"/>
      <c r="AD120" s="207"/>
      <c r="AE120" s="177"/>
      <c r="AF120" s="295"/>
      <c r="AG120" s="304" t="s">
        <v>348</v>
      </c>
      <c r="AH120" s="177"/>
      <c r="AI120" s="207"/>
      <c r="AJ120" s="207"/>
      <c r="AK120" s="177"/>
      <c r="AL120" s="338"/>
      <c r="AM120" s="304" t="s">
        <v>348</v>
      </c>
      <c r="AN120" s="177"/>
      <c r="AO120" s="207"/>
      <c r="AP120" s="207"/>
      <c r="AQ120" s="177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</row>
    <row r="121">
      <c r="A121" s="212"/>
      <c r="B121" s="252"/>
      <c r="C121" s="253"/>
      <c r="D121" s="253"/>
      <c r="E121" s="205"/>
      <c r="F121" s="206"/>
      <c r="G121" s="332"/>
      <c r="H121" s="323"/>
      <c r="I121" s="207"/>
      <c r="J121" s="177"/>
      <c r="K121" s="207"/>
      <c r="L121" s="207"/>
      <c r="M121" s="177"/>
      <c r="N121" s="207"/>
      <c r="O121" s="207"/>
      <c r="P121" s="177"/>
      <c r="Q121" s="207"/>
      <c r="R121" s="207"/>
      <c r="S121" s="177"/>
      <c r="T121" s="207"/>
      <c r="U121" s="207"/>
      <c r="V121" s="177"/>
      <c r="W121" s="207"/>
      <c r="X121" s="207"/>
      <c r="Y121" s="177"/>
      <c r="Z121" s="234"/>
      <c r="AA121" s="207"/>
      <c r="AB121" s="177"/>
      <c r="AC121" s="207"/>
      <c r="AD121" s="207"/>
      <c r="AE121" s="177"/>
      <c r="AF121" s="295"/>
      <c r="AG121" s="207"/>
      <c r="AH121" s="177"/>
      <c r="AI121" s="207"/>
      <c r="AJ121" s="207"/>
      <c r="AK121" s="177"/>
      <c r="AL121" s="338"/>
      <c r="AM121" s="207"/>
      <c r="AN121" s="177"/>
      <c r="AO121" s="207"/>
      <c r="AP121" s="207"/>
      <c r="AQ121" s="177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</row>
    <row r="122">
      <c r="A122" s="260">
        <v>354.0</v>
      </c>
      <c r="B122" s="212" t="s">
        <v>358</v>
      </c>
      <c r="C122" s="253" t="s">
        <v>359</v>
      </c>
      <c r="D122" s="253" t="s">
        <v>360</v>
      </c>
      <c r="E122" s="359" t="s">
        <v>361</v>
      </c>
      <c r="F122" s="206"/>
      <c r="G122" s="322"/>
      <c r="H122" s="323"/>
      <c r="I122" s="207"/>
      <c r="J122" s="177"/>
      <c r="K122" s="207"/>
      <c r="L122" s="207"/>
      <c r="M122" s="177"/>
      <c r="N122" s="226" t="s">
        <v>63</v>
      </c>
      <c r="O122" s="207"/>
      <c r="P122" s="177"/>
      <c r="Q122" s="207"/>
      <c r="R122" s="207"/>
      <c r="S122" s="177"/>
      <c r="T122" s="228" t="s">
        <v>65</v>
      </c>
      <c r="U122" s="210" t="s">
        <v>44</v>
      </c>
      <c r="V122" s="177"/>
      <c r="W122" s="207"/>
      <c r="X122" s="207"/>
      <c r="Y122" s="177"/>
      <c r="Z122" s="234"/>
      <c r="AA122" s="207"/>
      <c r="AB122" s="177"/>
      <c r="AC122" s="207"/>
      <c r="AD122" s="207"/>
      <c r="AE122" s="177"/>
      <c r="AF122" s="295"/>
      <c r="AG122" s="207"/>
      <c r="AH122" s="177"/>
      <c r="AI122" s="210" t="s">
        <v>44</v>
      </c>
      <c r="AJ122" s="207"/>
      <c r="AK122" s="177"/>
      <c r="AL122" s="338"/>
      <c r="AM122" s="207"/>
      <c r="AN122" s="177"/>
      <c r="AO122" s="207"/>
      <c r="AP122" s="207"/>
      <c r="AQ122" s="177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</row>
    <row r="123">
      <c r="A123" s="260">
        <v>355.0</v>
      </c>
      <c r="B123" s="212" t="s">
        <v>358</v>
      </c>
      <c r="C123" s="253" t="s">
        <v>362</v>
      </c>
      <c r="D123" s="253" t="s">
        <v>363</v>
      </c>
      <c r="E123" s="257" t="s">
        <v>317</v>
      </c>
      <c r="F123" s="206"/>
      <c r="G123" s="209"/>
      <c r="H123" s="209" t="s">
        <v>43</v>
      </c>
      <c r="I123" s="207"/>
      <c r="J123" s="177"/>
      <c r="K123" s="209"/>
      <c r="L123" s="207"/>
      <c r="M123" s="177"/>
      <c r="N123" s="207"/>
      <c r="O123" s="207"/>
      <c r="P123" s="177"/>
      <c r="Q123" s="207"/>
      <c r="R123" s="207"/>
      <c r="S123" s="177"/>
      <c r="T123" s="207"/>
      <c r="U123" s="207"/>
      <c r="V123" s="177"/>
      <c r="W123" s="227" t="s">
        <v>76</v>
      </c>
      <c r="X123" s="207"/>
      <c r="Y123" s="177"/>
      <c r="Z123" s="234"/>
      <c r="AA123" s="207"/>
      <c r="AB123" s="177"/>
      <c r="AC123" s="207"/>
      <c r="AD123" s="207"/>
      <c r="AE123" s="177"/>
      <c r="AF123" s="209" t="s">
        <v>45</v>
      </c>
      <c r="AG123" s="207"/>
      <c r="AH123" s="177"/>
      <c r="AI123" s="207"/>
      <c r="AJ123" s="207"/>
      <c r="AK123" s="177"/>
      <c r="AL123" s="338"/>
      <c r="AM123" s="207"/>
      <c r="AN123" s="177"/>
      <c r="AO123" s="207"/>
      <c r="AP123" s="207"/>
      <c r="AQ123" s="177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</row>
    <row r="124">
      <c r="A124" s="260">
        <v>356.0</v>
      </c>
      <c r="B124" s="212" t="s">
        <v>358</v>
      </c>
      <c r="C124" s="253" t="s">
        <v>364</v>
      </c>
      <c r="D124" s="253" t="s">
        <v>365</v>
      </c>
      <c r="E124" s="257" t="s">
        <v>185</v>
      </c>
      <c r="F124" s="206"/>
      <c r="G124" s="332"/>
      <c r="H124" s="323"/>
      <c r="I124" s="207"/>
      <c r="J124" s="177"/>
      <c r="K124" s="207"/>
      <c r="L124" s="207"/>
      <c r="M124" s="177"/>
      <c r="N124" s="207"/>
      <c r="O124" s="207"/>
      <c r="P124" s="177"/>
      <c r="Q124" s="207"/>
      <c r="R124" s="207"/>
      <c r="S124" s="177"/>
      <c r="T124" s="207"/>
      <c r="U124" s="207"/>
      <c r="V124" s="177"/>
      <c r="W124" s="207"/>
      <c r="X124" s="207"/>
      <c r="Y124" s="177"/>
      <c r="Z124" s="234"/>
      <c r="AA124" s="207"/>
      <c r="AB124" s="177"/>
      <c r="AC124" s="207"/>
      <c r="AD124" s="207"/>
      <c r="AE124" s="177"/>
      <c r="AF124" s="296" t="s">
        <v>76</v>
      </c>
      <c r="AG124" s="207"/>
      <c r="AH124" s="177"/>
      <c r="AI124" s="207"/>
      <c r="AJ124" s="207"/>
      <c r="AK124" s="177"/>
      <c r="AL124" s="338"/>
      <c r="AM124" s="207"/>
      <c r="AN124" s="177"/>
      <c r="AO124" s="207"/>
      <c r="AP124" s="207"/>
      <c r="AQ124" s="177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</row>
    <row r="125">
      <c r="A125" s="360"/>
      <c r="B125" s="249"/>
      <c r="C125" s="38"/>
      <c r="D125" s="38"/>
      <c r="E125" s="213"/>
      <c r="F125" s="248"/>
      <c r="G125" s="361"/>
      <c r="H125" s="323"/>
      <c r="I125" s="207"/>
      <c r="J125" s="177"/>
      <c r="K125" s="207"/>
      <c r="L125" s="207"/>
      <c r="M125" s="177"/>
      <c r="N125" s="207"/>
      <c r="O125" s="207"/>
      <c r="P125" s="177"/>
      <c r="Q125" s="207"/>
      <c r="R125" s="207"/>
      <c r="S125" s="177"/>
      <c r="T125" s="207"/>
      <c r="U125" s="207"/>
      <c r="V125" s="177"/>
      <c r="W125" s="207"/>
      <c r="X125" s="207"/>
      <c r="Y125" s="177"/>
      <c r="Z125" s="234"/>
      <c r="AA125" s="207"/>
      <c r="AB125" s="177"/>
      <c r="AC125" s="207"/>
      <c r="AD125" s="207"/>
      <c r="AE125" s="177"/>
      <c r="AF125" s="295"/>
      <c r="AG125" s="207"/>
      <c r="AH125" s="177"/>
      <c r="AI125" s="207"/>
      <c r="AJ125" s="207"/>
      <c r="AK125" s="177"/>
      <c r="AL125" s="338"/>
      <c r="AM125" s="207"/>
      <c r="AN125" s="177"/>
      <c r="AO125" s="207"/>
      <c r="AP125" s="207"/>
      <c r="AQ125" s="177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</row>
    <row r="126">
      <c r="A126" s="260">
        <v>357.0</v>
      </c>
      <c r="B126" s="183" t="s">
        <v>215</v>
      </c>
      <c r="C126" s="363" t="s">
        <v>366</v>
      </c>
      <c r="D126" s="363" t="s">
        <v>367</v>
      </c>
      <c r="E126" s="364" t="s">
        <v>368</v>
      </c>
      <c r="F126" s="365"/>
      <c r="G126" s="366"/>
      <c r="H126" s="231" t="s">
        <v>211</v>
      </c>
      <c r="I126" s="367"/>
      <c r="J126" s="368"/>
      <c r="K126" s="367"/>
      <c r="L126" s="367"/>
      <c r="M126" s="368"/>
      <c r="N126" s="217" t="s">
        <v>20</v>
      </c>
      <c r="O126" s="367"/>
      <c r="P126" s="368"/>
      <c r="Q126" s="291" t="s">
        <v>179</v>
      </c>
      <c r="R126" s="367"/>
      <c r="S126" s="368"/>
      <c r="T126" s="217" t="s">
        <v>20</v>
      </c>
      <c r="U126" s="367"/>
      <c r="V126" s="368"/>
      <c r="W126" s="291" t="s">
        <v>179</v>
      </c>
      <c r="X126" s="367"/>
      <c r="Y126" s="368"/>
      <c r="Z126" s="234"/>
      <c r="AA126" s="367"/>
      <c r="AB126" s="368"/>
      <c r="AC126" s="207"/>
      <c r="AD126" s="304" t="s">
        <v>348</v>
      </c>
      <c r="AE126" s="368"/>
      <c r="AF126" s="369"/>
      <c r="AG126" s="367"/>
      <c r="AH126" s="368"/>
      <c r="AI126" s="291" t="s">
        <v>179</v>
      </c>
      <c r="AJ126" s="367"/>
      <c r="AK126" s="368"/>
      <c r="AL126" s="217" t="s">
        <v>20</v>
      </c>
      <c r="AM126" s="367"/>
      <c r="AN126" s="368"/>
      <c r="AO126" s="367"/>
      <c r="AP126" s="304" t="s">
        <v>202</v>
      </c>
      <c r="AQ126" s="177"/>
      <c r="AR126" s="370"/>
      <c r="AS126" s="370"/>
      <c r="AT126" s="370"/>
      <c r="AU126" s="370"/>
      <c r="AV126" s="370"/>
      <c r="AW126" s="370"/>
      <c r="AX126" s="370"/>
      <c r="AY126" s="370"/>
      <c r="AZ126" s="370"/>
      <c r="BA126" s="370"/>
      <c r="BB126" s="370"/>
      <c r="BC126" s="370"/>
      <c r="BD126" s="370"/>
      <c r="BE126" s="370"/>
      <c r="BF126" s="370"/>
      <c r="BG126" s="370"/>
      <c r="BH126" s="370"/>
      <c r="BI126" s="370"/>
      <c r="BJ126" s="370"/>
      <c r="BK126" s="370"/>
      <c r="BL126" s="370"/>
      <c r="BM126" s="370"/>
      <c r="BN126" s="370"/>
      <c r="BO126" s="370"/>
      <c r="BP126" s="370"/>
      <c r="BQ126" s="370"/>
      <c r="BR126" s="370"/>
      <c r="BS126" s="370"/>
      <c r="BT126" s="370"/>
      <c r="BU126" s="370"/>
      <c r="BV126" s="370"/>
      <c r="BW126" s="370"/>
      <c r="BX126" s="370"/>
      <c r="BY126" s="370"/>
      <c r="BZ126" s="370"/>
    </row>
    <row r="127">
      <c r="A127" s="371"/>
      <c r="B127" s="34"/>
      <c r="C127" s="38"/>
      <c r="D127" s="38"/>
      <c r="E127" s="213"/>
      <c r="F127" s="248"/>
      <c r="G127" s="361"/>
      <c r="H127" s="323"/>
      <c r="I127" s="207"/>
      <c r="J127" s="177"/>
      <c r="K127" s="207"/>
      <c r="L127" s="207"/>
      <c r="M127" s="177"/>
      <c r="N127" s="207"/>
      <c r="O127" s="207"/>
      <c r="P127" s="177"/>
      <c r="Q127" s="207"/>
      <c r="R127" s="207"/>
      <c r="S127" s="177"/>
      <c r="T127" s="207"/>
      <c r="U127" s="207"/>
      <c r="V127" s="177"/>
      <c r="W127" s="207"/>
      <c r="X127" s="207"/>
      <c r="Y127" s="177"/>
      <c r="Z127" s="234"/>
      <c r="AA127" s="207"/>
      <c r="AB127" s="177"/>
      <c r="AC127" s="207"/>
      <c r="AD127" s="207"/>
      <c r="AE127" s="177"/>
      <c r="AF127" s="295"/>
      <c r="AG127" s="207"/>
      <c r="AH127" s="177"/>
      <c r="AI127" s="207"/>
      <c r="AJ127" s="207"/>
      <c r="AK127" s="177"/>
      <c r="AL127" s="338"/>
      <c r="AM127" s="207"/>
      <c r="AN127" s="177"/>
      <c r="AO127" s="207"/>
      <c r="AP127" s="207"/>
      <c r="AQ127" s="177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</row>
    <row r="128">
      <c r="A128" s="196" t="s">
        <v>369</v>
      </c>
      <c r="B128" s="197"/>
      <c r="C128" s="197"/>
      <c r="D128" s="198"/>
      <c r="E128" s="199"/>
      <c r="F128" s="177"/>
      <c r="G128" s="189"/>
      <c r="H128" s="189" t="s">
        <v>2</v>
      </c>
      <c r="I128" s="189" t="s">
        <v>2</v>
      </c>
      <c r="J128" s="187"/>
      <c r="K128" s="188" t="s">
        <v>34</v>
      </c>
      <c r="L128" s="188" t="s">
        <v>34</v>
      </c>
      <c r="M128" s="187"/>
      <c r="N128" s="189" t="s">
        <v>5</v>
      </c>
      <c r="O128" s="189" t="s">
        <v>5</v>
      </c>
      <c r="P128" s="187"/>
      <c r="Q128" s="188" t="s">
        <v>7</v>
      </c>
      <c r="R128" s="188" t="s">
        <v>7</v>
      </c>
      <c r="S128" s="187"/>
      <c r="T128" s="189" t="s">
        <v>8</v>
      </c>
      <c r="U128" s="189" t="s">
        <v>8</v>
      </c>
      <c r="V128" s="187"/>
      <c r="W128" s="188" t="s">
        <v>10</v>
      </c>
      <c r="X128" s="188" t="s">
        <v>10</v>
      </c>
      <c r="Y128" s="187"/>
      <c r="Z128" s="189" t="s">
        <v>11</v>
      </c>
      <c r="AA128" s="189" t="s">
        <v>11</v>
      </c>
      <c r="AB128" s="187"/>
      <c r="AC128" s="188" t="s">
        <v>35</v>
      </c>
      <c r="AD128" s="188" t="s">
        <v>35</v>
      </c>
      <c r="AE128" s="187"/>
      <c r="AF128" s="189" t="s">
        <v>36</v>
      </c>
      <c r="AG128" s="189" t="s">
        <v>36</v>
      </c>
      <c r="AH128" s="187"/>
      <c r="AI128" s="188" t="s">
        <v>14</v>
      </c>
      <c r="AJ128" s="188" t="s">
        <v>14</v>
      </c>
      <c r="AK128" s="187"/>
      <c r="AL128" s="189" t="s">
        <v>37</v>
      </c>
      <c r="AM128" s="189" t="s">
        <v>37</v>
      </c>
      <c r="AN128" s="187"/>
      <c r="AO128" s="188" t="s">
        <v>38</v>
      </c>
      <c r="AP128" s="191" t="s">
        <v>38</v>
      </c>
      <c r="AQ128" s="177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</row>
    <row r="129">
      <c r="A129" s="251"/>
      <c r="B129" s="252" t="s">
        <v>31</v>
      </c>
      <c r="C129" s="253" t="s">
        <v>32</v>
      </c>
      <c r="D129" s="253" t="s">
        <v>33</v>
      </c>
      <c r="E129" s="205"/>
      <c r="F129" s="206"/>
      <c r="G129" s="204"/>
      <c r="H129" s="207"/>
      <c r="I129" s="207"/>
      <c r="J129" s="177"/>
      <c r="K129" s="207"/>
      <c r="L129" s="207"/>
      <c r="M129" s="177"/>
      <c r="N129" s="207"/>
      <c r="O129" s="207"/>
      <c r="P129" s="177"/>
      <c r="Q129" s="207"/>
      <c r="R129" s="207"/>
      <c r="S129" s="177"/>
      <c r="T129" s="207"/>
      <c r="U129" s="207"/>
      <c r="V129" s="177"/>
      <c r="W129" s="207"/>
      <c r="X129" s="207"/>
      <c r="Y129" s="177"/>
      <c r="Z129" s="207"/>
      <c r="AA129" s="207"/>
      <c r="AB129" s="177"/>
      <c r="AC129" s="207"/>
      <c r="AD129" s="207"/>
      <c r="AE129" s="177"/>
      <c r="AF129" s="207"/>
      <c r="AG129" s="207"/>
      <c r="AH129" s="177"/>
      <c r="AI129" s="207"/>
      <c r="AJ129" s="207"/>
      <c r="AK129" s="177"/>
      <c r="AL129" s="207"/>
      <c r="AM129" s="207"/>
      <c r="AN129" s="177"/>
      <c r="AO129" s="207"/>
      <c r="AP129" s="207"/>
      <c r="AQ129" s="177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</row>
    <row r="130">
      <c r="A130" s="251"/>
      <c r="B130" s="252"/>
      <c r="C130" s="253"/>
      <c r="D130" s="253"/>
      <c r="E130" s="205"/>
      <c r="F130" s="206"/>
      <c r="G130" s="204"/>
      <c r="H130" s="207"/>
      <c r="I130" s="207"/>
      <c r="J130" s="177"/>
      <c r="K130" s="207"/>
      <c r="L130" s="207"/>
      <c r="M130" s="177"/>
      <c r="N130" s="207"/>
      <c r="O130" s="207"/>
      <c r="P130" s="177"/>
      <c r="Q130" s="207"/>
      <c r="R130" s="207"/>
      <c r="S130" s="177"/>
      <c r="T130" s="207"/>
      <c r="U130" s="207"/>
      <c r="V130" s="177"/>
      <c r="W130" s="207"/>
      <c r="X130" s="207"/>
      <c r="Y130" s="177"/>
      <c r="Z130" s="207"/>
      <c r="AA130" s="207"/>
      <c r="AB130" s="177"/>
      <c r="AC130" s="207"/>
      <c r="AD130" s="207"/>
      <c r="AE130" s="177"/>
      <c r="AF130" s="207"/>
      <c r="AG130" s="207"/>
      <c r="AH130" s="177"/>
      <c r="AI130" s="207"/>
      <c r="AJ130" s="207"/>
      <c r="AK130" s="177"/>
      <c r="AL130" s="207"/>
      <c r="AM130" s="207"/>
      <c r="AN130" s="177"/>
      <c r="AO130" s="207"/>
      <c r="AP130" s="207"/>
      <c r="AQ130" s="177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</row>
    <row r="131">
      <c r="A131" s="260">
        <v>401.0</v>
      </c>
      <c r="B131" s="252" t="s">
        <v>370</v>
      </c>
      <c r="C131" s="253" t="s">
        <v>371</v>
      </c>
      <c r="D131" s="253" t="s">
        <v>372</v>
      </c>
      <c r="E131" s="257" t="s">
        <v>185</v>
      </c>
      <c r="F131" s="206"/>
      <c r="G131" s="204"/>
      <c r="H131" s="207"/>
      <c r="I131" s="207"/>
      <c r="J131" s="177"/>
      <c r="K131" s="210" t="s">
        <v>44</v>
      </c>
      <c r="L131" s="207"/>
      <c r="M131" s="177"/>
      <c r="N131" s="226" t="s">
        <v>63</v>
      </c>
      <c r="O131" s="207"/>
      <c r="P131" s="177"/>
      <c r="Q131" s="209" t="s">
        <v>43</v>
      </c>
      <c r="R131" s="207"/>
      <c r="S131" s="177"/>
      <c r="T131" s="228" t="s">
        <v>65</v>
      </c>
      <c r="U131" s="207"/>
      <c r="V131" s="177"/>
      <c r="W131" s="227" t="s">
        <v>76</v>
      </c>
      <c r="X131" s="207"/>
      <c r="Y131" s="177"/>
      <c r="Z131" s="207"/>
      <c r="AA131" s="207"/>
      <c r="AB131" s="177"/>
      <c r="AC131" s="207"/>
      <c r="AD131" s="207"/>
      <c r="AE131" s="177"/>
      <c r="AF131" s="209" t="s">
        <v>45</v>
      </c>
      <c r="AG131" s="207"/>
      <c r="AH131" s="177"/>
      <c r="AI131" s="210" t="s">
        <v>44</v>
      </c>
      <c r="AJ131" s="207"/>
      <c r="AK131" s="177"/>
      <c r="AL131" s="207"/>
      <c r="AM131" s="207"/>
      <c r="AN131" s="177"/>
      <c r="AO131" s="209" t="s">
        <v>45</v>
      </c>
      <c r="AP131" s="207"/>
      <c r="AQ131" s="177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</row>
    <row r="132">
      <c r="A132" s="260">
        <v>402.0</v>
      </c>
      <c r="B132" s="252" t="s">
        <v>370</v>
      </c>
      <c r="C132" s="253" t="s">
        <v>373</v>
      </c>
      <c r="D132" s="253" t="s">
        <v>374</v>
      </c>
      <c r="E132" s="257" t="s">
        <v>370</v>
      </c>
      <c r="F132" s="206"/>
      <c r="G132" s="209"/>
      <c r="H132" s="209" t="s">
        <v>43</v>
      </c>
      <c r="I132" s="207"/>
      <c r="J132" s="177"/>
      <c r="K132" s="209" t="s">
        <v>43</v>
      </c>
      <c r="L132" s="207"/>
      <c r="M132" s="177"/>
      <c r="N132" s="207"/>
      <c r="O132" s="207"/>
      <c r="P132" s="177"/>
      <c r="Q132" s="210" t="s">
        <v>44</v>
      </c>
      <c r="R132" s="207"/>
      <c r="S132" s="177"/>
      <c r="T132" s="207"/>
      <c r="U132" s="207"/>
      <c r="V132" s="177"/>
      <c r="W132" s="210" t="s">
        <v>44</v>
      </c>
      <c r="X132" s="207"/>
      <c r="Y132" s="177"/>
      <c r="Z132" s="209" t="s">
        <v>45</v>
      </c>
      <c r="AA132" s="207"/>
      <c r="AB132" s="177"/>
      <c r="AC132" s="209" t="s">
        <v>45</v>
      </c>
      <c r="AD132" s="207"/>
      <c r="AE132" s="177"/>
      <c r="AF132" s="209"/>
      <c r="AG132" s="207"/>
      <c r="AH132" s="177"/>
      <c r="AI132" s="227" t="s">
        <v>76</v>
      </c>
      <c r="AJ132" s="207"/>
      <c r="AK132" s="177"/>
      <c r="AL132" s="209" t="s">
        <v>45</v>
      </c>
      <c r="AM132" s="207"/>
      <c r="AN132" s="177"/>
      <c r="AO132" s="207"/>
      <c r="AP132" s="207"/>
      <c r="AQ132" s="177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</row>
    <row r="133">
      <c r="A133" s="372">
        <v>403.0</v>
      </c>
      <c r="B133" s="252" t="s">
        <v>370</v>
      </c>
      <c r="C133" s="203" t="s">
        <v>375</v>
      </c>
      <c r="D133" s="203" t="s">
        <v>376</v>
      </c>
      <c r="E133" s="257" t="s">
        <v>370</v>
      </c>
      <c r="F133" s="206"/>
      <c r="G133" s="204"/>
      <c r="H133" s="207"/>
      <c r="I133" s="207"/>
      <c r="J133" s="177"/>
      <c r="K133" s="347" t="s">
        <v>316</v>
      </c>
      <c r="L133" s="207"/>
      <c r="M133" s="177"/>
      <c r="N133" s="347" t="s">
        <v>316</v>
      </c>
      <c r="O133" s="216" t="s">
        <v>52</v>
      </c>
      <c r="P133" s="177"/>
      <c r="Q133" s="207"/>
      <c r="R133" s="207"/>
      <c r="S133" s="177"/>
      <c r="T133" s="228" t="s">
        <v>65</v>
      </c>
      <c r="U133" s="216" t="s">
        <v>52</v>
      </c>
      <c r="V133" s="177"/>
      <c r="W133" s="207"/>
      <c r="X133" s="207"/>
      <c r="Y133" s="177"/>
      <c r="Z133" s="207"/>
      <c r="AA133" s="207"/>
      <c r="AB133" s="177"/>
      <c r="AC133" s="216" t="s">
        <v>52</v>
      </c>
      <c r="AD133" s="207"/>
      <c r="AE133" s="177"/>
      <c r="AF133" s="207"/>
      <c r="AG133" s="207"/>
      <c r="AH133" s="177"/>
      <c r="AI133" s="207"/>
      <c r="AJ133" s="207"/>
      <c r="AK133" s="177"/>
      <c r="AL133" s="207"/>
      <c r="AM133" s="207"/>
      <c r="AN133" s="177"/>
      <c r="AO133" s="207"/>
      <c r="AP133" s="207"/>
      <c r="AQ133" s="177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</row>
    <row r="134">
      <c r="A134" s="260">
        <v>404.0</v>
      </c>
      <c r="B134" s="252" t="s">
        <v>370</v>
      </c>
      <c r="C134" s="253" t="s">
        <v>377</v>
      </c>
      <c r="D134" s="253"/>
      <c r="E134" s="257" t="s">
        <v>378</v>
      </c>
      <c r="F134" s="206"/>
      <c r="G134" s="204"/>
      <c r="H134" s="207"/>
      <c r="I134" s="207"/>
      <c r="J134" s="177"/>
      <c r="K134" s="234"/>
      <c r="L134" s="207"/>
      <c r="M134" s="177"/>
      <c r="N134" s="209" t="s">
        <v>43</v>
      </c>
      <c r="O134" s="207"/>
      <c r="P134" s="177"/>
      <c r="Q134" s="227" t="s">
        <v>76</v>
      </c>
      <c r="R134" s="207"/>
      <c r="S134" s="177"/>
      <c r="T134" s="209" t="s">
        <v>43</v>
      </c>
      <c r="U134" s="263" t="s">
        <v>131</v>
      </c>
      <c r="V134" s="177"/>
      <c r="W134" s="234"/>
      <c r="X134" s="207"/>
      <c r="Y134" s="177"/>
      <c r="Z134" s="264" t="s">
        <v>132</v>
      </c>
      <c r="AA134" s="207"/>
      <c r="AB134" s="177"/>
      <c r="AC134" s="264" t="s">
        <v>133</v>
      </c>
      <c r="AD134" s="207"/>
      <c r="AE134" s="177"/>
      <c r="AF134" s="240" t="s">
        <v>134</v>
      </c>
      <c r="AG134" s="207"/>
      <c r="AH134" s="177"/>
      <c r="AI134" s="209" t="s">
        <v>45</v>
      </c>
      <c r="AJ134" s="207"/>
      <c r="AK134" s="177"/>
      <c r="AL134" s="207"/>
      <c r="AM134" s="207"/>
      <c r="AN134" s="177"/>
      <c r="AO134" s="207"/>
      <c r="AP134" s="207"/>
      <c r="AQ134" s="177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</row>
    <row r="135">
      <c r="A135" s="260">
        <v>405.0</v>
      </c>
      <c r="B135" s="280" t="s">
        <v>379</v>
      </c>
      <c r="C135" s="225" t="s">
        <v>380</v>
      </c>
      <c r="D135" s="225" t="s">
        <v>381</v>
      </c>
      <c r="E135" s="185"/>
      <c r="F135" s="177"/>
      <c r="G135" s="217"/>
      <c r="H135" s="207"/>
      <c r="I135" s="217" t="s">
        <v>20</v>
      </c>
      <c r="J135" s="177"/>
      <c r="K135" s="207"/>
      <c r="L135" s="207"/>
      <c r="M135" s="177"/>
      <c r="N135" s="207"/>
      <c r="O135" s="207"/>
      <c r="P135" s="177"/>
      <c r="Q135" s="210" t="s">
        <v>44</v>
      </c>
      <c r="R135" s="207"/>
      <c r="S135" s="177"/>
      <c r="T135" s="228" t="s">
        <v>65</v>
      </c>
      <c r="U135" s="207"/>
      <c r="V135" s="177"/>
      <c r="W135" s="209" t="s">
        <v>45</v>
      </c>
      <c r="X135" s="207"/>
      <c r="Y135" s="177"/>
      <c r="Z135" s="217" t="s">
        <v>20</v>
      </c>
      <c r="AA135" s="207"/>
      <c r="AB135" s="177"/>
      <c r="AC135" s="207"/>
      <c r="AD135" s="207"/>
      <c r="AE135" s="177"/>
      <c r="AF135" s="207"/>
      <c r="AG135" s="207"/>
      <c r="AH135" s="177"/>
      <c r="AI135" s="207"/>
      <c r="AJ135" s="207"/>
      <c r="AK135" s="177"/>
      <c r="AL135" s="207"/>
      <c r="AM135" s="207"/>
      <c r="AN135" s="177"/>
      <c r="AO135" s="207"/>
      <c r="AP135" s="207"/>
      <c r="AQ135" s="177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</row>
    <row r="136">
      <c r="A136" s="260">
        <v>406.0</v>
      </c>
      <c r="B136" s="280" t="s">
        <v>382</v>
      </c>
      <c r="C136" s="225" t="s">
        <v>383</v>
      </c>
      <c r="D136" s="225" t="s">
        <v>384</v>
      </c>
      <c r="E136" s="185"/>
      <c r="F136" s="177"/>
      <c r="G136" s="207"/>
      <c r="H136" s="207"/>
      <c r="I136" s="207"/>
      <c r="J136" s="177"/>
      <c r="K136" s="207"/>
      <c r="L136" s="207"/>
      <c r="M136" s="177"/>
      <c r="N136" s="210" t="s">
        <v>44</v>
      </c>
      <c r="O136" s="207"/>
      <c r="P136" s="177"/>
      <c r="Q136" s="217" t="s">
        <v>20</v>
      </c>
      <c r="R136" s="207"/>
      <c r="S136" s="177"/>
      <c r="T136" s="228" t="s">
        <v>65</v>
      </c>
      <c r="U136" s="207"/>
      <c r="V136" s="177"/>
      <c r="W136" s="217" t="s">
        <v>20</v>
      </c>
      <c r="X136" s="207"/>
      <c r="Y136" s="177"/>
      <c r="Z136" s="207"/>
      <c r="AA136" s="207"/>
      <c r="AB136" s="177"/>
      <c r="AC136" s="207"/>
      <c r="AD136" s="207"/>
      <c r="AE136" s="177"/>
      <c r="AF136" s="207"/>
      <c r="AG136" s="227" t="s">
        <v>76</v>
      </c>
      <c r="AH136" s="177"/>
      <c r="AI136" s="217" t="s">
        <v>20</v>
      </c>
      <c r="AJ136" s="207"/>
      <c r="AK136" s="177"/>
      <c r="AL136" s="207"/>
      <c r="AM136" s="207"/>
      <c r="AN136" s="177"/>
      <c r="AO136" s="217" t="s">
        <v>20</v>
      </c>
      <c r="AP136" s="207"/>
      <c r="AQ136" s="177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</row>
    <row r="137">
      <c r="A137" s="373"/>
      <c r="B137" s="374"/>
      <c r="C137" s="375"/>
      <c r="D137" s="375"/>
      <c r="E137" s="376"/>
      <c r="F137" s="377"/>
      <c r="G137" s="375"/>
      <c r="H137" s="207"/>
      <c r="I137" s="207"/>
      <c r="J137" s="177"/>
      <c r="K137" s="207"/>
      <c r="L137" s="207"/>
      <c r="M137" s="177"/>
      <c r="N137" s="207"/>
      <c r="O137" s="207"/>
      <c r="P137" s="177"/>
      <c r="Q137" s="207"/>
      <c r="R137" s="207"/>
      <c r="S137" s="177"/>
      <c r="T137" s="207"/>
      <c r="U137" s="207"/>
      <c r="V137" s="177"/>
      <c r="W137" s="207"/>
      <c r="X137" s="207"/>
      <c r="Y137" s="177"/>
      <c r="Z137" s="207"/>
      <c r="AA137" s="207"/>
      <c r="AB137" s="177"/>
      <c r="AC137" s="207"/>
      <c r="AD137" s="207"/>
      <c r="AE137" s="177"/>
      <c r="AF137" s="207"/>
      <c r="AG137" s="207"/>
      <c r="AH137" s="177"/>
      <c r="AI137" s="207"/>
      <c r="AJ137" s="207"/>
      <c r="AK137" s="177"/>
      <c r="AL137" s="207"/>
      <c r="AM137" s="207"/>
      <c r="AN137" s="177"/>
      <c r="AO137" s="207"/>
      <c r="AP137" s="207"/>
      <c r="AQ137" s="177"/>
      <c r="AR137" s="378"/>
      <c r="AS137" s="378"/>
      <c r="AT137" s="378"/>
      <c r="AU137" s="378"/>
      <c r="AV137" s="378"/>
      <c r="AW137" s="378"/>
      <c r="AX137" s="378"/>
      <c r="AY137" s="378"/>
      <c r="AZ137" s="378"/>
      <c r="BA137" s="378"/>
      <c r="BB137" s="378"/>
      <c r="BC137" s="378"/>
      <c r="BD137" s="378"/>
      <c r="BE137" s="378"/>
      <c r="BF137" s="378"/>
      <c r="BG137" s="378"/>
      <c r="BH137" s="378"/>
      <c r="BI137" s="378"/>
      <c r="BJ137" s="378"/>
      <c r="BK137" s="378"/>
      <c r="BL137" s="378"/>
      <c r="BM137" s="378"/>
      <c r="BN137" s="378"/>
      <c r="BO137" s="378"/>
      <c r="BP137" s="378"/>
      <c r="BQ137" s="378"/>
      <c r="BR137" s="378"/>
      <c r="BS137" s="378"/>
      <c r="BT137" s="378"/>
      <c r="BU137" s="378"/>
      <c r="BV137" s="378"/>
      <c r="BW137" s="378"/>
      <c r="BX137" s="378"/>
      <c r="BY137" s="378"/>
      <c r="BZ137" s="378"/>
    </row>
    <row r="138">
      <c r="A138" s="379"/>
      <c r="B138" s="380" t="s">
        <v>385</v>
      </c>
      <c r="C138" s="381" t="s">
        <v>386</v>
      </c>
      <c r="D138" s="381" t="s">
        <v>387</v>
      </c>
      <c r="E138" s="382"/>
      <c r="F138" s="377"/>
      <c r="G138" s="375"/>
      <c r="H138" s="207"/>
      <c r="I138" s="207"/>
      <c r="J138" s="177"/>
      <c r="K138" s="207"/>
      <c r="L138" s="207"/>
      <c r="M138" s="177"/>
      <c r="N138" s="207"/>
      <c r="O138" s="207"/>
      <c r="P138" s="177"/>
      <c r="Q138" s="207"/>
      <c r="R138" s="207"/>
      <c r="S138" s="177"/>
      <c r="T138" s="207"/>
      <c r="U138" s="207"/>
      <c r="V138" s="177"/>
      <c r="W138" s="207"/>
      <c r="X138" s="207"/>
      <c r="Y138" s="177"/>
      <c r="Z138" s="207"/>
      <c r="AA138" s="207"/>
      <c r="AB138" s="177"/>
      <c r="AC138" s="207"/>
      <c r="AD138" s="207"/>
      <c r="AE138" s="177"/>
      <c r="AF138" s="207"/>
      <c r="AG138" s="207"/>
      <c r="AH138" s="177"/>
      <c r="AI138" s="207"/>
      <c r="AJ138" s="207"/>
      <c r="AK138" s="177"/>
      <c r="AL138" s="207"/>
      <c r="AM138" s="207"/>
      <c r="AN138" s="177"/>
      <c r="AO138" s="207"/>
      <c r="AP138" s="207"/>
      <c r="AQ138" s="177"/>
      <c r="AR138" s="378"/>
      <c r="AS138" s="378"/>
      <c r="AT138" s="378"/>
      <c r="AU138" s="378"/>
      <c r="AV138" s="378"/>
      <c r="AW138" s="378"/>
      <c r="AX138" s="378"/>
      <c r="AY138" s="378"/>
      <c r="AZ138" s="378"/>
      <c r="BA138" s="378"/>
      <c r="BB138" s="378"/>
      <c r="BC138" s="378"/>
      <c r="BD138" s="378"/>
      <c r="BE138" s="378"/>
      <c r="BF138" s="378"/>
      <c r="BG138" s="378"/>
      <c r="BH138" s="378"/>
      <c r="BI138" s="378"/>
      <c r="BJ138" s="378"/>
      <c r="BK138" s="378"/>
      <c r="BL138" s="378"/>
      <c r="BM138" s="378"/>
      <c r="BN138" s="378"/>
      <c r="BO138" s="378"/>
      <c r="BP138" s="378"/>
      <c r="BQ138" s="378"/>
      <c r="BR138" s="378"/>
      <c r="BS138" s="378"/>
      <c r="BT138" s="378"/>
      <c r="BU138" s="378"/>
      <c r="BV138" s="378"/>
      <c r="BW138" s="378"/>
      <c r="BX138" s="378"/>
      <c r="BY138" s="378"/>
      <c r="BZ138" s="378"/>
    </row>
    <row r="139">
      <c r="A139" s="34"/>
      <c r="B139" s="34"/>
      <c r="C139" s="38"/>
      <c r="D139" s="38"/>
      <c r="E139" s="178"/>
      <c r="F139" s="181"/>
      <c r="G139" s="42"/>
      <c r="H139" s="207"/>
      <c r="I139" s="207"/>
      <c r="J139" s="177"/>
      <c r="K139" s="207"/>
      <c r="L139" s="207"/>
      <c r="M139" s="177"/>
      <c r="N139" s="207"/>
      <c r="O139" s="207"/>
      <c r="P139" s="177"/>
      <c r="Q139" s="207"/>
      <c r="R139" s="207"/>
      <c r="S139" s="177"/>
      <c r="T139" s="207"/>
      <c r="U139" s="207"/>
      <c r="V139" s="177"/>
      <c r="W139" s="207"/>
      <c r="X139" s="207"/>
      <c r="Y139" s="177"/>
      <c r="Z139" s="207"/>
      <c r="AA139" s="207"/>
      <c r="AB139" s="177"/>
      <c r="AC139" s="207"/>
      <c r="AD139" s="207"/>
      <c r="AE139" s="177"/>
      <c r="AF139" s="207"/>
      <c r="AG139" s="207"/>
      <c r="AH139" s="177"/>
      <c r="AI139" s="207"/>
      <c r="AJ139" s="207"/>
      <c r="AK139" s="177"/>
      <c r="AL139" s="207"/>
      <c r="AM139" s="207"/>
      <c r="AN139" s="177"/>
      <c r="AO139" s="207"/>
      <c r="AP139" s="207"/>
      <c r="AQ139" s="177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</row>
    <row r="140">
      <c r="A140" s="196" t="s">
        <v>388</v>
      </c>
      <c r="B140" s="197"/>
      <c r="C140" s="197"/>
      <c r="D140" s="198"/>
      <c r="E140" s="199"/>
      <c r="F140" s="177"/>
      <c r="G140" s="189"/>
      <c r="H140" s="189" t="s">
        <v>2</v>
      </c>
      <c r="I140" s="189" t="s">
        <v>2</v>
      </c>
      <c r="J140" s="187"/>
      <c r="K140" s="188" t="s">
        <v>34</v>
      </c>
      <c r="L140" s="188" t="s">
        <v>34</v>
      </c>
      <c r="M140" s="187"/>
      <c r="N140" s="189" t="s">
        <v>5</v>
      </c>
      <c r="O140" s="189" t="s">
        <v>5</v>
      </c>
      <c r="P140" s="187"/>
      <c r="Q140" s="188" t="s">
        <v>7</v>
      </c>
      <c r="R140" s="188" t="s">
        <v>7</v>
      </c>
      <c r="S140" s="187"/>
      <c r="T140" s="189" t="s">
        <v>8</v>
      </c>
      <c r="U140" s="189" t="s">
        <v>8</v>
      </c>
      <c r="V140" s="187"/>
      <c r="W140" s="188" t="s">
        <v>10</v>
      </c>
      <c r="X140" s="188" t="s">
        <v>10</v>
      </c>
      <c r="Y140" s="187"/>
      <c r="Z140" s="189" t="s">
        <v>11</v>
      </c>
      <c r="AA140" s="189" t="s">
        <v>11</v>
      </c>
      <c r="AB140" s="187"/>
      <c r="AC140" s="188" t="s">
        <v>35</v>
      </c>
      <c r="AD140" s="188" t="s">
        <v>35</v>
      </c>
      <c r="AE140" s="187"/>
      <c r="AF140" s="189" t="s">
        <v>36</v>
      </c>
      <c r="AG140" s="189" t="s">
        <v>36</v>
      </c>
      <c r="AH140" s="187"/>
      <c r="AI140" s="188" t="s">
        <v>14</v>
      </c>
      <c r="AJ140" s="188" t="s">
        <v>14</v>
      </c>
      <c r="AK140" s="187"/>
      <c r="AL140" s="189" t="s">
        <v>37</v>
      </c>
      <c r="AM140" s="189" t="s">
        <v>37</v>
      </c>
      <c r="AN140" s="187"/>
      <c r="AO140" s="188" t="s">
        <v>38</v>
      </c>
      <c r="AP140" s="191" t="s">
        <v>38</v>
      </c>
      <c r="AQ140" s="177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</row>
    <row r="141">
      <c r="A141" s="383"/>
      <c r="B141" s="252" t="s">
        <v>31</v>
      </c>
      <c r="C141" s="253" t="s">
        <v>32</v>
      </c>
      <c r="D141" s="253" t="s">
        <v>33</v>
      </c>
      <c r="E141" s="213"/>
      <c r="F141" s="206"/>
      <c r="G141" s="204"/>
      <c r="H141" s="207"/>
      <c r="I141" s="207"/>
      <c r="J141" s="177"/>
      <c r="K141" s="207"/>
      <c r="L141" s="207"/>
      <c r="M141" s="177"/>
      <c r="N141" s="207"/>
      <c r="O141" s="207"/>
      <c r="P141" s="177"/>
      <c r="Q141" s="207"/>
      <c r="R141" s="207"/>
      <c r="S141" s="177"/>
      <c r="T141" s="207"/>
      <c r="U141" s="207"/>
      <c r="V141" s="177"/>
      <c r="W141" s="207"/>
      <c r="X141" s="207"/>
      <c r="Y141" s="177"/>
      <c r="Z141" s="207"/>
      <c r="AA141" s="207"/>
      <c r="AB141" s="177"/>
      <c r="AC141" s="207"/>
      <c r="AD141" s="207"/>
      <c r="AE141" s="177"/>
      <c r="AF141" s="207"/>
      <c r="AG141" s="207"/>
      <c r="AH141" s="177"/>
      <c r="AI141" s="207"/>
      <c r="AJ141" s="207"/>
      <c r="AK141" s="177"/>
      <c r="AL141" s="207"/>
      <c r="AM141" s="207"/>
      <c r="AN141" s="177"/>
      <c r="AO141" s="207"/>
      <c r="AP141" s="207"/>
      <c r="AQ141" s="177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</row>
    <row r="142">
      <c r="A142" s="212"/>
      <c r="B142" s="202" t="s">
        <v>389</v>
      </c>
      <c r="C142" s="253"/>
      <c r="D142" s="253"/>
      <c r="E142" s="205"/>
      <c r="F142" s="206"/>
      <c r="G142" s="204"/>
      <c r="H142" s="207"/>
      <c r="I142" s="207"/>
      <c r="J142" s="177"/>
      <c r="K142" s="207"/>
      <c r="L142" s="207"/>
      <c r="M142" s="177"/>
      <c r="N142" s="207"/>
      <c r="O142" s="207"/>
      <c r="P142" s="177"/>
      <c r="Q142" s="207"/>
      <c r="R142" s="207"/>
      <c r="S142" s="177"/>
      <c r="T142" s="228" t="s">
        <v>65</v>
      </c>
      <c r="U142" s="207"/>
      <c r="V142" s="177"/>
      <c r="W142" s="207"/>
      <c r="X142" s="207"/>
      <c r="Y142" s="177"/>
      <c r="Z142" s="207"/>
      <c r="AA142" s="207"/>
      <c r="AB142" s="177"/>
      <c r="AC142" s="207"/>
      <c r="AD142" s="207"/>
      <c r="AE142" s="177"/>
      <c r="AF142" s="207"/>
      <c r="AG142" s="207"/>
      <c r="AH142" s="177"/>
      <c r="AI142" s="207"/>
      <c r="AJ142" s="207"/>
      <c r="AK142" s="177"/>
      <c r="AL142" s="207"/>
      <c r="AM142" s="207"/>
      <c r="AN142" s="177"/>
      <c r="AO142" s="207"/>
      <c r="AP142" s="207"/>
      <c r="AQ142" s="177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</row>
    <row r="143">
      <c r="A143" s="258">
        <v>501.0</v>
      </c>
      <c r="B143" s="252" t="s">
        <v>390</v>
      </c>
      <c r="C143" s="253" t="s">
        <v>391</v>
      </c>
      <c r="D143" s="253" t="s">
        <v>392</v>
      </c>
      <c r="E143" s="205"/>
      <c r="F143" s="206"/>
      <c r="G143" s="332"/>
      <c r="H143" s="323"/>
      <c r="I143" s="341" t="s">
        <v>294</v>
      </c>
      <c r="J143" s="177"/>
      <c r="K143" s="207"/>
      <c r="L143" s="341" t="s">
        <v>294</v>
      </c>
      <c r="M143" s="177"/>
      <c r="N143" s="211" t="s">
        <v>46</v>
      </c>
      <c r="O143" s="341" t="s">
        <v>294</v>
      </c>
      <c r="P143" s="177"/>
      <c r="Q143" s="207"/>
      <c r="R143" s="341" t="s">
        <v>294</v>
      </c>
      <c r="S143" s="177"/>
      <c r="T143" s="228" t="s">
        <v>65</v>
      </c>
      <c r="U143" s="341" t="s">
        <v>294</v>
      </c>
      <c r="V143" s="177"/>
      <c r="W143" s="207"/>
      <c r="X143" s="341" t="s">
        <v>294</v>
      </c>
      <c r="Y143" s="177"/>
      <c r="Z143" s="207"/>
      <c r="AA143" s="341" t="s">
        <v>294</v>
      </c>
      <c r="AB143" s="177"/>
      <c r="AC143" s="207"/>
      <c r="AD143" s="341" t="s">
        <v>294</v>
      </c>
      <c r="AE143" s="177"/>
      <c r="AF143" s="207"/>
      <c r="AG143" s="341" t="s">
        <v>294</v>
      </c>
      <c r="AH143" s="177"/>
      <c r="AI143" s="211" t="s">
        <v>46</v>
      </c>
      <c r="AJ143" s="341" t="s">
        <v>294</v>
      </c>
      <c r="AK143" s="177"/>
      <c r="AL143" s="207"/>
      <c r="AM143" s="341" t="s">
        <v>294</v>
      </c>
      <c r="AN143" s="177"/>
      <c r="AO143" s="207"/>
      <c r="AP143" s="341" t="s">
        <v>294</v>
      </c>
      <c r="AQ143" s="177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</row>
    <row r="144">
      <c r="A144" s="258">
        <v>502.0</v>
      </c>
      <c r="B144" s="252" t="s">
        <v>393</v>
      </c>
      <c r="C144" s="253" t="s">
        <v>394</v>
      </c>
      <c r="D144" s="253" t="s">
        <v>395</v>
      </c>
      <c r="E144" s="205"/>
      <c r="F144" s="206"/>
      <c r="G144" s="322"/>
      <c r="H144" s="341" t="s">
        <v>294</v>
      </c>
      <c r="I144" s="207"/>
      <c r="J144" s="177"/>
      <c r="K144" s="341" t="s">
        <v>294</v>
      </c>
      <c r="L144" s="207"/>
      <c r="M144" s="177"/>
      <c r="N144" s="341" t="s">
        <v>294</v>
      </c>
      <c r="O144" s="207"/>
      <c r="P144" s="177"/>
      <c r="Q144" s="341" t="s">
        <v>294</v>
      </c>
      <c r="R144" s="207"/>
      <c r="S144" s="177"/>
      <c r="T144" s="341" t="s">
        <v>294</v>
      </c>
      <c r="U144" s="207"/>
      <c r="V144" s="177"/>
      <c r="W144" s="341" t="s">
        <v>294</v>
      </c>
      <c r="X144" s="207"/>
      <c r="Y144" s="177"/>
      <c r="Z144" s="341" t="s">
        <v>294</v>
      </c>
      <c r="AA144" s="207"/>
      <c r="AB144" s="177"/>
      <c r="AC144" s="341" t="s">
        <v>294</v>
      </c>
      <c r="AD144" s="207"/>
      <c r="AE144" s="177"/>
      <c r="AF144" s="341" t="s">
        <v>294</v>
      </c>
      <c r="AG144" s="207"/>
      <c r="AH144" s="177"/>
      <c r="AI144" s="341" t="s">
        <v>294</v>
      </c>
      <c r="AJ144" s="207"/>
      <c r="AK144" s="177"/>
      <c r="AL144" s="341" t="s">
        <v>294</v>
      </c>
      <c r="AM144" s="207"/>
      <c r="AN144" s="177"/>
      <c r="AO144" s="341" t="s">
        <v>294</v>
      </c>
      <c r="AP144" s="207"/>
      <c r="AQ144" s="177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</row>
    <row r="145">
      <c r="A145" s="258">
        <v>503.0</v>
      </c>
      <c r="B145" s="252" t="s">
        <v>393</v>
      </c>
      <c r="C145" s="203" t="s">
        <v>396</v>
      </c>
      <c r="D145" s="253" t="s">
        <v>397</v>
      </c>
      <c r="E145" s="205"/>
      <c r="F145" s="206"/>
      <c r="G145" s="223"/>
      <c r="H145" s="224" t="s">
        <v>398</v>
      </c>
      <c r="I145" s="207"/>
      <c r="J145" s="177"/>
      <c r="K145" s="234"/>
      <c r="L145" s="207"/>
      <c r="M145" s="177"/>
      <c r="N145" s="226" t="s">
        <v>63</v>
      </c>
      <c r="O145" s="207"/>
      <c r="P145" s="177"/>
      <c r="Q145" s="207"/>
      <c r="R145" s="207"/>
      <c r="S145" s="177"/>
      <c r="T145" s="207"/>
      <c r="U145" s="207"/>
      <c r="V145" s="177"/>
      <c r="W145" s="207"/>
      <c r="X145" s="207"/>
      <c r="Y145" s="177"/>
      <c r="Z145" s="207"/>
      <c r="AA145" s="207"/>
      <c r="AB145" s="177"/>
      <c r="AC145" s="207"/>
      <c r="AD145" s="207"/>
      <c r="AE145" s="177"/>
      <c r="AF145" s="207"/>
      <c r="AG145" s="207"/>
      <c r="AH145" s="177"/>
      <c r="AI145" s="207"/>
      <c r="AJ145" s="207"/>
      <c r="AK145" s="177"/>
      <c r="AL145" s="207"/>
      <c r="AM145" s="207"/>
      <c r="AN145" s="177"/>
      <c r="AO145" s="207"/>
      <c r="AP145" s="207"/>
      <c r="AQ145" s="177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</row>
    <row r="146">
      <c r="A146" s="258">
        <v>504.0</v>
      </c>
      <c r="B146" s="252" t="s">
        <v>393</v>
      </c>
      <c r="C146" s="203" t="s">
        <v>399</v>
      </c>
      <c r="D146" s="253" t="s">
        <v>397</v>
      </c>
      <c r="E146" s="205"/>
      <c r="F146" s="206"/>
      <c r="G146" s="204"/>
      <c r="H146" s="207"/>
      <c r="I146" s="207"/>
      <c r="J146" s="177"/>
      <c r="K146" s="207"/>
      <c r="L146" s="207"/>
      <c r="M146" s="177"/>
      <c r="N146" s="207"/>
      <c r="O146" s="207"/>
      <c r="P146" s="177"/>
      <c r="Q146" s="207"/>
      <c r="R146" s="207"/>
      <c r="S146" s="177"/>
      <c r="T146" s="207"/>
      <c r="U146" s="207"/>
      <c r="V146" s="177"/>
      <c r="W146" s="207"/>
      <c r="X146" s="207"/>
      <c r="Y146" s="177"/>
      <c r="Z146" s="207"/>
      <c r="AA146" s="207"/>
      <c r="AB146" s="177"/>
      <c r="AC146" s="207"/>
      <c r="AD146" s="207"/>
      <c r="AE146" s="177"/>
      <c r="AF146" s="207"/>
      <c r="AG146" s="207"/>
      <c r="AH146" s="177"/>
      <c r="AI146" s="207"/>
      <c r="AJ146" s="207"/>
      <c r="AK146" s="177"/>
      <c r="AL146" s="207"/>
      <c r="AM146" s="207"/>
      <c r="AN146" s="177"/>
      <c r="AO146" s="207"/>
      <c r="AP146" s="207"/>
      <c r="AQ146" s="177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</row>
    <row r="147">
      <c r="A147" s="258">
        <v>505.0</v>
      </c>
      <c r="B147" s="252" t="s">
        <v>393</v>
      </c>
      <c r="C147" s="253" t="s">
        <v>400</v>
      </c>
      <c r="D147" s="253" t="s">
        <v>401</v>
      </c>
      <c r="E147" s="205"/>
      <c r="F147" s="206"/>
      <c r="G147" s="322"/>
      <c r="H147" s="341" t="s">
        <v>294</v>
      </c>
      <c r="I147" s="207"/>
      <c r="J147" s="177"/>
      <c r="K147" s="341" t="s">
        <v>294</v>
      </c>
      <c r="L147" s="207"/>
      <c r="M147" s="177"/>
      <c r="N147" s="341" t="s">
        <v>294</v>
      </c>
      <c r="O147" s="237" t="s">
        <v>275</v>
      </c>
      <c r="P147" s="177"/>
      <c r="Q147" s="341" t="s">
        <v>294</v>
      </c>
      <c r="R147" s="207"/>
      <c r="S147" s="177"/>
      <c r="T147" s="341" t="s">
        <v>294</v>
      </c>
      <c r="U147" s="207"/>
      <c r="V147" s="177"/>
      <c r="W147" s="341" t="s">
        <v>294</v>
      </c>
      <c r="X147" s="207"/>
      <c r="Y147" s="177"/>
      <c r="Z147" s="341" t="s">
        <v>294</v>
      </c>
      <c r="AA147" s="207"/>
      <c r="AB147" s="177"/>
      <c r="AC147" s="341" t="s">
        <v>294</v>
      </c>
      <c r="AD147" s="207"/>
      <c r="AE147" s="177"/>
      <c r="AF147" s="341" t="s">
        <v>294</v>
      </c>
      <c r="AG147" s="207"/>
      <c r="AH147" s="177"/>
      <c r="AI147" s="341" t="s">
        <v>294</v>
      </c>
      <c r="AJ147" s="207"/>
      <c r="AK147" s="177"/>
      <c r="AL147" s="341" t="s">
        <v>294</v>
      </c>
      <c r="AM147" s="207"/>
      <c r="AN147" s="177"/>
      <c r="AO147" s="341" t="s">
        <v>294</v>
      </c>
      <c r="AP147" s="207"/>
      <c r="AQ147" s="177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</row>
    <row r="148">
      <c r="A148" s="260">
        <v>506.0</v>
      </c>
      <c r="B148" s="252" t="s">
        <v>402</v>
      </c>
      <c r="C148" s="253" t="s">
        <v>403</v>
      </c>
      <c r="D148" s="253" t="s">
        <v>404</v>
      </c>
      <c r="E148" s="205"/>
      <c r="F148" s="206"/>
      <c r="G148" s="204"/>
      <c r="H148" s="207"/>
      <c r="I148" s="341" t="s">
        <v>294</v>
      </c>
      <c r="J148" s="177"/>
      <c r="K148" s="207"/>
      <c r="L148" s="341" t="s">
        <v>294</v>
      </c>
      <c r="M148" s="177"/>
      <c r="N148" s="307" t="s">
        <v>212</v>
      </c>
      <c r="O148" s="341" t="s">
        <v>294</v>
      </c>
      <c r="P148" s="177"/>
      <c r="Q148" s="211" t="s">
        <v>46</v>
      </c>
      <c r="R148" s="341" t="s">
        <v>294</v>
      </c>
      <c r="S148" s="177"/>
      <c r="T148" s="207"/>
      <c r="U148" s="341" t="s">
        <v>294</v>
      </c>
      <c r="V148" s="177"/>
      <c r="W148" s="207"/>
      <c r="X148" s="341" t="s">
        <v>294</v>
      </c>
      <c r="Y148" s="177"/>
      <c r="Z148" s="230" t="s">
        <v>29</v>
      </c>
      <c r="AA148" s="341" t="s">
        <v>294</v>
      </c>
      <c r="AB148" s="177"/>
      <c r="AC148" s="230" t="s">
        <v>29</v>
      </c>
      <c r="AD148" s="341" t="s">
        <v>294</v>
      </c>
      <c r="AE148" s="177"/>
      <c r="AF148" s="207"/>
      <c r="AG148" s="341" t="s">
        <v>294</v>
      </c>
      <c r="AH148" s="177"/>
      <c r="AI148" s="230" t="s">
        <v>29</v>
      </c>
      <c r="AJ148" s="341" t="s">
        <v>294</v>
      </c>
      <c r="AK148" s="177"/>
      <c r="AL148" s="207"/>
      <c r="AM148" s="341" t="s">
        <v>294</v>
      </c>
      <c r="AN148" s="177"/>
      <c r="AO148" s="207"/>
      <c r="AP148" s="341" t="s">
        <v>294</v>
      </c>
      <c r="AQ148" s="177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</row>
    <row r="149">
      <c r="A149" s="260">
        <v>507.0</v>
      </c>
      <c r="B149" s="202" t="s">
        <v>405</v>
      </c>
      <c r="C149" s="203" t="s">
        <v>406</v>
      </c>
      <c r="D149" s="203" t="s">
        <v>407</v>
      </c>
      <c r="E149" s="205"/>
      <c r="F149" s="206"/>
      <c r="G149" s="322"/>
      <c r="H149" s="341" t="s">
        <v>294</v>
      </c>
      <c r="I149" s="207"/>
      <c r="J149" s="177"/>
      <c r="K149" s="341" t="s">
        <v>294</v>
      </c>
      <c r="L149" s="207"/>
      <c r="M149" s="177"/>
      <c r="N149" s="341" t="s">
        <v>294</v>
      </c>
      <c r="O149" s="207"/>
      <c r="P149" s="177"/>
      <c r="Q149" s="341" t="s">
        <v>294</v>
      </c>
      <c r="R149" s="207"/>
      <c r="S149" s="177"/>
      <c r="T149" s="341" t="s">
        <v>294</v>
      </c>
      <c r="U149" s="207"/>
      <c r="V149" s="177"/>
      <c r="W149" s="341" t="s">
        <v>294</v>
      </c>
      <c r="X149" s="207"/>
      <c r="Y149" s="177"/>
      <c r="Z149" s="341" t="s">
        <v>294</v>
      </c>
      <c r="AA149" s="230" t="s">
        <v>29</v>
      </c>
      <c r="AB149" s="177"/>
      <c r="AC149" s="341" t="s">
        <v>294</v>
      </c>
      <c r="AD149" s="230" t="s">
        <v>29</v>
      </c>
      <c r="AE149" s="177"/>
      <c r="AF149" s="341" t="s">
        <v>294</v>
      </c>
      <c r="AG149" s="207"/>
      <c r="AH149" s="177"/>
      <c r="AI149" s="341" t="s">
        <v>294</v>
      </c>
      <c r="AJ149" s="230" t="s">
        <v>29</v>
      </c>
      <c r="AK149" s="177"/>
      <c r="AL149" s="341" t="s">
        <v>294</v>
      </c>
      <c r="AM149" s="207"/>
      <c r="AN149" s="177"/>
      <c r="AO149" s="341" t="s">
        <v>294</v>
      </c>
      <c r="AP149" s="207"/>
      <c r="AQ149" s="177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</row>
    <row r="150">
      <c r="A150" s="260">
        <v>508.0</v>
      </c>
      <c r="B150" s="252" t="s">
        <v>408</v>
      </c>
      <c r="C150" s="253" t="s">
        <v>409</v>
      </c>
      <c r="D150" s="253" t="s">
        <v>410</v>
      </c>
      <c r="E150" s="205"/>
      <c r="F150" s="206"/>
      <c r="G150" s="204"/>
      <c r="H150" s="207"/>
      <c r="I150" s="341" t="s">
        <v>294</v>
      </c>
      <c r="J150" s="177"/>
      <c r="K150" s="207"/>
      <c r="L150" s="341" t="s">
        <v>294</v>
      </c>
      <c r="M150" s="177"/>
      <c r="N150" s="207"/>
      <c r="O150" s="341" t="s">
        <v>294</v>
      </c>
      <c r="P150" s="177"/>
      <c r="Q150" s="207"/>
      <c r="R150" s="341" t="s">
        <v>294</v>
      </c>
      <c r="S150" s="177"/>
      <c r="T150" s="228" t="s">
        <v>65</v>
      </c>
      <c r="U150" s="341" t="s">
        <v>294</v>
      </c>
      <c r="V150" s="177"/>
      <c r="W150" s="207"/>
      <c r="X150" s="341" t="s">
        <v>294</v>
      </c>
      <c r="Y150" s="177"/>
      <c r="Z150" s="207"/>
      <c r="AA150" s="341" t="s">
        <v>294</v>
      </c>
      <c r="AB150" s="177"/>
      <c r="AC150" s="207"/>
      <c r="AD150" s="341" t="s">
        <v>294</v>
      </c>
      <c r="AE150" s="177"/>
      <c r="AF150" s="207"/>
      <c r="AG150" s="341" t="s">
        <v>294</v>
      </c>
      <c r="AH150" s="177"/>
      <c r="AI150" s="207"/>
      <c r="AJ150" s="341" t="s">
        <v>294</v>
      </c>
      <c r="AK150" s="177"/>
      <c r="AL150" s="207"/>
      <c r="AM150" s="341" t="s">
        <v>294</v>
      </c>
      <c r="AN150" s="177"/>
      <c r="AO150" s="207"/>
      <c r="AP150" s="341" t="s">
        <v>294</v>
      </c>
      <c r="AQ150" s="177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</row>
    <row r="151">
      <c r="A151" s="260">
        <v>509.0</v>
      </c>
      <c r="B151" s="252" t="s">
        <v>411</v>
      </c>
      <c r="C151" s="253" t="s">
        <v>412</v>
      </c>
      <c r="D151" s="253" t="s">
        <v>413</v>
      </c>
      <c r="E151" s="205"/>
      <c r="F151" s="206"/>
      <c r="G151" s="204"/>
      <c r="H151" s="207"/>
      <c r="I151" s="207"/>
      <c r="J151" s="177"/>
      <c r="K151" s="224" t="s">
        <v>398</v>
      </c>
      <c r="L151" s="207"/>
      <c r="M151" s="177"/>
      <c r="N151" s="226" t="s">
        <v>63</v>
      </c>
      <c r="O151" s="207"/>
      <c r="P151" s="177"/>
      <c r="Q151" s="207"/>
      <c r="R151" s="207"/>
      <c r="S151" s="177"/>
      <c r="T151" s="211" t="s">
        <v>46</v>
      </c>
      <c r="U151" s="207"/>
      <c r="V151" s="177"/>
      <c r="W151" s="207"/>
      <c r="X151" s="207"/>
      <c r="Y151" s="177"/>
      <c r="Z151" s="207"/>
      <c r="AA151" s="207"/>
      <c r="AB151" s="177"/>
      <c r="AC151" s="207"/>
      <c r="AD151" s="207"/>
      <c r="AE151" s="177"/>
      <c r="AF151" s="207"/>
      <c r="AG151" s="207"/>
      <c r="AH151" s="177"/>
      <c r="AI151" s="207"/>
      <c r="AJ151" s="207"/>
      <c r="AK151" s="177"/>
      <c r="AL151" s="207"/>
      <c r="AM151" s="207"/>
      <c r="AN151" s="177"/>
      <c r="AO151" s="207"/>
      <c r="AP151" s="207"/>
      <c r="AQ151" s="177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</row>
    <row r="152">
      <c r="A152" s="383"/>
      <c r="B152" s="252"/>
      <c r="C152" s="253"/>
      <c r="D152" s="253"/>
      <c r="E152" s="205"/>
      <c r="F152" s="206"/>
      <c r="G152" s="204"/>
      <c r="H152" s="207"/>
      <c r="I152" s="207"/>
      <c r="J152" s="177"/>
      <c r="K152" s="207"/>
      <c r="L152" s="207"/>
      <c r="M152" s="177"/>
      <c r="N152" s="207"/>
      <c r="O152" s="207"/>
      <c r="P152" s="177"/>
      <c r="Q152" s="207"/>
      <c r="R152" s="207"/>
      <c r="S152" s="177"/>
      <c r="T152" s="207"/>
      <c r="U152" s="207"/>
      <c r="V152" s="177"/>
      <c r="W152" s="207"/>
      <c r="X152" s="207"/>
      <c r="Y152" s="177"/>
      <c r="Z152" s="207"/>
      <c r="AA152" s="207"/>
      <c r="AB152" s="177"/>
      <c r="AC152" s="207"/>
      <c r="AD152" s="207"/>
      <c r="AE152" s="177"/>
      <c r="AF152" s="207"/>
      <c r="AG152" s="207"/>
      <c r="AH152" s="177"/>
      <c r="AI152" s="207"/>
      <c r="AJ152" s="207"/>
      <c r="AK152" s="177"/>
      <c r="AL152" s="207"/>
      <c r="AM152" s="207"/>
      <c r="AN152" s="177"/>
      <c r="AO152" s="207"/>
      <c r="AP152" s="207"/>
      <c r="AQ152" s="177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</row>
    <row r="153">
      <c r="A153" s="260">
        <v>510.0</v>
      </c>
      <c r="B153" s="252" t="s">
        <v>414</v>
      </c>
      <c r="C153" s="203" t="s">
        <v>415</v>
      </c>
      <c r="D153" s="253" t="s">
        <v>416</v>
      </c>
      <c r="E153" s="205"/>
      <c r="F153" s="206"/>
      <c r="G153" s="322"/>
      <c r="H153" s="341" t="s">
        <v>294</v>
      </c>
      <c r="I153" s="341" t="s">
        <v>294</v>
      </c>
      <c r="J153" s="177"/>
      <c r="K153" s="341" t="s">
        <v>294</v>
      </c>
      <c r="L153" s="341" t="s">
        <v>294</v>
      </c>
      <c r="M153" s="177"/>
      <c r="N153" s="341" t="s">
        <v>294</v>
      </c>
      <c r="O153" s="341" t="s">
        <v>294</v>
      </c>
      <c r="P153" s="177"/>
      <c r="Q153" s="341" t="s">
        <v>294</v>
      </c>
      <c r="R153" s="341" t="s">
        <v>294</v>
      </c>
      <c r="S153" s="177"/>
      <c r="T153" s="341" t="s">
        <v>294</v>
      </c>
      <c r="U153" s="341" t="s">
        <v>294</v>
      </c>
      <c r="V153" s="177"/>
      <c r="W153" s="341" t="s">
        <v>294</v>
      </c>
      <c r="X153" s="341" t="s">
        <v>294</v>
      </c>
      <c r="Y153" s="177"/>
      <c r="Z153" s="341" t="s">
        <v>294</v>
      </c>
      <c r="AA153" s="341" t="s">
        <v>294</v>
      </c>
      <c r="AB153" s="177"/>
      <c r="AC153" s="341" t="s">
        <v>294</v>
      </c>
      <c r="AD153" s="341" t="s">
        <v>294</v>
      </c>
      <c r="AE153" s="177"/>
      <c r="AF153" s="341" t="s">
        <v>294</v>
      </c>
      <c r="AG153" s="341" t="s">
        <v>294</v>
      </c>
      <c r="AH153" s="177"/>
      <c r="AI153" s="341" t="s">
        <v>294</v>
      </c>
      <c r="AJ153" s="341" t="s">
        <v>294</v>
      </c>
      <c r="AK153" s="177"/>
      <c r="AL153" s="341" t="s">
        <v>294</v>
      </c>
      <c r="AM153" s="341" t="s">
        <v>294</v>
      </c>
      <c r="AN153" s="177"/>
      <c r="AO153" s="341" t="s">
        <v>294</v>
      </c>
      <c r="AP153" s="341" t="s">
        <v>294</v>
      </c>
      <c r="AQ153" s="177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</row>
    <row r="154">
      <c r="A154" s="358" t="s">
        <v>355</v>
      </c>
      <c r="B154" s="252" t="s">
        <v>414</v>
      </c>
      <c r="C154" s="203" t="s">
        <v>415</v>
      </c>
      <c r="D154" s="253" t="s">
        <v>416</v>
      </c>
      <c r="E154" s="205"/>
      <c r="F154" s="206"/>
      <c r="G154" s="204"/>
      <c r="H154" s="207"/>
      <c r="J154" s="177"/>
      <c r="K154" s="207"/>
      <c r="L154" s="207"/>
      <c r="M154" s="177"/>
      <c r="N154" s="217" t="s">
        <v>20</v>
      </c>
      <c r="P154" s="177"/>
      <c r="Q154" s="217" t="s">
        <v>20</v>
      </c>
      <c r="R154" s="207"/>
      <c r="S154" s="177"/>
      <c r="T154" s="207"/>
      <c r="U154" s="207"/>
      <c r="V154" s="177"/>
      <c r="W154" s="217" t="s">
        <v>20</v>
      </c>
      <c r="Y154" s="177"/>
      <c r="Z154" s="207"/>
      <c r="AA154" s="207"/>
      <c r="AB154" s="384"/>
      <c r="AC154" s="385"/>
      <c r="AD154" s="385"/>
      <c r="AE154" s="377"/>
      <c r="AF154" s="211" t="s">
        <v>46</v>
      </c>
      <c r="AG154" s="386"/>
      <c r="AH154" s="377"/>
      <c r="AI154" s="217" t="s">
        <v>20</v>
      </c>
      <c r="AJ154" s="385"/>
      <c r="AK154" s="384"/>
      <c r="AL154" s="385"/>
      <c r="AN154" s="377"/>
      <c r="AO154" s="217" t="s">
        <v>20</v>
      </c>
      <c r="AP154" s="386"/>
      <c r="AQ154" s="377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</row>
    <row r="155">
      <c r="A155" s="260">
        <v>511.0</v>
      </c>
      <c r="B155" s="252" t="s">
        <v>414</v>
      </c>
      <c r="C155" s="253" t="s">
        <v>415</v>
      </c>
      <c r="D155" s="253" t="s">
        <v>417</v>
      </c>
      <c r="E155" s="205"/>
      <c r="F155" s="206"/>
      <c r="G155" s="223"/>
      <c r="H155" s="217" t="s">
        <v>20</v>
      </c>
      <c r="I155" s="224" t="s">
        <v>62</v>
      </c>
      <c r="J155" s="177"/>
      <c r="K155" s="234"/>
      <c r="L155" s="207"/>
      <c r="M155" s="177"/>
      <c r="N155" s="237" t="s">
        <v>275</v>
      </c>
      <c r="O155" s="207"/>
      <c r="P155" s="177"/>
      <c r="Q155" s="207"/>
      <c r="R155" s="207"/>
      <c r="S155" s="177"/>
      <c r="T155" s="217" t="s">
        <v>20</v>
      </c>
      <c r="U155" s="207"/>
      <c r="V155" s="177"/>
      <c r="W155" s="207"/>
      <c r="X155" s="207"/>
      <c r="Y155" s="177"/>
      <c r="Z155" s="207"/>
      <c r="AA155" s="207"/>
      <c r="AB155" s="177"/>
      <c r="AC155" s="207"/>
      <c r="AD155" s="207"/>
      <c r="AE155" s="177"/>
      <c r="AF155" s="217" t="s">
        <v>20</v>
      </c>
      <c r="AG155" s="207"/>
      <c r="AH155" s="177"/>
      <c r="AI155" s="207"/>
      <c r="AJ155" s="207"/>
      <c r="AK155" s="177"/>
      <c r="AL155" s="217" t="s">
        <v>20</v>
      </c>
      <c r="AM155" s="207"/>
      <c r="AN155" s="177"/>
      <c r="AO155" s="207"/>
      <c r="AP155" s="207"/>
      <c r="AQ155" s="177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</row>
    <row r="156">
      <c r="A156" s="383"/>
      <c r="B156" s="252"/>
      <c r="C156" s="253"/>
      <c r="D156" s="253"/>
      <c r="E156" s="205"/>
      <c r="F156" s="206"/>
      <c r="G156" s="204"/>
      <c r="H156" s="207"/>
      <c r="J156" s="177"/>
      <c r="K156" s="207"/>
      <c r="L156" s="207"/>
      <c r="M156" s="177"/>
      <c r="N156" s="207"/>
      <c r="O156" s="207"/>
      <c r="P156" s="177"/>
      <c r="Q156" s="207"/>
      <c r="R156" s="207"/>
      <c r="S156" s="177"/>
      <c r="T156" s="207"/>
      <c r="U156" s="207"/>
      <c r="V156" s="177"/>
      <c r="W156" s="207"/>
      <c r="X156" s="207"/>
      <c r="Y156" s="177"/>
      <c r="Z156" s="207"/>
      <c r="AA156" s="207"/>
      <c r="AB156" s="177"/>
      <c r="AC156" s="207"/>
      <c r="AD156" s="207"/>
      <c r="AE156" s="177"/>
      <c r="AF156" s="207"/>
      <c r="AG156" s="207"/>
      <c r="AH156" s="177"/>
      <c r="AI156" s="207"/>
      <c r="AJ156" s="207"/>
      <c r="AK156" s="177"/>
      <c r="AL156" s="207"/>
      <c r="AM156" s="207"/>
      <c r="AN156" s="177"/>
      <c r="AO156" s="207"/>
      <c r="AP156" s="207"/>
      <c r="AQ156" s="177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</row>
    <row r="157">
      <c r="A157" s="260">
        <v>527.0</v>
      </c>
      <c r="B157" s="202" t="s">
        <v>418</v>
      </c>
      <c r="C157" s="203" t="s">
        <v>419</v>
      </c>
      <c r="D157" s="203" t="s">
        <v>420</v>
      </c>
      <c r="E157" s="257" t="s">
        <v>418</v>
      </c>
      <c r="F157" s="206"/>
      <c r="G157" s="204"/>
      <c r="H157" s="207"/>
      <c r="I157" s="207"/>
      <c r="J157" s="177"/>
      <c r="K157" s="224" t="s">
        <v>62</v>
      </c>
      <c r="L157" s="207"/>
      <c r="M157" s="177"/>
      <c r="N157" s="261" t="s">
        <v>125</v>
      </c>
      <c r="O157" s="226" t="s">
        <v>63</v>
      </c>
      <c r="P157" s="177"/>
      <c r="Q157" s="207"/>
      <c r="R157" s="207"/>
      <c r="S157" s="177"/>
      <c r="T157" s="207"/>
      <c r="U157" s="207"/>
      <c r="V157" s="177"/>
      <c r="W157" s="207"/>
      <c r="X157" s="207"/>
      <c r="Y157" s="177"/>
      <c r="Z157" s="230" t="s">
        <v>29</v>
      </c>
      <c r="AA157" s="207"/>
      <c r="AB157" s="177"/>
      <c r="AC157" s="230" t="s">
        <v>29</v>
      </c>
      <c r="AD157" s="207"/>
      <c r="AE157" s="177"/>
      <c r="AF157" s="207"/>
      <c r="AG157" s="207"/>
      <c r="AH157" s="177"/>
      <c r="AI157" s="230" t="s">
        <v>29</v>
      </c>
      <c r="AJ157" s="207"/>
      <c r="AK157" s="177"/>
      <c r="AL157" s="207"/>
      <c r="AM157" s="207"/>
      <c r="AN157" s="177"/>
      <c r="AO157" s="207"/>
      <c r="AP157" s="207"/>
      <c r="AQ157" s="177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</row>
    <row r="158">
      <c r="A158" s="260">
        <v>512.0</v>
      </c>
      <c r="B158" s="252" t="s">
        <v>418</v>
      </c>
      <c r="C158" s="253" t="s">
        <v>418</v>
      </c>
      <c r="D158" s="253" t="s">
        <v>421</v>
      </c>
      <c r="E158" s="205"/>
      <c r="F158" s="206"/>
      <c r="G158" s="322"/>
      <c r="H158" s="341" t="s">
        <v>294</v>
      </c>
      <c r="I158" s="313" t="s">
        <v>222</v>
      </c>
      <c r="J158" s="177"/>
      <c r="K158" s="341" t="s">
        <v>294</v>
      </c>
      <c r="L158" s="207"/>
      <c r="M158" s="177"/>
      <c r="N158" s="341" t="s">
        <v>294</v>
      </c>
      <c r="O158" s="217" t="s">
        <v>20</v>
      </c>
      <c r="P158" s="177"/>
      <c r="Q158" s="341" t="s">
        <v>294</v>
      </c>
      <c r="R158" s="207"/>
      <c r="S158" s="177"/>
      <c r="T158" s="341" t="s">
        <v>294</v>
      </c>
      <c r="U158" s="217" t="s">
        <v>20</v>
      </c>
      <c r="V158" s="177"/>
      <c r="W158" s="341" t="s">
        <v>294</v>
      </c>
      <c r="X158" s="207"/>
      <c r="Y158" s="177"/>
      <c r="Z158" s="341" t="s">
        <v>294</v>
      </c>
      <c r="AA158" s="207"/>
      <c r="AB158" s="177"/>
      <c r="AC158" s="341" t="s">
        <v>294</v>
      </c>
      <c r="AD158" s="207"/>
      <c r="AE158" s="177"/>
      <c r="AF158" s="341" t="s">
        <v>294</v>
      </c>
      <c r="AG158" s="207"/>
      <c r="AH158" s="177"/>
      <c r="AI158" s="341" t="s">
        <v>294</v>
      </c>
      <c r="AJ158" s="217" t="s">
        <v>20</v>
      </c>
      <c r="AK158" s="177"/>
      <c r="AL158" s="341" t="s">
        <v>294</v>
      </c>
      <c r="AM158" s="207"/>
      <c r="AN158" s="177"/>
      <c r="AO158" s="341" t="s">
        <v>294</v>
      </c>
      <c r="AP158" s="217" t="s">
        <v>20</v>
      </c>
      <c r="AQ158" s="177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</row>
    <row r="159">
      <c r="A159" s="260">
        <v>513.0</v>
      </c>
      <c r="B159" s="252" t="s">
        <v>422</v>
      </c>
      <c r="C159" s="253" t="s">
        <v>423</v>
      </c>
      <c r="D159" s="253" t="s">
        <v>424</v>
      </c>
      <c r="E159" s="205"/>
      <c r="F159" s="206"/>
      <c r="G159" s="204"/>
      <c r="H159" s="207"/>
      <c r="I159" s="207"/>
      <c r="J159" s="177"/>
      <c r="K159" s="225"/>
      <c r="L159" s="207"/>
      <c r="M159" s="177"/>
      <c r="N159" s="207"/>
      <c r="O159" s="207"/>
      <c r="P159" s="177"/>
      <c r="Q159" s="207"/>
      <c r="R159" s="207"/>
      <c r="S159" s="177"/>
      <c r="T159" s="207"/>
      <c r="U159" s="207"/>
      <c r="V159" s="177"/>
      <c r="W159" s="207"/>
      <c r="X159" s="207"/>
      <c r="Y159" s="177"/>
      <c r="Z159" s="207"/>
      <c r="AA159" s="207"/>
      <c r="AB159" s="177"/>
      <c r="AC159" s="207"/>
      <c r="AD159" s="207"/>
      <c r="AE159" s="177"/>
      <c r="AF159" s="207"/>
      <c r="AG159" s="207"/>
      <c r="AH159" s="177"/>
      <c r="AI159" s="207"/>
      <c r="AJ159" s="207"/>
      <c r="AK159" s="177"/>
      <c r="AL159" s="207"/>
      <c r="AM159" s="207"/>
      <c r="AN159" s="177"/>
      <c r="AO159" s="207"/>
      <c r="AP159" s="207"/>
      <c r="AQ159" s="177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</row>
    <row r="160">
      <c r="A160" s="260">
        <v>514.0</v>
      </c>
      <c r="B160" s="252" t="s">
        <v>425</v>
      </c>
      <c r="C160" s="253" t="s">
        <v>426</v>
      </c>
      <c r="D160" s="253" t="s">
        <v>424</v>
      </c>
      <c r="E160" s="205"/>
      <c r="F160" s="206"/>
      <c r="G160" s="204"/>
      <c r="H160" s="224" t="s">
        <v>398</v>
      </c>
      <c r="I160" s="229" t="s">
        <v>427</v>
      </c>
      <c r="J160" s="177"/>
      <c r="K160" s="207"/>
      <c r="L160" s="229" t="s">
        <v>427</v>
      </c>
      <c r="M160" s="177"/>
      <c r="N160" s="207"/>
      <c r="O160" s="229" t="s">
        <v>427</v>
      </c>
      <c r="P160" s="177"/>
      <c r="Q160" s="207"/>
      <c r="R160" s="229" t="s">
        <v>427</v>
      </c>
      <c r="S160" s="177"/>
      <c r="T160" s="215" t="s">
        <v>51</v>
      </c>
      <c r="U160" s="265"/>
      <c r="V160" s="177"/>
      <c r="W160" s="234"/>
      <c r="X160" s="229" t="s">
        <v>427</v>
      </c>
      <c r="Y160" s="177"/>
      <c r="Z160" s="264" t="s">
        <v>132</v>
      </c>
      <c r="AA160" s="229" t="s">
        <v>427</v>
      </c>
      <c r="AB160" s="177"/>
      <c r="AC160" s="264" t="s">
        <v>133</v>
      </c>
      <c r="AD160" s="229" t="s">
        <v>427</v>
      </c>
      <c r="AE160" s="177"/>
      <c r="AF160" s="240" t="s">
        <v>134</v>
      </c>
      <c r="AG160" s="229" t="s">
        <v>427</v>
      </c>
      <c r="AH160" s="177"/>
      <c r="AI160" s="207"/>
      <c r="AJ160" s="229" t="s">
        <v>427</v>
      </c>
      <c r="AK160" s="177"/>
      <c r="AL160" s="286" t="s">
        <v>171</v>
      </c>
      <c r="AM160" s="229" t="s">
        <v>427</v>
      </c>
      <c r="AN160" s="177"/>
      <c r="AO160" s="207"/>
      <c r="AP160" s="229" t="s">
        <v>427</v>
      </c>
      <c r="AQ160" s="177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</row>
    <row r="161">
      <c r="A161" s="260">
        <v>515.0</v>
      </c>
      <c r="B161" s="252" t="s">
        <v>425</v>
      </c>
      <c r="C161" s="253" t="s">
        <v>428</v>
      </c>
      <c r="D161" s="253" t="s">
        <v>424</v>
      </c>
      <c r="E161" s="205"/>
      <c r="F161" s="206"/>
      <c r="G161" s="204"/>
      <c r="H161" s="207"/>
      <c r="I161" s="229" t="s">
        <v>427</v>
      </c>
      <c r="J161" s="177"/>
      <c r="K161" s="207"/>
      <c r="L161" s="234"/>
      <c r="M161" s="177"/>
      <c r="N161" s="207"/>
      <c r="O161" s="229" t="s">
        <v>427</v>
      </c>
      <c r="P161" s="177"/>
      <c r="Q161" s="207"/>
      <c r="R161" s="229" t="s">
        <v>427</v>
      </c>
      <c r="S161" s="177"/>
      <c r="T161" s="207"/>
      <c r="U161" s="229" t="s">
        <v>427</v>
      </c>
      <c r="V161" s="177"/>
      <c r="W161" s="207"/>
      <c r="X161" s="234"/>
      <c r="Y161" s="177"/>
      <c r="Z161" s="207"/>
      <c r="AA161" s="229" t="s">
        <v>427</v>
      </c>
      <c r="AB161" s="177"/>
      <c r="AC161" s="207"/>
      <c r="AD161" s="234"/>
      <c r="AE161" s="177"/>
      <c r="AF161" s="207"/>
      <c r="AG161" s="234"/>
      <c r="AH161" s="177"/>
      <c r="AI161" s="207"/>
      <c r="AJ161" s="229" t="s">
        <v>427</v>
      </c>
      <c r="AK161" s="177"/>
      <c r="AL161" s="207"/>
      <c r="AM161" s="229" t="s">
        <v>427</v>
      </c>
      <c r="AN161" s="177"/>
      <c r="AO161" s="207"/>
      <c r="AP161" s="229" t="s">
        <v>427</v>
      </c>
      <c r="AQ161" s="177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</row>
    <row r="162">
      <c r="A162" s="260">
        <v>516.0</v>
      </c>
      <c r="B162" s="252" t="s">
        <v>429</v>
      </c>
      <c r="C162" s="253" t="s">
        <v>430</v>
      </c>
      <c r="D162" s="253" t="s">
        <v>431</v>
      </c>
      <c r="E162" s="205"/>
      <c r="F162" s="206"/>
      <c r="G162" s="204"/>
      <c r="H162" s="207"/>
      <c r="I162" s="207"/>
      <c r="J162" s="177"/>
      <c r="K162" s="234"/>
      <c r="L162" s="207"/>
      <c r="M162" s="177"/>
      <c r="N162" s="286" t="s">
        <v>432</v>
      </c>
      <c r="O162" s="207"/>
      <c r="P162" s="177"/>
      <c r="Q162" s="207"/>
      <c r="R162" s="207"/>
      <c r="S162" s="177"/>
      <c r="T162" s="286" t="s">
        <v>432</v>
      </c>
      <c r="U162" s="229" t="s">
        <v>427</v>
      </c>
      <c r="V162" s="177"/>
      <c r="W162" s="286" t="s">
        <v>432</v>
      </c>
      <c r="X162" s="207"/>
      <c r="Y162" s="177"/>
      <c r="Z162" s="286" t="s">
        <v>432</v>
      </c>
      <c r="AA162" s="207"/>
      <c r="AB162" s="177"/>
      <c r="AC162" s="207"/>
      <c r="AD162" s="207"/>
      <c r="AE162" s="177"/>
      <c r="AF162" s="286" t="s">
        <v>432</v>
      </c>
      <c r="AG162" s="207"/>
      <c r="AH162" s="177"/>
      <c r="AI162" s="207"/>
      <c r="AJ162" s="207"/>
      <c r="AK162" s="177"/>
      <c r="AL162" s="286" t="s">
        <v>432</v>
      </c>
      <c r="AM162" s="207"/>
      <c r="AN162" s="177"/>
      <c r="AO162" s="286" t="s">
        <v>432</v>
      </c>
      <c r="AP162" s="207"/>
      <c r="AQ162" s="177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</row>
    <row r="163">
      <c r="A163" s="260">
        <v>517.0</v>
      </c>
      <c r="B163" s="252" t="s">
        <v>433</v>
      </c>
      <c r="C163" s="203" t="s">
        <v>434</v>
      </c>
      <c r="D163" s="253" t="s">
        <v>431</v>
      </c>
      <c r="E163" s="205"/>
      <c r="F163" s="206"/>
      <c r="G163" s="204"/>
      <c r="H163" s="207"/>
      <c r="I163" s="229" t="s">
        <v>427</v>
      </c>
      <c r="J163" s="177"/>
      <c r="K163" s="215" t="s">
        <v>51</v>
      </c>
      <c r="L163" s="229" t="s">
        <v>427</v>
      </c>
      <c r="M163" s="177"/>
      <c r="N163" s="207"/>
      <c r="O163" s="229" t="s">
        <v>427</v>
      </c>
      <c r="P163" s="177"/>
      <c r="Q163" s="286" t="s">
        <v>432</v>
      </c>
      <c r="R163" s="229" t="s">
        <v>427</v>
      </c>
      <c r="S163" s="177"/>
      <c r="T163" s="215" t="s">
        <v>51</v>
      </c>
      <c r="U163" s="229" t="s">
        <v>427</v>
      </c>
      <c r="V163" s="177"/>
      <c r="W163" s="207"/>
      <c r="X163" s="229" t="s">
        <v>427</v>
      </c>
      <c r="Y163" s="177"/>
      <c r="Z163" s="234"/>
      <c r="AA163" s="229" t="s">
        <v>427</v>
      </c>
      <c r="AB163" s="177"/>
      <c r="AC163" s="286" t="s">
        <v>432</v>
      </c>
      <c r="AD163" s="229" t="s">
        <v>427</v>
      </c>
      <c r="AE163" s="177"/>
      <c r="AF163" s="207"/>
      <c r="AG163" s="229" t="s">
        <v>427</v>
      </c>
      <c r="AH163" s="177"/>
      <c r="AI163" s="207"/>
      <c r="AJ163" s="229" t="s">
        <v>427</v>
      </c>
      <c r="AK163" s="177"/>
      <c r="AL163" s="207"/>
      <c r="AM163" s="229" t="s">
        <v>427</v>
      </c>
      <c r="AN163" s="177"/>
      <c r="AO163" s="207"/>
      <c r="AP163" s="229" t="s">
        <v>427</v>
      </c>
      <c r="AQ163" s="177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</row>
    <row r="164">
      <c r="A164" s="260">
        <v>518.0</v>
      </c>
      <c r="B164" s="252" t="s">
        <v>433</v>
      </c>
      <c r="C164" s="253" t="s">
        <v>435</v>
      </c>
      <c r="D164" s="253" t="s">
        <v>431</v>
      </c>
      <c r="E164" s="205"/>
      <c r="F164" s="206"/>
      <c r="G164" s="223"/>
      <c r="H164" s="224" t="s">
        <v>81</v>
      </c>
      <c r="I164" s="207"/>
      <c r="J164" s="177"/>
      <c r="K164" s="224" t="s">
        <v>398</v>
      </c>
      <c r="L164" s="207"/>
      <c r="M164" s="177"/>
      <c r="N164" s="226" t="s">
        <v>63</v>
      </c>
      <c r="O164" s="207"/>
      <c r="P164" s="177"/>
      <c r="Q164" s="207"/>
      <c r="R164" s="207"/>
      <c r="S164" s="177"/>
      <c r="T164" s="207"/>
      <c r="U164" s="207"/>
      <c r="V164" s="177"/>
      <c r="W164" s="207"/>
      <c r="X164" s="207"/>
      <c r="Y164" s="177"/>
      <c r="Z164" s="207"/>
      <c r="AA164" s="207"/>
      <c r="AB164" s="177"/>
      <c r="AC164" s="207"/>
      <c r="AD164" s="207"/>
      <c r="AE164" s="177"/>
      <c r="AF164" s="207"/>
      <c r="AG164" s="207"/>
      <c r="AH164" s="177"/>
      <c r="AI164" s="207"/>
      <c r="AJ164" s="207"/>
      <c r="AK164" s="177"/>
      <c r="AL164" s="207"/>
      <c r="AM164" s="207"/>
      <c r="AN164" s="177"/>
      <c r="AO164" s="207"/>
      <c r="AP164" s="207"/>
      <c r="AQ164" s="177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</row>
    <row r="165">
      <c r="A165" s="260">
        <v>519.0</v>
      </c>
      <c r="B165" s="252" t="s">
        <v>436</v>
      </c>
      <c r="C165" s="253" t="s">
        <v>437</v>
      </c>
      <c r="D165" s="253" t="s">
        <v>438</v>
      </c>
      <c r="E165" s="205"/>
      <c r="F165" s="206"/>
      <c r="G165" s="204"/>
      <c r="H165" s="207"/>
      <c r="I165" s="207"/>
      <c r="J165" s="177"/>
      <c r="K165" s="215" t="s">
        <v>51</v>
      </c>
      <c r="L165" s="207"/>
      <c r="M165" s="177"/>
      <c r="N165" s="286" t="s">
        <v>432</v>
      </c>
      <c r="O165" s="207"/>
      <c r="P165" s="177"/>
      <c r="Q165" s="207"/>
      <c r="R165" s="207"/>
      <c r="S165" s="177"/>
      <c r="T165" s="215" t="s">
        <v>51</v>
      </c>
      <c r="U165" s="286" t="s">
        <v>432</v>
      </c>
      <c r="V165" s="177"/>
      <c r="W165" s="286" t="s">
        <v>432</v>
      </c>
      <c r="X165" s="207"/>
      <c r="Y165" s="177"/>
      <c r="Z165" s="286" t="s">
        <v>432</v>
      </c>
      <c r="AA165" s="207"/>
      <c r="AB165" s="177"/>
      <c r="AC165" s="207"/>
      <c r="AD165" s="207"/>
      <c r="AE165" s="177"/>
      <c r="AF165" s="286" t="s">
        <v>432</v>
      </c>
      <c r="AG165" s="207"/>
      <c r="AH165" s="177"/>
      <c r="AI165" s="207"/>
      <c r="AJ165" s="207"/>
      <c r="AK165" s="177"/>
      <c r="AL165" s="286" t="s">
        <v>171</v>
      </c>
      <c r="AM165" s="286" t="s">
        <v>432</v>
      </c>
      <c r="AN165" s="177"/>
      <c r="AO165" s="207"/>
      <c r="AP165" s="207"/>
      <c r="AQ165" s="177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</row>
    <row r="166">
      <c r="A166" s="260">
        <v>520.0</v>
      </c>
      <c r="B166" s="252" t="s">
        <v>436</v>
      </c>
      <c r="C166" s="253" t="s">
        <v>439</v>
      </c>
      <c r="D166" s="253" t="s">
        <v>438</v>
      </c>
      <c r="E166" s="205"/>
      <c r="F166" s="206"/>
      <c r="G166" s="387"/>
      <c r="H166" s="229" t="s">
        <v>427</v>
      </c>
      <c r="I166" s="207"/>
      <c r="J166" s="177"/>
      <c r="K166" s="229" t="s">
        <v>427</v>
      </c>
      <c r="L166" s="207"/>
      <c r="M166" s="177"/>
      <c r="N166" s="229" t="s">
        <v>427</v>
      </c>
      <c r="O166" s="207"/>
      <c r="P166" s="177"/>
      <c r="Q166" s="229" t="s">
        <v>427</v>
      </c>
      <c r="R166" s="286" t="s">
        <v>432</v>
      </c>
      <c r="S166" s="177"/>
      <c r="T166" s="229" t="s">
        <v>427</v>
      </c>
      <c r="U166" s="234"/>
      <c r="V166" s="177"/>
      <c r="W166" s="229" t="s">
        <v>427</v>
      </c>
      <c r="X166" s="207"/>
      <c r="Y166" s="177"/>
      <c r="Z166" s="229" t="s">
        <v>427</v>
      </c>
      <c r="AA166" s="207"/>
      <c r="AB166" s="177"/>
      <c r="AC166" s="229" t="s">
        <v>427</v>
      </c>
      <c r="AD166" s="286" t="s">
        <v>432</v>
      </c>
      <c r="AE166" s="177"/>
      <c r="AF166" s="229" t="s">
        <v>427</v>
      </c>
      <c r="AG166" s="207"/>
      <c r="AH166" s="177"/>
      <c r="AI166" s="229" t="s">
        <v>427</v>
      </c>
      <c r="AJ166" s="207"/>
      <c r="AK166" s="177"/>
      <c r="AL166" s="229" t="s">
        <v>427</v>
      </c>
      <c r="AM166" s="207"/>
      <c r="AN166" s="177"/>
      <c r="AO166" s="229" t="s">
        <v>427</v>
      </c>
      <c r="AP166" s="207"/>
      <c r="AQ166" s="177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</row>
    <row r="167">
      <c r="A167" s="260">
        <v>521.0</v>
      </c>
      <c r="B167" s="252" t="s">
        <v>436</v>
      </c>
      <c r="C167" s="253" t="s">
        <v>440</v>
      </c>
      <c r="D167" s="253" t="s">
        <v>438</v>
      </c>
      <c r="E167" s="205"/>
      <c r="F167" s="206"/>
      <c r="G167" s="204"/>
      <c r="H167" s="207"/>
      <c r="I167" s="207"/>
      <c r="J167" s="177"/>
      <c r="K167" s="224" t="s">
        <v>81</v>
      </c>
      <c r="L167" s="207"/>
      <c r="M167" s="177"/>
      <c r="N167" s="237" t="s">
        <v>275</v>
      </c>
      <c r="O167" s="207"/>
      <c r="P167" s="177"/>
      <c r="Q167" s="207"/>
      <c r="R167" s="207"/>
      <c r="S167" s="177"/>
      <c r="T167" s="207"/>
      <c r="U167" s="207"/>
      <c r="V167" s="177"/>
      <c r="W167" s="207"/>
      <c r="X167" s="207"/>
      <c r="Y167" s="177"/>
      <c r="Z167" s="230" t="s">
        <v>29</v>
      </c>
      <c r="AA167" s="207"/>
      <c r="AB167" s="177"/>
      <c r="AC167" s="230" t="s">
        <v>29</v>
      </c>
      <c r="AD167" s="207"/>
      <c r="AE167" s="177"/>
      <c r="AF167" s="207"/>
      <c r="AG167" s="207"/>
      <c r="AH167" s="177"/>
      <c r="AI167" s="230" t="s">
        <v>29</v>
      </c>
      <c r="AJ167" s="207"/>
      <c r="AK167" s="177"/>
      <c r="AL167" s="207"/>
      <c r="AM167" s="207"/>
      <c r="AN167" s="177"/>
      <c r="AO167" s="207"/>
      <c r="AP167" s="207"/>
      <c r="AQ167" s="177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</row>
    <row r="168">
      <c r="A168" s="252"/>
      <c r="B168" s="202"/>
      <c r="C168" s="253"/>
      <c r="D168" s="253"/>
      <c r="E168" s="205"/>
      <c r="F168" s="206"/>
      <c r="G168" s="204"/>
      <c r="H168" s="207"/>
      <c r="I168" s="207"/>
      <c r="J168" s="177"/>
      <c r="K168" s="207"/>
      <c r="L168" s="207"/>
      <c r="M168" s="177"/>
      <c r="N168" s="207"/>
      <c r="O168" s="207"/>
      <c r="P168" s="177"/>
      <c r="Q168" s="207"/>
      <c r="R168" s="207"/>
      <c r="S168" s="177"/>
      <c r="T168" s="207"/>
      <c r="U168" s="207"/>
      <c r="V168" s="177"/>
      <c r="W168" s="207"/>
      <c r="X168" s="207"/>
      <c r="Y168" s="177"/>
      <c r="Z168" s="207"/>
      <c r="AA168" s="207"/>
      <c r="AB168" s="177"/>
      <c r="AC168" s="207"/>
      <c r="AD168" s="207"/>
      <c r="AE168" s="177"/>
      <c r="AF168" s="207"/>
      <c r="AG168" s="207"/>
      <c r="AH168" s="177"/>
      <c r="AI168" s="207"/>
      <c r="AJ168" s="207"/>
      <c r="AK168" s="177"/>
      <c r="AL168" s="207"/>
      <c r="AM168" s="207"/>
      <c r="AN168" s="177"/>
      <c r="AO168" s="207"/>
      <c r="AP168" s="207"/>
      <c r="AQ168" s="177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</row>
    <row r="169">
      <c r="A169" s="260">
        <v>525.0</v>
      </c>
      <c r="B169" s="202" t="s">
        <v>368</v>
      </c>
      <c r="C169" s="203" t="s">
        <v>441</v>
      </c>
      <c r="D169" s="203" t="s">
        <v>442</v>
      </c>
      <c r="E169" s="257" t="s">
        <v>443</v>
      </c>
      <c r="F169" s="206"/>
      <c r="G169" s="221"/>
      <c r="H169" s="217" t="s">
        <v>20</v>
      </c>
      <c r="I169" s="313" t="s">
        <v>222</v>
      </c>
      <c r="J169" s="177"/>
      <c r="K169" s="207"/>
      <c r="L169" s="207"/>
      <c r="M169" s="177"/>
      <c r="N169" s="207"/>
      <c r="O169" s="207"/>
      <c r="P169" s="177"/>
      <c r="Q169" s="207"/>
      <c r="R169" s="207"/>
      <c r="S169" s="177"/>
      <c r="T169" s="207"/>
      <c r="U169" s="207"/>
      <c r="V169" s="177"/>
      <c r="W169" s="207"/>
      <c r="X169" s="207"/>
      <c r="Y169" s="177"/>
      <c r="Z169" s="230" t="s">
        <v>29</v>
      </c>
      <c r="AA169" s="217" t="s">
        <v>20</v>
      </c>
      <c r="AB169" s="177"/>
      <c r="AC169" s="230" t="s">
        <v>29</v>
      </c>
      <c r="AD169" s="207"/>
      <c r="AE169" s="177"/>
      <c r="AF169" s="207"/>
      <c r="AG169" s="207"/>
      <c r="AH169" s="177"/>
      <c r="AI169" s="230" t="s">
        <v>29</v>
      </c>
      <c r="AJ169" s="217" t="s">
        <v>20</v>
      </c>
      <c r="AK169" s="177"/>
      <c r="AL169" s="211" t="s">
        <v>46</v>
      </c>
      <c r="AM169" s="207"/>
      <c r="AN169" s="177"/>
      <c r="AO169" s="217" t="s">
        <v>20</v>
      </c>
      <c r="AP169" s="207"/>
      <c r="AQ169" s="177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</row>
    <row r="170">
      <c r="A170" s="388" t="s">
        <v>444</v>
      </c>
      <c r="B170" s="252"/>
      <c r="C170" s="253"/>
      <c r="D170" s="253"/>
      <c r="E170" s="389"/>
      <c r="F170" s="390"/>
      <c r="G170" s="391"/>
      <c r="H170" s="207"/>
      <c r="I170" s="207"/>
      <c r="J170" s="177"/>
      <c r="K170" s="207"/>
      <c r="L170" s="207"/>
      <c r="M170" s="177"/>
      <c r="N170" s="207"/>
      <c r="O170" s="207"/>
      <c r="P170" s="177"/>
      <c r="Q170" s="207"/>
      <c r="R170" s="207"/>
      <c r="S170" s="177"/>
      <c r="T170" s="207"/>
      <c r="U170" s="207"/>
      <c r="V170" s="177"/>
      <c r="W170" s="207"/>
      <c r="X170" s="207"/>
      <c r="Y170" s="177"/>
      <c r="Z170" s="207"/>
      <c r="AA170" s="207"/>
      <c r="AB170" s="177"/>
      <c r="AC170" s="207"/>
      <c r="AD170" s="207"/>
      <c r="AE170" s="177"/>
      <c r="AF170" s="207"/>
      <c r="AG170" s="207"/>
      <c r="AH170" s="177"/>
      <c r="AI170" s="207"/>
      <c r="AJ170" s="207"/>
      <c r="AK170" s="177"/>
      <c r="AL170" s="207"/>
      <c r="AM170" s="207"/>
      <c r="AN170" s="177"/>
      <c r="AO170" s="207"/>
      <c r="AP170" s="207"/>
      <c r="AQ170" s="177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</row>
    <row r="171">
      <c r="A171" s="260">
        <v>530.0</v>
      </c>
      <c r="B171" s="212" t="s">
        <v>445</v>
      </c>
      <c r="C171" s="246" t="s">
        <v>446</v>
      </c>
      <c r="D171" s="246" t="s">
        <v>447</v>
      </c>
      <c r="E171" s="204"/>
      <c r="F171" s="204"/>
      <c r="G171" s="322"/>
      <c r="H171" s="341" t="s">
        <v>294</v>
      </c>
      <c r="I171" s="246"/>
      <c r="J171" s="204"/>
      <c r="K171" s="341" t="s">
        <v>294</v>
      </c>
      <c r="L171" s="204"/>
      <c r="M171" s="204"/>
      <c r="N171" s="341" t="s">
        <v>294</v>
      </c>
      <c r="O171" s="204"/>
      <c r="P171" s="204"/>
      <c r="Q171" s="341" t="s">
        <v>294</v>
      </c>
      <c r="R171" s="204"/>
      <c r="S171" s="204"/>
      <c r="T171" s="341" t="s">
        <v>294</v>
      </c>
      <c r="U171" s="204"/>
      <c r="V171" s="204"/>
      <c r="W171" s="341" t="s">
        <v>294</v>
      </c>
      <c r="X171" s="204"/>
      <c r="Y171" s="204"/>
      <c r="Z171" s="341" t="s">
        <v>294</v>
      </c>
      <c r="AA171" s="230" t="s">
        <v>29</v>
      </c>
      <c r="AB171" s="204"/>
      <c r="AC171" s="341" t="s">
        <v>294</v>
      </c>
      <c r="AD171" s="230" t="s">
        <v>29</v>
      </c>
      <c r="AE171" s="204"/>
      <c r="AF171" s="341" t="s">
        <v>294</v>
      </c>
      <c r="AG171" s="204"/>
      <c r="AH171" s="204"/>
      <c r="AI171" s="341" t="s">
        <v>294</v>
      </c>
      <c r="AJ171" s="230" t="s">
        <v>29</v>
      </c>
      <c r="AK171" s="204"/>
      <c r="AL171" s="341" t="s">
        <v>294</v>
      </c>
      <c r="AM171" s="204"/>
      <c r="AN171" s="204"/>
      <c r="AO171" s="341" t="s">
        <v>294</v>
      </c>
      <c r="AP171" s="391"/>
      <c r="AQ171" s="177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</row>
    <row r="172">
      <c r="A172" s="392"/>
      <c r="B172" s="392" t="s">
        <v>445</v>
      </c>
      <c r="C172" s="241"/>
      <c r="D172" s="241"/>
      <c r="E172" s="241"/>
      <c r="F172" s="206"/>
      <c r="G172" s="241"/>
      <c r="H172" s="241"/>
      <c r="I172" s="241"/>
      <c r="J172" s="206"/>
      <c r="K172" s="241"/>
      <c r="L172" s="241"/>
      <c r="M172" s="206"/>
      <c r="N172" s="393"/>
      <c r="O172" s="241"/>
      <c r="P172" s="206"/>
      <c r="Q172" s="393"/>
      <c r="R172" s="241"/>
      <c r="S172" s="206"/>
      <c r="T172" s="241"/>
      <c r="U172" s="241"/>
      <c r="V172" s="206"/>
      <c r="W172" s="241"/>
      <c r="X172" s="241"/>
      <c r="Y172" s="206"/>
      <c r="Z172" s="393"/>
      <c r="AA172" s="241"/>
      <c r="AB172" s="206"/>
      <c r="AC172" s="393"/>
      <c r="AD172" s="241"/>
      <c r="AE172" s="206"/>
      <c r="AF172" s="393"/>
      <c r="AG172" s="241"/>
      <c r="AH172" s="206"/>
      <c r="AI172" s="241"/>
      <c r="AJ172" s="241"/>
      <c r="AK172" s="206"/>
      <c r="AL172" s="241"/>
      <c r="AM172" s="241"/>
      <c r="AN172" s="206"/>
      <c r="AO172" s="241"/>
      <c r="AP172" s="394"/>
      <c r="AQ172" s="177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</row>
    <row r="173">
      <c r="A173" s="392"/>
      <c r="B173" s="392" t="s">
        <v>445</v>
      </c>
      <c r="C173" s="241"/>
      <c r="D173" s="241"/>
      <c r="E173" s="241"/>
      <c r="F173" s="206"/>
      <c r="G173" s="393"/>
      <c r="H173" s="393"/>
      <c r="I173" s="241"/>
      <c r="J173" s="206"/>
      <c r="K173" s="241"/>
      <c r="L173" s="241"/>
      <c r="M173" s="206"/>
      <c r="N173" s="241"/>
      <c r="O173" s="393"/>
      <c r="P173" s="206"/>
      <c r="Q173" s="393"/>
      <c r="R173" s="241"/>
      <c r="S173" s="206"/>
      <c r="T173" s="241"/>
      <c r="U173" s="241"/>
      <c r="V173" s="206"/>
      <c r="W173" s="241"/>
      <c r="X173" s="241"/>
      <c r="Y173" s="206"/>
      <c r="Z173" s="393"/>
      <c r="AA173" s="241"/>
      <c r="AB173" s="206"/>
      <c r="AC173" s="393"/>
      <c r="AD173" s="241"/>
      <c r="AE173" s="206"/>
      <c r="AF173" s="393"/>
      <c r="AG173" s="241"/>
      <c r="AH173" s="206"/>
      <c r="AI173" s="241"/>
      <c r="AJ173" s="241"/>
      <c r="AK173" s="206"/>
      <c r="AL173" s="241"/>
      <c r="AM173" s="241"/>
      <c r="AN173" s="206"/>
      <c r="AO173" s="241"/>
      <c r="AP173" s="394"/>
      <c r="AQ173" s="177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</row>
    <row r="174">
      <c r="A174" s="34"/>
      <c r="B174" s="34"/>
      <c r="C174" s="38"/>
      <c r="D174" s="395"/>
      <c r="E174" s="205"/>
      <c r="F174" s="206"/>
      <c r="G174" s="204"/>
      <c r="H174" s="204"/>
      <c r="I174" s="204"/>
      <c r="J174" s="206"/>
      <c r="K174" s="204"/>
      <c r="L174" s="204"/>
      <c r="M174" s="206"/>
      <c r="N174" s="204"/>
      <c r="O174" s="204"/>
      <c r="P174" s="206"/>
      <c r="Q174" s="204"/>
      <c r="R174" s="204"/>
      <c r="S174" s="206"/>
      <c r="T174" s="204"/>
      <c r="U174" s="204"/>
      <c r="V174" s="206"/>
      <c r="W174" s="204"/>
      <c r="X174" s="204"/>
      <c r="Y174" s="206"/>
      <c r="Z174" s="204"/>
      <c r="AA174" s="204"/>
      <c r="AB174" s="206"/>
      <c r="AC174" s="204"/>
      <c r="AD174" s="204"/>
      <c r="AE174" s="206"/>
      <c r="AF174" s="204"/>
      <c r="AG174" s="246"/>
      <c r="AH174" s="206"/>
      <c r="AI174" s="204"/>
      <c r="AJ174" s="204"/>
      <c r="AK174" s="206"/>
      <c r="AL174" s="204"/>
      <c r="AM174" s="204"/>
      <c r="AN174" s="206"/>
      <c r="AO174" s="204"/>
      <c r="AP174" s="391"/>
      <c r="AQ174" s="177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</row>
  </sheetData>
  <mergeCells count="5">
    <mergeCell ref="A5:D5"/>
    <mergeCell ref="A18:D18"/>
    <mergeCell ref="A49:D49"/>
    <mergeCell ref="A128:D128"/>
    <mergeCell ref="A140:D1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</cols>
  <sheetData>
    <row r="1">
      <c r="A1" s="396" t="s">
        <v>448</v>
      </c>
      <c r="B1" s="34" t="s">
        <v>449</v>
      </c>
      <c r="C1" s="38" t="s">
        <v>450</v>
      </c>
      <c r="D1" s="34" t="s">
        <v>451</v>
      </c>
      <c r="E1" s="38" t="s">
        <v>452</v>
      </c>
    </row>
    <row r="2">
      <c r="A2" s="397" t="str">
        <f t="array" ref="A2">INDIRECT("Tableau!$A$2")</f>
        <v/>
      </c>
      <c r="B2" s="398" t="s">
        <v>453</v>
      </c>
      <c r="C2" s="399" t="str">
        <f t="array" ref="C2">INDIRECT("Tableau!$E$2")</f>
        <v/>
      </c>
      <c r="D2" s="400" t="str">
        <f t="shared" ref="D2:D190" si="1">INDIRECT("Tableau!$F$1")</f>
        <v>IN</v>
      </c>
      <c r="E2" s="401" t="str">
        <f t="array" ref="E2">INDIRECT("Tableau!$F$2")</f>
        <v/>
      </c>
    </row>
    <row r="3">
      <c r="A3" s="402">
        <f t="array" ref="A3">INDIRECT("Tableau!$A$3")</f>
        <v>102</v>
      </c>
      <c r="B3" s="398" t="s">
        <v>453</v>
      </c>
      <c r="C3" s="400" t="str">
        <f t="array" ref="C3">INDIRECT("Tableau!$E$3")</f>
        <v>DEMA</v>
      </c>
      <c r="D3" s="400" t="str">
        <f t="shared" si="1"/>
        <v>IN</v>
      </c>
      <c r="E3" s="403" t="str">
        <f t="array" ref="E3">INDIRECT("Tableau!$F$3")</f>
        <v>OPTION</v>
      </c>
    </row>
    <row r="4">
      <c r="A4" s="397" t="str">
        <f t="array" ref="A4">INDIRECT("Tableau!$A$4")</f>
        <v/>
      </c>
      <c r="B4" s="398" t="s">
        <v>453</v>
      </c>
      <c r="C4" s="400" t="str">
        <f t="array" ref="C4">INDIRECT("Tableau!$E$4")</f>
        <v/>
      </c>
      <c r="D4" s="400" t="str">
        <f t="shared" si="1"/>
        <v>IN</v>
      </c>
      <c r="E4" s="401" t="str">
        <f t="array" ref="E4">INDIRECT("Tableau!$F$4")</f>
        <v/>
      </c>
    </row>
    <row r="5">
      <c r="A5" s="402">
        <f t="array" ref="A5">INDIRECT("Tableau!$A$5")</f>
        <v>104</v>
      </c>
      <c r="B5" s="398" t="s">
        <v>453</v>
      </c>
      <c r="C5" s="400" t="str">
        <f t="array" ref="C5">INDIRECT("Tableau!$E$5")</f>
        <v>JDW</v>
      </c>
      <c r="D5" s="400" t="str">
        <f t="shared" si="1"/>
        <v>IN</v>
      </c>
      <c r="E5" s="401" t="str">
        <f t="array" ref="E5">INDIRECT("Tableau!$F$5")</f>
        <v>opt</v>
      </c>
    </row>
    <row r="6">
      <c r="A6" s="402">
        <f t="array" ref="A6">INDIRECT("Tableau!$A$6")</f>
        <v>105</v>
      </c>
      <c r="B6" s="398" t="s">
        <v>453</v>
      </c>
      <c r="C6" s="400" t="str">
        <f t="array" ref="C6">INDIRECT("Tableau!$E$6")</f>
        <v>JDW</v>
      </c>
      <c r="D6" s="400" t="str">
        <f t="shared" si="1"/>
        <v>IN</v>
      </c>
      <c r="E6" s="401" t="str">
        <f t="array" ref="E6">INDIRECT("Tableau!$F$6")</f>
        <v>opt</v>
      </c>
    </row>
    <row r="7">
      <c r="A7" s="402">
        <f t="array" ref="A7">INDIRECT("Tableau!$A$7")</f>
        <v>106</v>
      </c>
      <c r="B7" s="398" t="s">
        <v>453</v>
      </c>
      <c r="C7" s="400" t="str">
        <f t="array" ref="C7">INDIRECT("Tableau!$E$7")</f>
        <v>Schmidt cuisines- Wavre </v>
      </c>
      <c r="D7" s="400" t="str">
        <f t="shared" si="1"/>
        <v>IN</v>
      </c>
      <c r="E7" s="401" t="str">
        <f t="array" ref="E7">INDIRECT("Tableau!$F$7")</f>
        <v/>
      </c>
    </row>
    <row r="8">
      <c r="A8" s="402">
        <f t="array" ref="A8">INDIRECT("Tableau!$A$8")</f>
        <v>107</v>
      </c>
      <c r="B8" s="398" t="s">
        <v>453</v>
      </c>
      <c r="C8" s="399" t="str">
        <f t="array" ref="C8">INDIRECT("Tableau!$E$8")</f>
        <v>Schmidt cuisines- Wavre </v>
      </c>
      <c r="D8" s="400" t="str">
        <f t="shared" si="1"/>
        <v>IN</v>
      </c>
      <c r="E8" s="401" t="str">
        <f t="array" ref="E8">INDIRECT("Tableau!$F$8")</f>
        <v/>
      </c>
    </row>
    <row r="9">
      <c r="A9" s="397">
        <f t="array" ref="A9">INDIRECT("Tableau!$A$9")</f>
        <v>108</v>
      </c>
      <c r="B9" s="398" t="s">
        <v>453</v>
      </c>
      <c r="C9" s="399" t="str">
        <f t="array" ref="C9">INDIRECT("Tableau!$E$9")</f>
        <v>Schmidt cuisines- Wavre </v>
      </c>
      <c r="D9" s="400" t="str">
        <f t="shared" si="1"/>
        <v>IN</v>
      </c>
      <c r="E9" s="401" t="str">
        <f t="array" ref="E9">INDIRECT("Tableau!$F$9")</f>
        <v/>
      </c>
    </row>
    <row r="10">
      <c r="A10" s="402">
        <f t="array" ref="A10">INDIRECT("Tableau!$A$10")</f>
        <v>109</v>
      </c>
      <c r="B10" s="398" t="s">
        <v>453</v>
      </c>
      <c r="C10" s="399" t="str">
        <f t="array" ref="C10">INDIRECT("Tableau!$E$10")</f>
        <v/>
      </c>
      <c r="D10" s="400" t="str">
        <f t="shared" si="1"/>
        <v>IN</v>
      </c>
      <c r="E10" s="401" t="str">
        <f t="array" ref="E10">INDIRECT("Tableau!$F$10")</f>
        <v/>
      </c>
    </row>
    <row r="11">
      <c r="A11" s="402">
        <f t="array" ref="A11">INDIRECT("Tableau!$A$11")</f>
        <v>110</v>
      </c>
      <c r="B11" s="398" t="s">
        <v>453</v>
      </c>
      <c r="C11" s="399" t="str">
        <f t="array" ref="C11">INDIRECT("Tableau!$E$11")</f>
        <v/>
      </c>
      <c r="D11" s="400" t="str">
        <f t="shared" si="1"/>
        <v>IN</v>
      </c>
      <c r="E11" s="401" t="str">
        <f t="shared" ref="E11:E13" si="2">INDIRECT("Tableau!$F$11")</f>
        <v/>
      </c>
    </row>
    <row r="12">
      <c r="A12" s="402">
        <f t="array" ref="A12">INDIRECT("Tableau!$A$12")</f>
        <v>111</v>
      </c>
      <c r="B12" s="398" t="s">
        <v>453</v>
      </c>
      <c r="C12" s="399" t="str">
        <f t="array" ref="C12">INDIRECT("Tableau!$E$12")</f>
        <v>Schmidt cuisines- Wavre </v>
      </c>
      <c r="D12" s="400" t="str">
        <f t="shared" si="1"/>
        <v>IN</v>
      </c>
      <c r="E12" s="401" t="str">
        <f t="shared" si="2"/>
        <v/>
      </c>
    </row>
    <row r="13">
      <c r="A13" s="404">
        <f t="array" ref="A13">INDIRECT("Tableau!$A$13")</f>
        <v>112</v>
      </c>
      <c r="B13" s="398" t="s">
        <v>453</v>
      </c>
      <c r="C13" s="399" t="str">
        <f t="array" ref="C13">INDIRECT("Tableau!$E$13")</f>
        <v/>
      </c>
      <c r="D13" s="400" t="str">
        <f t="shared" si="1"/>
        <v>IN</v>
      </c>
      <c r="E13" s="401" t="str">
        <f t="shared" si="2"/>
        <v/>
      </c>
    </row>
    <row r="14">
      <c r="A14" s="404">
        <f t="array" ref="A14">INDIRECT("Tableau!$A$14")</f>
        <v>113</v>
      </c>
      <c r="B14" s="398" t="s">
        <v>453</v>
      </c>
      <c r="C14" s="399" t="str">
        <f t="array" ref="C14">INDIRECT("Tableau!$E$14")</f>
        <v/>
      </c>
      <c r="D14" s="400" t="str">
        <f t="shared" si="1"/>
        <v>IN</v>
      </c>
      <c r="E14" s="401" t="str">
        <f t="array" ref="E14">INDIRECT("Tableau!$F$14")</f>
        <v/>
      </c>
    </row>
    <row r="15">
      <c r="A15" s="405">
        <f t="array" ref="A15">INDIRECT("Tableau!$A$15")</f>
        <v>114</v>
      </c>
      <c r="B15" s="398" t="s">
        <v>453</v>
      </c>
      <c r="C15" s="399" t="str">
        <f t="array" ref="C15">INDIRECT("Tableau!$E$15")</f>
        <v>JDW</v>
      </c>
      <c r="D15" s="400" t="str">
        <f t="shared" si="1"/>
        <v>IN</v>
      </c>
      <c r="E15" s="401" t="str">
        <f t="array" ref="E15">INDIRECT("Tableau!$F$15")</f>
        <v>opt</v>
      </c>
    </row>
    <row r="16">
      <c r="A16" s="405" t="str">
        <f t="array" ref="A16">INDIRECT("Tableau!$A$16")</f>
        <v/>
      </c>
      <c r="B16" s="398" t="s">
        <v>453</v>
      </c>
      <c r="C16" s="399" t="str">
        <f t="array" ref="C16">INDIRECT("Tableau!$E$16")</f>
        <v/>
      </c>
      <c r="D16" s="400" t="str">
        <f t="shared" si="1"/>
        <v>IN</v>
      </c>
      <c r="E16" s="401" t="str">
        <f t="array" ref="E16">INDIRECT("Tableau!$F$16")</f>
        <v/>
      </c>
    </row>
    <row r="17">
      <c r="A17" s="405" t="str">
        <f t="array" ref="A17">INDIRECT("Tableau!$A$17")</f>
        <v/>
      </c>
      <c r="B17" s="398" t="s">
        <v>453</v>
      </c>
      <c r="C17" s="399" t="str">
        <f t="array" ref="C17">INDIRECT("Tableau!$E$17")</f>
        <v/>
      </c>
      <c r="D17" s="400" t="str">
        <f t="shared" si="1"/>
        <v>IN</v>
      </c>
      <c r="E17" s="401" t="str">
        <f t="array" ref="E17">INDIRECT("Tableau!$F$17")</f>
        <v/>
      </c>
    </row>
    <row r="18">
      <c r="A18" s="405" t="str">
        <f t="array" ref="A18">INDIRECT("Tableau!$A$18")</f>
        <v/>
      </c>
      <c r="B18" s="398" t="s">
        <v>453</v>
      </c>
      <c r="C18" s="399" t="str">
        <f t="array" ref="C18">INDIRECT("Tableau!$E$18")</f>
        <v/>
      </c>
      <c r="D18" s="400" t="str">
        <f t="shared" si="1"/>
        <v>IN</v>
      </c>
      <c r="E18" s="401" t="str">
        <f t="array" ref="E18">INDIRECT("Tableau!$F$18")</f>
        <v/>
      </c>
    </row>
    <row r="19">
      <c r="A19" s="405" t="str">
        <f t="array" ref="A19">INDIRECT("Tableau!$A$19")</f>
        <v/>
      </c>
      <c r="B19" s="398" t="s">
        <v>453</v>
      </c>
      <c r="C19" s="399" t="str">
        <f t="array" ref="C19">INDIRECT("Tableau!$E$19")</f>
        <v/>
      </c>
      <c r="D19" s="400" t="str">
        <f t="shared" si="1"/>
        <v>IN</v>
      </c>
      <c r="E19" s="401" t="str">
        <f t="array" ref="E19">INDIRECT("Tableau!$F$19")</f>
        <v/>
      </c>
    </row>
    <row r="20">
      <c r="A20" s="405" t="str">
        <f t="array" ref="A20">INDIRECT("Tableau!$A$20")</f>
        <v/>
      </c>
      <c r="B20" s="398" t="s">
        <v>453</v>
      </c>
      <c r="C20" s="399" t="str">
        <f t="array" ref="C20">INDIRECT("Tableau!$E$20")</f>
        <v/>
      </c>
      <c r="D20" s="400" t="str">
        <f t="shared" si="1"/>
        <v>IN</v>
      </c>
      <c r="E20" s="401" t="str">
        <f t="array" ref="E20">INDIRECT("Tableau!$F$20")</f>
        <v/>
      </c>
    </row>
    <row r="21">
      <c r="A21" s="405" t="str">
        <f t="array" ref="A21">INDIRECT("Tableau!$A$21")</f>
        <v/>
      </c>
      <c r="B21" s="398" t="s">
        <v>453</v>
      </c>
      <c r="C21" s="399" t="str">
        <f t="array" ref="C21">INDIRECT("Tableau!$E$21")</f>
        <v/>
      </c>
      <c r="D21" s="400" t="str">
        <f t="shared" si="1"/>
        <v>IN</v>
      </c>
      <c r="E21" s="401" t="str">
        <f t="array" ref="E21">INDIRECT("Tableau!$F$21")</f>
        <v/>
      </c>
    </row>
    <row r="22">
      <c r="A22" s="405" t="str">
        <f t="array" ref="A22">INDIRECT("Tableau!$A$22")</f>
        <v/>
      </c>
      <c r="B22" s="398" t="s">
        <v>453</v>
      </c>
      <c r="C22" s="399" t="str">
        <f t="array" ref="C22">INDIRECT("Tableau!$E$22")</f>
        <v/>
      </c>
      <c r="D22" s="400" t="str">
        <f t="shared" si="1"/>
        <v>IN</v>
      </c>
      <c r="E22" s="401" t="str">
        <f t="array" ref="E22">INDIRECT("Tableau!$F$22")</f>
        <v/>
      </c>
    </row>
    <row r="23">
      <c r="A23" s="405" t="str">
        <f t="array" ref="A23">INDIRECT("Tableau!$A$23")</f>
        <v/>
      </c>
      <c r="B23" s="398" t="s">
        <v>453</v>
      </c>
      <c r="C23" s="399" t="str">
        <f t="array" ref="C23">INDIRECT("Tableau!$E$23")</f>
        <v/>
      </c>
      <c r="D23" s="400" t="str">
        <f t="shared" si="1"/>
        <v>IN</v>
      </c>
      <c r="E23" s="401" t="str">
        <f t="array" ref="E23">INDIRECT("Tableau!$F$23")</f>
        <v/>
      </c>
    </row>
    <row r="24">
      <c r="A24" s="405" t="str">
        <f t="array" ref="A24">INDIRECT("Tableau!$A$24")</f>
        <v/>
      </c>
      <c r="B24" s="398" t="s">
        <v>453</v>
      </c>
      <c r="C24" s="399" t="str">
        <f t="array" ref="C24">INDIRECT("Tableau!$E$24")</f>
        <v/>
      </c>
      <c r="D24" s="400" t="str">
        <f t="shared" si="1"/>
        <v>IN</v>
      </c>
      <c r="E24" s="401" t="str">
        <f t="array" ref="E24">INDIRECT("Tableau!$F$24")</f>
        <v/>
      </c>
    </row>
    <row r="25">
      <c r="A25" s="405" t="str">
        <f t="array" ref="A25">INDIRECT("Tableau!$A$25")</f>
        <v/>
      </c>
      <c r="B25" s="398" t="s">
        <v>453</v>
      </c>
      <c r="C25" s="399" t="str">
        <f t="array" ref="C25">INDIRECT("Tableau!$E$25")</f>
        <v/>
      </c>
      <c r="D25" s="400" t="str">
        <f t="shared" si="1"/>
        <v>IN</v>
      </c>
      <c r="E25" s="401" t="str">
        <f t="array" ref="E25">INDIRECT("Tableau!$F$25")</f>
        <v/>
      </c>
    </row>
    <row r="26">
      <c r="A26" s="402">
        <f t="array" ref="A26">INDIRECT("Tableau!$A$26")</f>
        <v>201</v>
      </c>
      <c r="B26" s="398" t="s">
        <v>453</v>
      </c>
      <c r="C26" s="399" t="str">
        <f t="array" ref="C26">INDIRECT("Tableau!$E$26")</f>
        <v/>
      </c>
      <c r="D26" s="400" t="str">
        <f t="shared" si="1"/>
        <v>IN</v>
      </c>
      <c r="E26" s="401" t="str">
        <f t="array" ref="E26">INDIRECT("Tableau!$F$26")</f>
        <v/>
      </c>
    </row>
    <row r="27">
      <c r="A27" s="402">
        <f t="array" ref="A27">INDIRECT("Tableau!$A$27")</f>
        <v>202</v>
      </c>
      <c r="B27" s="398" t="s">
        <v>453</v>
      </c>
      <c r="C27" s="399" t="str">
        <f t="array" ref="C27">INDIRECT("Tableau!$E$27")</f>
        <v/>
      </c>
      <c r="D27" s="400" t="str">
        <f t="shared" si="1"/>
        <v>IN</v>
      </c>
      <c r="E27" s="401" t="str">
        <f t="array" ref="E27">INDIRECT("Tableau!$F$27")</f>
        <v/>
      </c>
    </row>
    <row r="28">
      <c r="A28" s="402">
        <f t="array" ref="A28">INDIRECT("Tableau!$A$28")</f>
        <v>203</v>
      </c>
      <c r="B28" s="398" t="s">
        <v>453</v>
      </c>
      <c r="C28" s="400" t="str">
        <f t="array" ref="C28">INDIRECT("Tableau!$E$28")</f>
        <v>Carbelle</v>
      </c>
      <c r="D28" s="400" t="str">
        <f t="shared" si="1"/>
        <v>IN</v>
      </c>
      <c r="E28" s="401" t="str">
        <f t="array" ref="E28">INDIRECT("Tableau!$F$28")</f>
        <v/>
      </c>
    </row>
    <row r="29">
      <c r="A29" s="402">
        <f t="array" ref="A29">INDIRECT("Tableau!$A$29")</f>
        <v>204</v>
      </c>
      <c r="B29" s="398" t="s">
        <v>453</v>
      </c>
      <c r="C29" s="399" t="str">
        <f t="array" ref="C29">INDIRECT("Tableau!$E$29")</f>
        <v>Carbelle</v>
      </c>
      <c r="D29" s="400" t="str">
        <f t="shared" si="1"/>
        <v>IN</v>
      </c>
      <c r="E29" s="401" t="str">
        <f t="array" ref="E29">INDIRECT("Tableau!$F$29")</f>
        <v/>
      </c>
    </row>
    <row r="30">
      <c r="A30" s="402">
        <f t="array" ref="A30">INDIRECT("Tableau!$A$30")</f>
        <v>205</v>
      </c>
      <c r="B30" s="398" t="s">
        <v>453</v>
      </c>
      <c r="C30" s="399" t="str">
        <f t="array" ref="C30">INDIRECT("Tableau!$E$30")</f>
        <v>Carbelle</v>
      </c>
      <c r="D30" s="400" t="str">
        <f t="shared" si="1"/>
        <v>IN</v>
      </c>
      <c r="E30" s="401" t="str">
        <f t="array" ref="E30">INDIRECT("Tableau!$F$30")</f>
        <v/>
      </c>
    </row>
    <row r="31">
      <c r="A31" s="402">
        <f t="array" ref="A31">INDIRECT("Tableau!$A$31")</f>
        <v>206</v>
      </c>
      <c r="B31" s="398" t="s">
        <v>453</v>
      </c>
      <c r="C31" s="399" t="str">
        <f t="array" ref="C31">INDIRECT("Tableau!$E$31")</f>
        <v>Carbelle</v>
      </c>
      <c r="D31" s="400" t="str">
        <f t="shared" si="1"/>
        <v>IN</v>
      </c>
      <c r="E31" s="401" t="str">
        <f t="array" ref="E31">INDIRECT("Tableau!$F$31")</f>
        <v/>
      </c>
    </row>
    <row r="32">
      <c r="A32" s="402">
        <f t="array" ref="A32">INDIRECT("Tableau!$A$32")</f>
        <v>207</v>
      </c>
      <c r="B32" s="398" t="s">
        <v>453</v>
      </c>
      <c r="C32" s="400" t="str">
        <f t="array" ref="C32">INDIRECT("Tableau!$E$32")</f>
        <v>Carbelle</v>
      </c>
      <c r="D32" s="400" t="str">
        <f t="shared" si="1"/>
        <v>IN</v>
      </c>
      <c r="E32" s="401" t="str">
        <f t="array" ref="E32">INDIRECT("Tableau!$F$32")</f>
        <v/>
      </c>
    </row>
    <row r="33">
      <c r="A33" s="402">
        <f t="array" ref="A33">INDIRECT("Tableau!$A$33")</f>
        <v>208</v>
      </c>
      <c r="B33" s="398" t="s">
        <v>453</v>
      </c>
      <c r="C33" s="399" t="str">
        <f t="array" ref="C33">INDIRECT("Tableau!$E$33")</f>
        <v>Carbelle</v>
      </c>
      <c r="D33" s="400" t="str">
        <f t="shared" si="1"/>
        <v>IN</v>
      </c>
      <c r="E33" s="401" t="str">
        <f t="array" ref="E33">INDIRECT("Tableau!$F$33")</f>
        <v/>
      </c>
    </row>
    <row r="34">
      <c r="A34" s="402">
        <f t="array" ref="A34">INDIRECT("Tableau!$A$34")</f>
        <v>209</v>
      </c>
      <c r="B34" s="398" t="s">
        <v>453</v>
      </c>
      <c r="C34" s="399" t="str">
        <f t="array" ref="C34">INDIRECT("Tableau!$E$34")</f>
        <v>Carbelle</v>
      </c>
      <c r="D34" s="400" t="str">
        <f t="shared" si="1"/>
        <v>IN</v>
      </c>
      <c r="E34" s="401" t="str">
        <f t="array" ref="E34">INDIRECT("Tableau!$F$34")</f>
        <v/>
      </c>
    </row>
    <row r="35">
      <c r="A35" s="402">
        <f t="array" ref="A35">INDIRECT("Tableau!$A$35")</f>
        <v>210</v>
      </c>
      <c r="B35" s="398" t="s">
        <v>453</v>
      </c>
      <c r="C35" s="399" t="str">
        <f t="array" ref="C35">INDIRECT("Tableau!$E$35")</f>
        <v>Carbelle</v>
      </c>
      <c r="D35" s="400" t="str">
        <f t="shared" si="1"/>
        <v>IN</v>
      </c>
      <c r="E35" s="401" t="str">
        <f t="array" ref="E35">INDIRECT("Tableau!$F$35")</f>
        <v/>
      </c>
    </row>
    <row r="36">
      <c r="A36" s="402">
        <f t="array" ref="A36">INDIRECT("Tableau!$A$36")</f>
        <v>211</v>
      </c>
      <c r="B36" s="398" t="s">
        <v>453</v>
      </c>
      <c r="C36" s="399" t="str">
        <f t="array" ref="C36">INDIRECT("Tableau!$E$36")</f>
        <v>Carbelle</v>
      </c>
      <c r="D36" s="400" t="str">
        <f t="shared" si="1"/>
        <v>IN</v>
      </c>
      <c r="E36" s="401" t="str">
        <f t="array" ref="E36">INDIRECT("Tableau!$F$36")</f>
        <v/>
      </c>
    </row>
    <row r="37">
      <c r="A37" s="402">
        <f t="array" ref="A37">INDIRECT("Tableau!$A$37")</f>
        <v>212</v>
      </c>
      <c r="B37" s="398" t="s">
        <v>453</v>
      </c>
      <c r="C37" s="399" t="str">
        <f t="array" ref="C37">INDIRECT("Tableau!$E$37")</f>
        <v/>
      </c>
      <c r="D37" s="400" t="str">
        <f t="shared" si="1"/>
        <v>IN</v>
      </c>
      <c r="E37" s="401" t="str">
        <f t="array" ref="E37">INDIRECT("Tableau!$F$37")</f>
        <v/>
      </c>
    </row>
    <row r="38">
      <c r="A38" s="402">
        <f t="array" ref="A38">INDIRECT("Tableau!$A$38")</f>
        <v>213</v>
      </c>
      <c r="B38" s="398" t="s">
        <v>453</v>
      </c>
      <c r="C38" s="399" t="str">
        <f t="array" ref="C38">INDIRECT("Tableau!$E$38")</f>
        <v/>
      </c>
      <c r="D38" s="400" t="str">
        <f t="shared" si="1"/>
        <v>IN</v>
      </c>
      <c r="E38" s="401" t="str">
        <f t="array" ref="E38">INDIRECT("Tableau!$F$38")</f>
        <v/>
      </c>
    </row>
    <row r="39">
      <c r="A39" s="402">
        <f t="array" ref="A39">INDIRECT("Tableau!$A$39")</f>
        <v>214</v>
      </c>
      <c r="B39" s="398" t="s">
        <v>453</v>
      </c>
      <c r="C39" s="399" t="str">
        <f t="array" ref="C39">INDIRECT("Tableau!$E$39")</f>
        <v/>
      </c>
      <c r="D39" s="400" t="str">
        <f t="shared" si="1"/>
        <v>IN</v>
      </c>
      <c r="E39" s="401" t="str">
        <f t="array" ref="E39">INDIRECT("Tableau!$F$39")</f>
        <v/>
      </c>
    </row>
    <row r="40">
      <c r="A40" s="402">
        <f t="array" ref="A40">INDIRECT("Tableau!$A$40")</f>
        <v>215</v>
      </c>
      <c r="B40" s="398" t="s">
        <v>453</v>
      </c>
      <c r="C40" s="399" t="str">
        <f t="array" ref="C40">INDIRECT("Tableau!$E$40")</f>
        <v/>
      </c>
      <c r="D40" s="400" t="str">
        <f t="shared" si="1"/>
        <v>IN</v>
      </c>
      <c r="E40" s="401" t="str">
        <f t="array" ref="E40">INDIRECT("Tableau!$F$40")</f>
        <v/>
      </c>
    </row>
    <row r="41">
      <c r="A41" s="402">
        <f t="array" ref="A41">INDIRECT("Tableau!$A$41")</f>
        <v>216</v>
      </c>
      <c r="B41" s="398" t="s">
        <v>453</v>
      </c>
      <c r="C41" s="399" t="str">
        <f t="array" ref="C41">INDIRECT("Tableau!$E$41")</f>
        <v/>
      </c>
      <c r="D41" s="400" t="str">
        <f t="shared" si="1"/>
        <v>IN</v>
      </c>
      <c r="E41" s="401" t="str">
        <f t="array" ref="E41">INDIRECT("Tableau!$F$41")</f>
        <v/>
      </c>
    </row>
    <row r="42">
      <c r="A42" s="402">
        <f t="array" ref="A42">INDIRECT("Tableau!$A$42")</f>
        <v>227</v>
      </c>
      <c r="B42" s="398" t="s">
        <v>453</v>
      </c>
      <c r="C42" s="400" t="str">
        <f t="array" ref="C42">INDIRECT("Tableau!$E$42")</f>
        <v/>
      </c>
      <c r="D42" s="400" t="str">
        <f t="shared" si="1"/>
        <v>IN</v>
      </c>
      <c r="E42" s="401" t="str">
        <f t="array" ref="E42">INDIRECT("Tableau!$F$42")</f>
        <v/>
      </c>
    </row>
    <row r="43">
      <c r="A43" s="402">
        <f t="array" ref="A43">INDIRECT("Tableau!$A$43")</f>
        <v>217</v>
      </c>
      <c r="B43" s="398" t="s">
        <v>453</v>
      </c>
      <c r="C43" s="399" t="str">
        <f t="array" ref="C43">INDIRECT("Tableau!$E$43")</f>
        <v/>
      </c>
      <c r="D43" s="400" t="str">
        <f t="shared" si="1"/>
        <v>IN</v>
      </c>
      <c r="E43" s="401" t="str">
        <f t="array" ref="E43">INDIRECT("Tableau!$F$43")</f>
        <v/>
      </c>
    </row>
    <row r="44">
      <c r="A44" s="402">
        <f t="array" ref="A44">INDIRECT("Tableau!$A$44")</f>
        <v>218</v>
      </c>
      <c r="B44" s="398" t="s">
        <v>453</v>
      </c>
      <c r="C44" s="399" t="str">
        <f t="array" ref="C44">INDIRECT("Tableau!$E$44")</f>
        <v/>
      </c>
      <c r="D44" s="400" t="str">
        <f t="shared" si="1"/>
        <v>IN</v>
      </c>
      <c r="E44" s="401" t="str">
        <f t="array" ref="E44">INDIRECT("Tableau!$F$44")</f>
        <v/>
      </c>
    </row>
    <row r="45">
      <c r="A45" s="397" t="str">
        <f t="array" ref="A45">INDIRECT("Tableau!$A$45")</f>
        <v/>
      </c>
      <c r="B45" s="398" t="s">
        <v>453</v>
      </c>
      <c r="C45" s="399" t="str">
        <f t="array" ref="C45">INDIRECT("Tableau!$E$45")</f>
        <v/>
      </c>
      <c r="D45" s="400" t="str">
        <f t="shared" si="1"/>
        <v>IN</v>
      </c>
      <c r="E45" s="401" t="str">
        <f t="array" ref="E45">INDIRECT("Tableau!$F$45")</f>
        <v/>
      </c>
    </row>
    <row r="46">
      <c r="A46" s="402">
        <f t="array" ref="A46">INDIRECT("Tableau!$A$46")</f>
        <v>220</v>
      </c>
      <c r="B46" s="398" t="s">
        <v>453</v>
      </c>
      <c r="C46" s="399" t="str">
        <f t="array" ref="C46">INDIRECT("Tableau!$E$46")</f>
        <v/>
      </c>
      <c r="D46" s="400" t="str">
        <f t="shared" si="1"/>
        <v>IN</v>
      </c>
      <c r="E46" s="401" t="str">
        <f t="array" ref="E46">INDIRECT("Tableau!$F$46")</f>
        <v/>
      </c>
    </row>
    <row r="47">
      <c r="A47" s="402">
        <f t="array" ref="A47">INDIRECT("Tableau!$A$47")</f>
        <v>221</v>
      </c>
      <c r="B47" s="398" t="s">
        <v>453</v>
      </c>
      <c r="C47" s="399" t="str">
        <f t="array" ref="C47">INDIRECT("Tableau!$E$47")</f>
        <v/>
      </c>
      <c r="D47" s="400" t="str">
        <f t="shared" si="1"/>
        <v>IN</v>
      </c>
      <c r="E47" s="401" t="str">
        <f t="array" ref="E47">INDIRECT("Tableau!$F$47")</f>
        <v/>
      </c>
    </row>
    <row r="48">
      <c r="A48" s="402">
        <f t="array" ref="A48">INDIRECT("Tableau!$A$48")</f>
        <v>226</v>
      </c>
      <c r="B48" s="398" t="s">
        <v>453</v>
      </c>
      <c r="C48" s="400" t="str">
        <f t="array" ref="C48">INDIRECT("Tableau!$E$48")</f>
        <v/>
      </c>
      <c r="D48" s="400" t="str">
        <f t="shared" si="1"/>
        <v>IN</v>
      </c>
      <c r="E48" s="401" t="str">
        <f t="array" ref="E48">INDIRECT("Tableau!$F$48")</f>
        <v/>
      </c>
    </row>
    <row r="49">
      <c r="A49" s="402">
        <f t="array" ref="A49">INDIRECT("Tableau!$A$49")</f>
        <v>222</v>
      </c>
      <c r="B49" s="398" t="s">
        <v>453</v>
      </c>
      <c r="C49" s="399" t="str">
        <f t="array" ref="C49">INDIRECT("Tableau!$E$49")</f>
        <v/>
      </c>
      <c r="D49" s="400" t="str">
        <f t="shared" si="1"/>
        <v>IN</v>
      </c>
      <c r="E49" s="401" t="str">
        <f t="array" ref="E49">INDIRECT("Tableau!$F$49")</f>
        <v/>
      </c>
    </row>
    <row r="50">
      <c r="A50" s="402">
        <f t="array" ref="A50">INDIRECT("Tableau!$A$50")</f>
        <v>224</v>
      </c>
      <c r="B50" s="398" t="s">
        <v>453</v>
      </c>
      <c r="C50" s="399" t="str">
        <f t="array" ref="C50">INDIRECT("Tableau!$E$50")</f>
        <v/>
      </c>
      <c r="D50" s="400" t="str">
        <f t="shared" si="1"/>
        <v>IN</v>
      </c>
      <c r="E50" s="401" t="str">
        <f t="array" ref="E50">INDIRECT("Tableau!$F$50")</f>
        <v/>
      </c>
    </row>
    <row r="51">
      <c r="A51" s="397">
        <f t="array" ref="A51">INDIRECT("Tableau!$A$51")</f>
        <v>223</v>
      </c>
      <c r="B51" s="398" t="s">
        <v>453</v>
      </c>
      <c r="C51" s="399" t="str">
        <f t="array" ref="C51">INDIRECT("Tableau!$E$51")</f>
        <v/>
      </c>
      <c r="D51" s="400" t="str">
        <f t="shared" si="1"/>
        <v>IN</v>
      </c>
      <c r="E51" s="401" t="str">
        <f t="array" ref="E51">INDIRECT("Tableau!$F$51")</f>
        <v/>
      </c>
    </row>
    <row r="52">
      <c r="A52" s="404">
        <f t="array" ref="A52">INDIRECT("Tableau!$A$52")</f>
        <v>225</v>
      </c>
      <c r="B52" s="398" t="s">
        <v>453</v>
      </c>
      <c r="C52" s="399" t="str">
        <f t="array" ref="C52">INDIRECT("Tableau!$E$52")</f>
        <v/>
      </c>
      <c r="D52" s="400" t="str">
        <f t="shared" si="1"/>
        <v>IN</v>
      </c>
      <c r="E52" s="401" t="str">
        <f t="array" ref="E52">INDIRECT("Tableau!$F$52")</f>
        <v>Batimoi</v>
      </c>
    </row>
    <row r="53">
      <c r="A53" s="404">
        <f t="array" ref="A53">INDIRECT("Tableau!$A$53")</f>
        <v>230</v>
      </c>
      <c r="B53" s="398" t="s">
        <v>453</v>
      </c>
      <c r="C53" s="399" t="str">
        <f t="array" ref="C53">INDIRECT("Tableau!$E$53")</f>
        <v/>
      </c>
      <c r="D53" s="400" t="str">
        <f t="shared" si="1"/>
        <v>IN</v>
      </c>
      <c r="E53" s="401" t="str">
        <f t="array" ref="E53">INDIRECT("Tableau!$F$53")</f>
        <v/>
      </c>
    </row>
    <row r="54">
      <c r="A54" s="405">
        <f t="array" ref="A54">INDIRECT("Tableau!$A$54")</f>
        <v>231</v>
      </c>
      <c r="B54" s="398" t="s">
        <v>453</v>
      </c>
      <c r="C54" s="399" t="str">
        <f t="array" ref="C54">INDIRECT("Tableau!$E$54")</f>
        <v/>
      </c>
      <c r="D54" s="400" t="str">
        <f t="shared" si="1"/>
        <v>IN</v>
      </c>
      <c r="E54" s="401" t="str">
        <f t="array" ref="E54">INDIRECT("Tableau!$F$54")</f>
        <v/>
      </c>
    </row>
    <row r="55">
      <c r="A55" s="405" t="str">
        <f t="array" ref="A55">INDIRECT("Tableau!$A$55")</f>
        <v/>
      </c>
      <c r="B55" s="398" t="s">
        <v>453</v>
      </c>
      <c r="C55" s="399" t="str">
        <f t="array" ref="C55">INDIRECT("Tableau!$E$55")</f>
        <v/>
      </c>
      <c r="D55" s="400" t="str">
        <f t="shared" si="1"/>
        <v>IN</v>
      </c>
      <c r="E55" s="401" t="str">
        <f t="array" ref="E55">INDIRECT("Tableau!$F$55")</f>
        <v/>
      </c>
    </row>
    <row r="56">
      <c r="A56" s="405" t="str">
        <f t="array" ref="A56">INDIRECT("Tableau!$A$56")</f>
        <v/>
      </c>
      <c r="B56" s="398" t="s">
        <v>453</v>
      </c>
      <c r="C56" s="399" t="str">
        <f t="array" ref="C56">INDIRECT("Tableau!$E$56")</f>
        <v/>
      </c>
      <c r="D56" s="400" t="str">
        <f t="shared" si="1"/>
        <v>IN</v>
      </c>
      <c r="E56" s="401" t="str">
        <f t="array" ref="E56">INDIRECT("Tableau!$F$56")</f>
        <v/>
      </c>
    </row>
    <row r="57">
      <c r="A57" s="405" t="str">
        <f t="array" ref="A57">INDIRECT("Tableau!$A$57")</f>
        <v/>
      </c>
      <c r="B57" s="398" t="s">
        <v>453</v>
      </c>
      <c r="C57" s="399" t="str">
        <f t="array" ref="C57">INDIRECT("Tableau!$E$57")</f>
        <v/>
      </c>
      <c r="D57" s="400" t="str">
        <f t="shared" si="1"/>
        <v>IN</v>
      </c>
      <c r="E57" s="401" t="str">
        <f t="array" ref="E57">INDIRECT("Tableau!$F$57")</f>
        <v/>
      </c>
    </row>
    <row r="58">
      <c r="A58" s="405" t="str">
        <f t="array" ref="A58">INDIRECT("Tableau!$A$58")</f>
        <v/>
      </c>
      <c r="B58" s="398" t="s">
        <v>453</v>
      </c>
      <c r="C58" s="399" t="str">
        <f t="array" ref="C58">INDIRECT("Tableau!$E$58")</f>
        <v/>
      </c>
      <c r="D58" s="400" t="str">
        <f t="shared" si="1"/>
        <v>IN</v>
      </c>
      <c r="E58" s="401" t="str">
        <f t="array" ref="E58">INDIRECT("Tableau!$F$58")</f>
        <v/>
      </c>
    </row>
    <row r="59">
      <c r="A59" s="405" t="str">
        <f t="array" ref="A59">INDIRECT("Tableau!$A$59")</f>
        <v/>
      </c>
      <c r="B59" s="398" t="s">
        <v>453</v>
      </c>
      <c r="C59" s="399" t="str">
        <f t="array" ref="C59">INDIRECT("Tableau!$E$59")</f>
        <v/>
      </c>
      <c r="D59" s="400" t="str">
        <f t="shared" si="1"/>
        <v>IN</v>
      </c>
      <c r="E59" s="401" t="str">
        <f t="array" ref="E59">INDIRECT("Tableau!$F$59")</f>
        <v/>
      </c>
    </row>
    <row r="60">
      <c r="A60" s="405" t="str">
        <f t="array" ref="A60">INDIRECT("Tableau!$A$60")</f>
        <v/>
      </c>
      <c r="B60" s="398" t="s">
        <v>453</v>
      </c>
      <c r="C60" s="399" t="str">
        <f t="array" ref="C60">INDIRECT("Tableau!$E$60")</f>
        <v/>
      </c>
      <c r="D60" s="400" t="str">
        <f t="shared" si="1"/>
        <v>IN</v>
      </c>
      <c r="E60" s="401" t="str">
        <f t="array" ref="E60">INDIRECT("Tableau!$F$60")</f>
        <v/>
      </c>
    </row>
    <row r="61">
      <c r="A61" s="405" t="str">
        <f t="array" ref="A61">INDIRECT("Tableau!$A$61")</f>
        <v/>
      </c>
      <c r="B61" s="398" t="s">
        <v>453</v>
      </c>
      <c r="C61" s="399" t="str">
        <f t="array" ref="C61">INDIRECT("Tableau!$E$61")</f>
        <v/>
      </c>
      <c r="D61" s="400" t="str">
        <f t="shared" si="1"/>
        <v>IN</v>
      </c>
      <c r="E61" s="401" t="str">
        <f t="array" ref="E61">INDIRECT("Tableau!$F$61")</f>
        <v/>
      </c>
    </row>
    <row r="62">
      <c r="A62" s="405" t="str">
        <f t="array" ref="A62">INDIRECT("Tableau!$A$62")</f>
        <v/>
      </c>
      <c r="B62" s="398" t="s">
        <v>453</v>
      </c>
      <c r="C62" s="399" t="str">
        <f t="array" ref="C62">INDIRECT("Tableau!$E$62")</f>
        <v/>
      </c>
      <c r="D62" s="400" t="str">
        <f t="shared" si="1"/>
        <v>IN</v>
      </c>
      <c r="E62" s="401" t="str">
        <f t="array" ref="E62">INDIRECT("Tableau!$F$62")</f>
        <v/>
      </c>
    </row>
    <row r="63">
      <c r="A63" s="405" t="str">
        <f t="array" ref="A63">INDIRECT("Tableau!$A$63")</f>
        <v/>
      </c>
      <c r="B63" s="398" t="s">
        <v>453</v>
      </c>
      <c r="C63" s="399" t="str">
        <f t="array" ref="C63">INDIRECT("Tableau!$E$63")</f>
        <v/>
      </c>
      <c r="D63" s="400" t="str">
        <f t="shared" si="1"/>
        <v>IN</v>
      </c>
      <c r="E63" s="401" t="str">
        <f t="array" ref="E63">INDIRECT("Tableau!$F$63")</f>
        <v/>
      </c>
    </row>
    <row r="64">
      <c r="A64" s="405" t="str">
        <f t="array" ref="A64">INDIRECT("Tableau!$A$64")</f>
        <v/>
      </c>
      <c r="B64" s="398" t="s">
        <v>453</v>
      </c>
      <c r="C64" s="399" t="str">
        <f t="array" ref="C64">INDIRECT("Tableau!$E$64")</f>
        <v/>
      </c>
      <c r="D64" s="400" t="str">
        <f t="shared" si="1"/>
        <v>IN</v>
      </c>
      <c r="E64" s="401" t="str">
        <f t="array" ref="E64">INDIRECT("Tableau!$F$64")</f>
        <v/>
      </c>
    </row>
    <row r="65">
      <c r="A65" s="402">
        <f t="array" ref="A65">INDIRECT("Tableau!$A$65")</f>
        <v>301</v>
      </c>
      <c r="B65" s="398" t="s">
        <v>453</v>
      </c>
      <c r="C65" s="400" t="str">
        <f t="array" ref="C65">INDIRECT("Tableau!$E$65")</f>
        <v>Carbelle</v>
      </c>
      <c r="D65" s="400" t="str">
        <f t="shared" si="1"/>
        <v>IN</v>
      </c>
      <c r="E65" s="401" t="str">
        <f t="array" ref="E65">INDIRECT("Tableau!$F$65")</f>
        <v/>
      </c>
    </row>
    <row r="66">
      <c r="A66" s="397" t="str">
        <f t="array" ref="A66">INDIRECT("Tableau!$A$66")</f>
        <v/>
      </c>
      <c r="B66" s="398" t="s">
        <v>453</v>
      </c>
      <c r="C66" s="400" t="str">
        <f t="array" ref="C66">INDIRECT("Tableau!$E$66")</f>
        <v/>
      </c>
      <c r="D66" s="400" t="str">
        <f t="shared" si="1"/>
        <v>IN</v>
      </c>
      <c r="E66" s="401" t="str">
        <f t="array" ref="E66">INDIRECT("Tableau!$F$66")</f>
        <v/>
      </c>
    </row>
    <row r="67">
      <c r="A67" s="402">
        <f t="array" ref="A67">INDIRECT("Tableau!$A$67")</f>
        <v>303</v>
      </c>
      <c r="B67" s="398" t="s">
        <v>453</v>
      </c>
      <c r="C67" s="400" t="str">
        <f t="array" ref="C67">INDIRECT("Tableau!$E$67")</f>
        <v>Carbelle</v>
      </c>
      <c r="D67" s="400" t="str">
        <f t="shared" si="1"/>
        <v>IN</v>
      </c>
      <c r="E67" s="401" t="str">
        <f t="array" ref="E67">INDIRECT("Tableau!$F$67")</f>
        <v/>
      </c>
    </row>
    <row r="68">
      <c r="A68" s="402">
        <f t="array" ref="A68">INDIRECT("Tableau!$A$68")</f>
        <v>304</v>
      </c>
      <c r="B68" s="398" t="s">
        <v>453</v>
      </c>
      <c r="C68" s="400" t="str">
        <f t="array" ref="C68">INDIRECT("Tableau!$E$68")</f>
        <v>Carbelle</v>
      </c>
      <c r="D68" s="400" t="str">
        <f t="shared" si="1"/>
        <v>IN</v>
      </c>
      <c r="E68" s="401" t="str">
        <f t="array" ref="E68">INDIRECT("Tableau!$F$68")</f>
        <v/>
      </c>
    </row>
    <row r="69">
      <c r="A69" s="402">
        <f t="array" ref="A69">INDIRECT("Tableau!$A$69")</f>
        <v>305</v>
      </c>
      <c r="B69" s="398" t="s">
        <v>453</v>
      </c>
      <c r="C69" s="399" t="str">
        <f t="array" ref="C69">INDIRECT("Tableau!$E$69")</f>
        <v/>
      </c>
      <c r="D69" s="400" t="str">
        <f t="shared" si="1"/>
        <v>IN</v>
      </c>
      <c r="E69" s="401" t="str">
        <f t="array" ref="E69">INDIRECT("Tableau!$F$69")</f>
        <v/>
      </c>
    </row>
    <row r="70">
      <c r="A70" s="402">
        <f t="array" ref="A70">INDIRECT("Tableau!$A$70")</f>
        <v>306</v>
      </c>
      <c r="B70" s="398" t="s">
        <v>453</v>
      </c>
      <c r="C70" s="400" t="str">
        <f t="array" ref="C70">INDIRECT("Tableau!$E$70")</f>
        <v/>
      </c>
      <c r="D70" s="400" t="str">
        <f t="shared" si="1"/>
        <v>IN</v>
      </c>
      <c r="E70" s="401" t="str">
        <f t="array" ref="E70">INDIRECT("Tableau!$F$70")</f>
        <v/>
      </c>
    </row>
    <row r="71">
      <c r="A71" s="402">
        <f t="array" ref="A71">INDIRECT("Tableau!$A$71")</f>
        <v>307</v>
      </c>
      <c r="B71" s="398" t="s">
        <v>453</v>
      </c>
      <c r="C71" s="400" t="str">
        <f t="array" ref="C71">INDIRECT("Tableau!$E$71")</f>
        <v/>
      </c>
      <c r="D71" s="400" t="str">
        <f t="shared" si="1"/>
        <v>IN</v>
      </c>
      <c r="E71" s="401" t="str">
        <f t="array" ref="E71">INDIRECT("Tableau!$F$71")</f>
        <v>Batimoi</v>
      </c>
    </row>
    <row r="72">
      <c r="A72" s="397">
        <f t="array" ref="A72">INDIRECT("Tableau!$A$72")</f>
        <v>367</v>
      </c>
      <c r="B72" s="398" t="s">
        <v>453</v>
      </c>
      <c r="C72" s="400" t="str">
        <f t="array" ref="C72">INDIRECT("Tableau!$E$72")</f>
        <v/>
      </c>
      <c r="D72" s="400" t="str">
        <f t="shared" si="1"/>
        <v>IN</v>
      </c>
      <c r="E72" s="401" t="str">
        <f t="array" ref="E72">INDIRECT("Tableau!$F$72")</f>
        <v/>
      </c>
    </row>
    <row r="73">
      <c r="A73" s="402">
        <f t="array" ref="A73">INDIRECT("Tableau!$A$73")</f>
        <v>308</v>
      </c>
      <c r="B73" s="398" t="s">
        <v>453</v>
      </c>
      <c r="C73" s="400" t="str">
        <f t="array" ref="C73">INDIRECT("Tableau!$E$73")</f>
        <v/>
      </c>
      <c r="D73" s="400" t="str">
        <f t="shared" si="1"/>
        <v>IN</v>
      </c>
      <c r="E73" s="401" t="str">
        <f t="array" ref="E73">INDIRECT("Tableau!$F$73")</f>
        <v/>
      </c>
    </row>
    <row r="74">
      <c r="A74" s="397">
        <f t="array" ref="A74">INDIRECT("Tableau!$A$74")</f>
        <v>319</v>
      </c>
      <c r="B74" s="398" t="s">
        <v>453</v>
      </c>
      <c r="C74" s="400" t="str">
        <f t="array" ref="C74">INDIRECT("Tableau!$E$74")</f>
        <v/>
      </c>
      <c r="D74" s="400" t="str">
        <f t="shared" si="1"/>
        <v>IN</v>
      </c>
      <c r="E74" s="401" t="str">
        <f t="array" ref="E74">INDIRECT("Tableau!$F$74")</f>
        <v/>
      </c>
    </row>
    <row r="75">
      <c r="A75" s="402">
        <f t="array" ref="A75">INDIRECT("Tableau!$A$75")</f>
        <v>309</v>
      </c>
      <c r="B75" s="398" t="s">
        <v>453</v>
      </c>
      <c r="C75" s="400" t="str">
        <f t="array" ref="C75">INDIRECT("Tableau!$E$75")</f>
        <v/>
      </c>
      <c r="D75" s="400" t="str">
        <f t="shared" si="1"/>
        <v>IN</v>
      </c>
      <c r="E75" s="401" t="str">
        <f t="array" ref="E75">INDIRECT("Tableau!$F$75")</f>
        <v/>
      </c>
    </row>
    <row r="76">
      <c r="A76" s="402">
        <f t="array" ref="A76">INDIRECT("Tableau!$A$76")</f>
        <v>310</v>
      </c>
      <c r="B76" s="398" t="s">
        <v>453</v>
      </c>
      <c r="C76" s="400" t="str">
        <f t="array" ref="C76">INDIRECT("Tableau!$E$76")</f>
        <v/>
      </c>
      <c r="D76" s="400" t="str">
        <f t="shared" si="1"/>
        <v>IN</v>
      </c>
      <c r="E76" s="401" t="str">
        <f t="array" ref="E76">INDIRECT("Tableau!$F$76")</f>
        <v/>
      </c>
    </row>
    <row r="77">
      <c r="A77" s="402">
        <f t="array" ref="A77">INDIRECT("Tableau!$A$77")</f>
        <v>311</v>
      </c>
      <c r="B77" s="398" t="s">
        <v>453</v>
      </c>
      <c r="C77" s="400" t="str">
        <f t="array" ref="C77">INDIRECT("Tableau!$E$77")</f>
        <v/>
      </c>
      <c r="D77" s="400" t="str">
        <f t="shared" si="1"/>
        <v>IN</v>
      </c>
      <c r="E77" s="401" t="str">
        <f t="array" ref="E77">INDIRECT("Tableau!$F$77")</f>
        <v>Batimoi</v>
      </c>
    </row>
    <row r="78">
      <c r="A78" s="402">
        <f t="array" ref="A78">INDIRECT("Tableau!$A$78")</f>
        <v>312</v>
      </c>
      <c r="B78" s="398" t="s">
        <v>453</v>
      </c>
      <c r="C78" s="400" t="str">
        <f t="array" ref="C78">INDIRECT("Tableau!$E$78")</f>
        <v/>
      </c>
      <c r="D78" s="400" t="str">
        <f t="shared" si="1"/>
        <v>IN</v>
      </c>
      <c r="E78" s="401" t="str">
        <f t="array" ref="E78">INDIRECT("Tableau!$F$78")</f>
        <v/>
      </c>
    </row>
    <row r="79">
      <c r="A79" s="402">
        <f t="array" ref="A79">INDIRECT("Tableau!$A$79")</f>
        <v>313</v>
      </c>
      <c r="B79" s="398" t="s">
        <v>453</v>
      </c>
      <c r="C79" s="399" t="str">
        <f t="array" ref="C79">INDIRECT("Tableau!$E$79")</f>
        <v/>
      </c>
      <c r="D79" s="400" t="str">
        <f t="shared" si="1"/>
        <v>IN</v>
      </c>
      <c r="E79" s="401" t="str">
        <f t="array" ref="E79">INDIRECT("Tableau!$F$79")</f>
        <v>Batimoi</v>
      </c>
    </row>
    <row r="80">
      <c r="A80" s="402">
        <f t="array" ref="A80">INDIRECT("Tableau!$A$80")</f>
        <v>314</v>
      </c>
      <c r="B80" s="398" t="s">
        <v>453</v>
      </c>
      <c r="C80" s="399" t="str">
        <f t="array" ref="C80">INDIRECT("Tableau!$E$80")</f>
        <v/>
      </c>
      <c r="D80" s="400" t="str">
        <f t="shared" si="1"/>
        <v>IN</v>
      </c>
      <c r="E80" s="401" t="str">
        <f t="array" ref="E80">INDIRECT("Tableau!$F$80")</f>
        <v/>
      </c>
    </row>
    <row r="81">
      <c r="A81" s="402">
        <f t="array" ref="A81">INDIRECT("Tableau!$A$81")</f>
        <v>315</v>
      </c>
      <c r="B81" s="398" t="s">
        <v>453</v>
      </c>
      <c r="C81" s="399" t="str">
        <f t="array" ref="C81">INDIRECT("Tableau!$E$81")</f>
        <v/>
      </c>
      <c r="D81" s="400" t="str">
        <f t="shared" si="1"/>
        <v>IN</v>
      </c>
      <c r="E81" s="401" t="str">
        <f t="array" ref="E81">INDIRECT("Tableau!$F$81")</f>
        <v/>
      </c>
    </row>
    <row r="82">
      <c r="A82" s="402">
        <f t="array" ref="A82">INDIRECT("Tableau!$A$82")</f>
        <v>316</v>
      </c>
      <c r="B82" s="398" t="s">
        <v>453</v>
      </c>
      <c r="C82" s="399" t="str">
        <f t="array" ref="C82">INDIRECT("Tableau!$E$82")</f>
        <v/>
      </c>
      <c r="D82" s="400" t="str">
        <f t="shared" si="1"/>
        <v>IN</v>
      </c>
      <c r="E82" s="401" t="str">
        <f t="array" ref="E82">INDIRECT("Tableau!$F$82")</f>
        <v/>
      </c>
    </row>
    <row r="83">
      <c r="A83" s="402">
        <f t="array" ref="A83">INDIRECT("Tableau!$A$83")</f>
        <v>317</v>
      </c>
      <c r="B83" s="398" t="s">
        <v>453</v>
      </c>
      <c r="C83" s="399" t="str">
        <f t="array" ref="C83">INDIRECT("Tableau!$E$83")</f>
        <v/>
      </c>
      <c r="D83" s="400" t="str">
        <f t="shared" si="1"/>
        <v>IN</v>
      </c>
      <c r="E83" s="401" t="str">
        <f t="array" ref="E83">INDIRECT("Tableau!$F$83")</f>
        <v/>
      </c>
    </row>
    <row r="84">
      <c r="A84" s="402">
        <f t="array" ref="A84">INDIRECT("Tableau!$A$84")</f>
        <v>318</v>
      </c>
      <c r="B84" s="398" t="s">
        <v>453</v>
      </c>
      <c r="C84" s="400" t="str">
        <f t="array" ref="C84">INDIRECT("Tableau!$E$84")</f>
        <v/>
      </c>
      <c r="D84" s="400" t="str">
        <f t="shared" si="1"/>
        <v>IN</v>
      </c>
      <c r="E84" s="401" t="str">
        <f t="array" ref="E84">INDIRECT("Tableau!$F$84")</f>
        <v/>
      </c>
    </row>
    <row r="85">
      <c r="A85" s="402">
        <f t="array" ref="A85">INDIRECT("Tableau!$A$85")</f>
        <v>320</v>
      </c>
      <c r="B85" s="398" t="s">
        <v>453</v>
      </c>
      <c r="C85" s="399" t="str">
        <f t="array" ref="C85">INDIRECT("Tableau!$E$85")</f>
        <v/>
      </c>
      <c r="D85" s="400" t="str">
        <f t="shared" si="1"/>
        <v>IN</v>
      </c>
      <c r="E85" s="401" t="str">
        <f t="array" ref="E85">INDIRECT("Tableau!$F$85")</f>
        <v/>
      </c>
    </row>
    <row r="86">
      <c r="A86" s="402">
        <f t="array" ref="A86">INDIRECT("Tableau!$A$86")</f>
        <v>321</v>
      </c>
      <c r="B86" s="398" t="s">
        <v>453</v>
      </c>
      <c r="C86" s="399" t="str">
        <f t="array" ref="C86">INDIRECT("Tableau!$E$86")</f>
        <v/>
      </c>
      <c r="D86" s="400" t="str">
        <f t="shared" si="1"/>
        <v>IN</v>
      </c>
      <c r="E86" s="401" t="str">
        <f t="array" ref="E86">INDIRECT("Tableau!$F$86")</f>
        <v/>
      </c>
    </row>
    <row r="87">
      <c r="A87" s="397" t="str">
        <f t="array" ref="A87">INDIRECT("Tableau!$A$87")</f>
        <v/>
      </c>
      <c r="B87" s="398" t="s">
        <v>453</v>
      </c>
      <c r="C87" s="399" t="str">
        <f t="array" ref="C87">INDIRECT("Tableau!$E$87")</f>
        <v/>
      </c>
      <c r="D87" s="400" t="str">
        <f t="shared" si="1"/>
        <v>IN</v>
      </c>
      <c r="E87" s="401" t="str">
        <f t="array" ref="E87">INDIRECT("Tableau!$F$87")</f>
        <v/>
      </c>
    </row>
    <row r="88">
      <c r="A88" s="402">
        <f t="array" ref="A88">INDIRECT("Tableau!$A$88")</f>
        <v>323</v>
      </c>
      <c r="B88" s="398" t="s">
        <v>453</v>
      </c>
      <c r="C88" s="400" t="str">
        <f t="array" ref="C88">INDIRECT("Tableau!$E$88")</f>
        <v/>
      </c>
      <c r="D88" s="400" t="str">
        <f t="shared" si="1"/>
        <v>IN</v>
      </c>
      <c r="E88" s="401" t="str">
        <f t="array" ref="E88">INDIRECT("Tableau!$F$88")</f>
        <v/>
      </c>
    </row>
    <row r="89">
      <c r="A89" s="402">
        <f t="array" ref="A89">INDIRECT("Tableau!$A$89")</f>
        <v>324</v>
      </c>
      <c r="B89" s="398" t="s">
        <v>453</v>
      </c>
      <c r="C89" s="399" t="str">
        <f t="array" ref="C89">INDIRECT("Tableau!$E$89")</f>
        <v/>
      </c>
      <c r="D89" s="400" t="str">
        <f t="shared" si="1"/>
        <v>IN</v>
      </c>
      <c r="E89" s="401" t="str">
        <f t="array" ref="E89">INDIRECT("Tableau!$F$89")</f>
        <v/>
      </c>
    </row>
    <row r="90">
      <c r="A90" s="402">
        <f t="array" ref="A90">INDIRECT("Tableau!$A$90")</f>
        <v>325</v>
      </c>
      <c r="B90" s="398" t="s">
        <v>453</v>
      </c>
      <c r="C90" s="400" t="str">
        <f t="array" ref="C90">INDIRECT("Tableau!$E$90")</f>
        <v>JDW</v>
      </c>
      <c r="D90" s="400" t="str">
        <f t="shared" si="1"/>
        <v>IN</v>
      </c>
      <c r="E90" s="401" t="str">
        <f t="array" ref="E90">INDIRECT("Tableau!$F$90")</f>
        <v>opt</v>
      </c>
    </row>
    <row r="91">
      <c r="A91" s="402">
        <f t="array" ref="A91">INDIRECT("Tableau!$A$91")</f>
        <v>326</v>
      </c>
      <c r="B91" s="398" t="s">
        <v>453</v>
      </c>
      <c r="C91" s="400" t="str">
        <f t="array" ref="C91">INDIRECT("Tableau!$E$91")</f>
        <v/>
      </c>
      <c r="D91" s="400" t="str">
        <f t="shared" si="1"/>
        <v>IN</v>
      </c>
      <c r="E91" s="401" t="str">
        <f t="array" ref="E91">INDIRECT("Tableau!$F$91")</f>
        <v/>
      </c>
    </row>
    <row r="92">
      <c r="A92" s="402">
        <f t="array" ref="A92">INDIRECT("Tableau!$A$92")</f>
        <v>327</v>
      </c>
      <c r="B92" s="398" t="s">
        <v>453</v>
      </c>
      <c r="C92" s="400" t="str">
        <f t="array" ref="C92">INDIRECT("Tableau!$E$92")</f>
        <v/>
      </c>
      <c r="D92" s="400" t="str">
        <f t="shared" si="1"/>
        <v>IN</v>
      </c>
      <c r="E92" s="401" t="str">
        <f t="array" ref="E92">INDIRECT("Tableau!$F$92")</f>
        <v/>
      </c>
    </row>
    <row r="93">
      <c r="A93" s="402">
        <f t="array" ref="A93">INDIRECT("Tableau!$A$93")</f>
        <v>328</v>
      </c>
      <c r="B93" s="398" t="s">
        <v>453</v>
      </c>
      <c r="C93" s="399" t="str">
        <f t="array" ref="C93">INDIRECT("Tableau!$E$93")</f>
        <v>Hanse Meubles</v>
      </c>
      <c r="D93" s="400" t="str">
        <f t="shared" si="1"/>
        <v>IN</v>
      </c>
      <c r="E93" s="401" t="str">
        <f t="array" ref="E93">INDIRECT("Tableau!$F$93")</f>
        <v>OPTION</v>
      </c>
    </row>
    <row r="94">
      <c r="A94" s="402">
        <f t="array" ref="A94">INDIRECT("Tableau!$A$94")</f>
        <v>329</v>
      </c>
      <c r="B94" s="398" t="s">
        <v>453</v>
      </c>
      <c r="C94" s="400" t="str">
        <f t="array" ref="C94">INDIRECT("Tableau!$E$94")</f>
        <v>DEMA</v>
      </c>
      <c r="D94" s="400" t="str">
        <f t="shared" si="1"/>
        <v>IN</v>
      </c>
      <c r="E94" s="401" t="str">
        <f t="array" ref="E94">INDIRECT("Tableau!$F$94")</f>
        <v/>
      </c>
    </row>
    <row r="95">
      <c r="A95" s="402">
        <f t="array" ref="A95">INDIRECT("Tableau!$A$95")</f>
        <v>330</v>
      </c>
      <c r="B95" s="398" t="s">
        <v>453</v>
      </c>
      <c r="C95" s="400" t="str">
        <f t="array" ref="C95">INDIRECT("Tableau!$E$95")</f>
        <v/>
      </c>
      <c r="D95" s="400" t="str">
        <f t="shared" si="1"/>
        <v>IN</v>
      </c>
      <c r="E95" s="401" t="str">
        <f t="array" ref="E95">INDIRECT("Tableau!$F$95")</f>
        <v/>
      </c>
    </row>
    <row r="96">
      <c r="A96" s="402">
        <f t="array" ref="A96">INDIRECT("Tableau!$A$96")</f>
        <v>331</v>
      </c>
      <c r="B96" s="398" t="s">
        <v>453</v>
      </c>
      <c r="C96" s="400" t="str">
        <f t="array" ref="C96">INDIRECT("Tableau!$E$96")</f>
        <v>DEMA</v>
      </c>
      <c r="D96" s="400" t="str">
        <f t="shared" si="1"/>
        <v>IN</v>
      </c>
      <c r="E96" s="401" t="str">
        <f t="array" ref="E96">INDIRECT("Tableau!$F$96")</f>
        <v/>
      </c>
    </row>
    <row r="97">
      <c r="A97" s="402">
        <f t="array" ref="A97">INDIRECT("Tableau!$A$97")</f>
        <v>332</v>
      </c>
      <c r="B97" s="398" t="s">
        <v>453</v>
      </c>
      <c r="C97" s="400" t="str">
        <f t="array" ref="C97">INDIRECT("Tableau!$E$97")</f>
        <v>Carbelle</v>
      </c>
      <c r="D97" s="400" t="str">
        <f t="shared" si="1"/>
        <v>IN</v>
      </c>
      <c r="E97" s="401" t="str">
        <f t="array" ref="E97">INDIRECT("Tableau!$F$97")</f>
        <v/>
      </c>
    </row>
    <row r="98">
      <c r="A98" s="402">
        <f t="array" ref="A98">INDIRECT("Tableau!$A$98")</f>
        <v>333</v>
      </c>
      <c r="B98" s="398" t="s">
        <v>453</v>
      </c>
      <c r="C98" s="400" t="str">
        <f t="array" ref="C98">INDIRECT("Tableau!$E$98")</f>
        <v/>
      </c>
      <c r="D98" s="400" t="str">
        <f t="shared" si="1"/>
        <v>IN</v>
      </c>
      <c r="E98" s="401" t="str">
        <f t="array" ref="E98">INDIRECT("Tableau!$F$98")</f>
        <v/>
      </c>
    </row>
    <row r="99">
      <c r="A99" s="402">
        <f t="array" ref="A99">INDIRECT("Tableau!$A$99")</f>
        <v>334</v>
      </c>
      <c r="B99" s="398" t="s">
        <v>453</v>
      </c>
      <c r="C99" s="399" t="str">
        <f t="array" ref="C99">INDIRECT("Tableau!$E$99")</f>
        <v/>
      </c>
      <c r="D99" s="400" t="str">
        <f t="shared" si="1"/>
        <v>IN</v>
      </c>
      <c r="E99" s="401" t="str">
        <f t="array" ref="E99">INDIRECT("Tableau!$F$99")</f>
        <v/>
      </c>
    </row>
    <row r="100">
      <c r="A100" s="402">
        <f t="array" ref="A100">INDIRECT("Tableau!$A$100")</f>
        <v>335</v>
      </c>
      <c r="B100" s="398" t="s">
        <v>453</v>
      </c>
      <c r="C100" s="399" t="str">
        <f t="array" ref="C100">INDIRECT("Tableau!$E$100")</f>
        <v>DEMA</v>
      </c>
      <c r="D100" s="400" t="str">
        <f t="shared" si="1"/>
        <v>IN</v>
      </c>
      <c r="E100" s="401" t="str">
        <f t="array" ref="E100">INDIRECT("Tableau!$F$100")</f>
        <v/>
      </c>
    </row>
    <row r="101">
      <c r="A101" s="402">
        <f t="array" ref="A101">INDIRECT("Tableau!$A$101")</f>
        <v>336</v>
      </c>
      <c r="B101" s="398" t="s">
        <v>453</v>
      </c>
      <c r="C101" s="400" t="str">
        <f t="array" ref="C101">INDIRECT("Tableau!$E$101")</f>
        <v/>
      </c>
      <c r="D101" s="400" t="str">
        <f t="shared" si="1"/>
        <v>IN</v>
      </c>
      <c r="E101" s="401" t="str">
        <f t="array" ref="E101">INDIRECT("Tableau!$F$101")</f>
        <v/>
      </c>
    </row>
    <row r="102">
      <c r="A102" s="402">
        <f t="array" ref="A102">INDIRECT("Tableau!$A$102")</f>
        <v>337</v>
      </c>
      <c r="B102" s="398" t="s">
        <v>453</v>
      </c>
      <c r="C102" s="400" t="str">
        <f t="array" ref="C102">INDIRECT("Tableau!$E$102")</f>
        <v>Immo Toma </v>
      </c>
      <c r="D102" s="400" t="str">
        <f t="shared" si="1"/>
        <v>IN</v>
      </c>
      <c r="E102" s="403" t="str">
        <f t="array" ref="E102">INDIRECT("Tableau!$F$102")</f>
        <v/>
      </c>
    </row>
    <row r="103">
      <c r="A103" s="402">
        <f t="array" ref="A103">INDIRECT("Tableau!$A$103")</f>
        <v>338</v>
      </c>
      <c r="B103" s="398" t="s">
        <v>453</v>
      </c>
      <c r="C103" s="400" t="str">
        <f t="array" ref="C103">INDIRECT("Tableau!$E$103")</f>
        <v/>
      </c>
      <c r="D103" s="400" t="str">
        <f t="shared" si="1"/>
        <v>IN</v>
      </c>
      <c r="E103" s="401" t="str">
        <f t="array" ref="E103">INDIRECT("Tableau!$F$103")</f>
        <v/>
      </c>
    </row>
    <row r="104">
      <c r="A104" s="402">
        <f t="array" ref="A104">INDIRECT("Tableau!$A$104")</f>
        <v>339</v>
      </c>
      <c r="B104" s="398" t="s">
        <v>453</v>
      </c>
      <c r="C104" s="400" t="str">
        <f t="array" ref="C104">INDIRECT("Tableau!$E$104")</f>
        <v/>
      </c>
      <c r="D104" s="400" t="str">
        <f t="shared" si="1"/>
        <v>IN</v>
      </c>
      <c r="E104" s="403" t="str">
        <f t="array" ref="E104">INDIRECT("Tableau!$F$104")</f>
        <v/>
      </c>
    </row>
    <row r="105">
      <c r="A105" s="402">
        <f t="array" ref="A105">INDIRECT("Tableau!$A$105")</f>
        <v>340</v>
      </c>
      <c r="B105" s="398" t="s">
        <v>453</v>
      </c>
      <c r="C105" s="400" t="str">
        <f t="array" ref="C105">INDIRECT("Tableau!$E$105")</f>
        <v>DPS</v>
      </c>
      <c r="D105" s="400" t="str">
        <f t="shared" si="1"/>
        <v>IN</v>
      </c>
      <c r="E105" s="401" t="str">
        <f t="array" ref="E105">INDIRECT("Tableau!$F$105")</f>
        <v/>
      </c>
    </row>
    <row r="106">
      <c r="A106" s="402">
        <f t="array" ref="A106">INDIRECT("Tableau!$A$106")</f>
        <v>341</v>
      </c>
      <c r="B106" s="398" t="s">
        <v>453</v>
      </c>
      <c r="C106" s="400" t="str">
        <f t="array" ref="C106">INDIRECT("Tableau!$E$106")</f>
        <v/>
      </c>
      <c r="D106" s="400" t="str">
        <f t="shared" si="1"/>
        <v>IN</v>
      </c>
      <c r="E106" s="401" t="str">
        <f t="array" ref="E106">INDIRECT("Tableau!$F$106")</f>
        <v>Batimoi</v>
      </c>
    </row>
    <row r="107">
      <c r="A107" s="402">
        <f t="array" ref="A107">INDIRECT("Tableau!$A$107")</f>
        <v>365</v>
      </c>
      <c r="B107" s="398" t="s">
        <v>453</v>
      </c>
      <c r="C107" s="400" t="str">
        <f t="array" ref="C107">INDIRECT("Tableau!$E$107")</f>
        <v/>
      </c>
      <c r="D107" s="400" t="str">
        <f t="shared" si="1"/>
        <v>IN</v>
      </c>
      <c r="E107" s="401" t="str">
        <f t="array" ref="E107">INDIRECT("Tableau!$F$107")</f>
        <v/>
      </c>
    </row>
    <row r="108">
      <c r="A108" s="402">
        <f t="array" ref="A108">INDIRECT("Tableau!$A$108")</f>
        <v>342</v>
      </c>
      <c r="B108" s="398" t="s">
        <v>453</v>
      </c>
      <c r="C108" s="400" t="str">
        <f t="array" ref="C108">INDIRECT("Tableau!$E$108")</f>
        <v>Carbelle</v>
      </c>
      <c r="D108" s="400" t="str">
        <f t="shared" si="1"/>
        <v>IN</v>
      </c>
      <c r="E108" s="401" t="str">
        <f t="array" ref="E108">INDIRECT("Tableau!$F$108")</f>
        <v/>
      </c>
    </row>
    <row r="109">
      <c r="A109" s="402">
        <f t="array" ref="A109">INDIRECT("Tableau!$A$109")</f>
        <v>343</v>
      </c>
      <c r="B109" s="398" t="s">
        <v>453</v>
      </c>
      <c r="C109" s="399" t="str">
        <f t="array" ref="C109">INDIRECT("Tableau!$E$109")</f>
        <v>DPS</v>
      </c>
      <c r="D109" s="400" t="str">
        <f t="shared" si="1"/>
        <v>IN</v>
      </c>
      <c r="E109" s="401" t="str">
        <f t="array" ref="E109">INDIRECT("Tableau!$F$109")</f>
        <v/>
      </c>
    </row>
    <row r="110">
      <c r="A110" s="402">
        <f t="array" ref="A110">INDIRECT("Tableau!$A$110")</f>
        <v>344</v>
      </c>
      <c r="B110" s="398" t="s">
        <v>453</v>
      </c>
      <c r="C110" s="399" t="str">
        <f t="array" ref="C110">INDIRECT("Tableau!$E$110")</f>
        <v>Immo Toma </v>
      </c>
      <c r="D110" s="400" t="str">
        <f t="shared" si="1"/>
        <v>IN</v>
      </c>
      <c r="E110" s="401" t="str">
        <f t="array" ref="E110">INDIRECT("Tableau!$F$110")</f>
        <v/>
      </c>
    </row>
    <row r="111">
      <c r="A111" s="402">
        <f t="array" ref="A111">INDIRECT("Tableau!$A$111")</f>
        <v>363</v>
      </c>
      <c r="B111" s="398" t="s">
        <v>453</v>
      </c>
      <c r="C111" s="399" t="str">
        <f t="array" ref="C111">INDIRECT("Tableau!$E$111")</f>
        <v>DPS</v>
      </c>
      <c r="D111" s="400" t="str">
        <f t="shared" si="1"/>
        <v>IN</v>
      </c>
      <c r="E111" s="401" t="str">
        <f t="array" ref="E111">INDIRECT("Tableau!$F$111")</f>
        <v/>
      </c>
    </row>
    <row r="112">
      <c r="A112" s="402">
        <f t="array" ref="A112">INDIRECT("Tableau!$A$112")</f>
        <v>345</v>
      </c>
      <c r="B112" s="398" t="s">
        <v>453</v>
      </c>
      <c r="C112" s="399" t="str">
        <f t="array" ref="C112">INDIRECT("Tableau!$E$112")</f>
        <v/>
      </c>
      <c r="D112" s="400" t="str">
        <f t="shared" si="1"/>
        <v>IN</v>
      </c>
      <c r="E112" s="401" t="str">
        <f t="array" ref="E112">INDIRECT("Tableau!$F$112")</f>
        <v/>
      </c>
    </row>
    <row r="113">
      <c r="A113" s="402">
        <f t="array" ref="A113">INDIRECT("Tableau!$A$113")</f>
        <v>346</v>
      </c>
      <c r="B113" s="398" t="s">
        <v>453</v>
      </c>
      <c r="C113" s="400" t="str">
        <f t="array" ref="C113">INDIRECT("Tableau!$E$113")</f>
        <v>Immo Toma </v>
      </c>
      <c r="D113" s="400" t="str">
        <f t="shared" si="1"/>
        <v>IN</v>
      </c>
      <c r="E113" s="401" t="str">
        <f t="array" ref="E113">INDIRECT("Tableau!$F$113")</f>
        <v/>
      </c>
    </row>
    <row r="114">
      <c r="A114" s="402">
        <f t="array" ref="A114">INDIRECT("Tableau!$A$114")</f>
        <v>359</v>
      </c>
      <c r="B114" s="398" t="s">
        <v>453</v>
      </c>
      <c r="C114" s="400" t="str">
        <f t="array" ref="C114">INDIRECT("Tableau!$E$114")</f>
        <v/>
      </c>
      <c r="D114" s="400" t="str">
        <f t="shared" si="1"/>
        <v>IN</v>
      </c>
      <c r="E114" s="401" t="str">
        <f t="array" ref="E114">INDIRECT("Tableau!$F$114")</f>
        <v/>
      </c>
    </row>
    <row r="115">
      <c r="A115" s="402">
        <f t="array" ref="A115">INDIRECT("Tableau!$A$115")</f>
        <v>360</v>
      </c>
      <c r="B115" s="398" t="s">
        <v>453</v>
      </c>
      <c r="C115" s="400" t="str">
        <f t="array" ref="C115">INDIRECT("Tableau!$E$115")</f>
        <v/>
      </c>
      <c r="D115" s="400" t="str">
        <f t="shared" si="1"/>
        <v>IN</v>
      </c>
      <c r="E115" s="401" t="str">
        <f t="array" ref="E115">INDIRECT("Tableau!$F$115")</f>
        <v/>
      </c>
    </row>
    <row r="116">
      <c r="A116" s="402">
        <f t="array" ref="A116">INDIRECT("Tableau!$A$116")</f>
        <v>361</v>
      </c>
      <c r="B116" s="398" t="s">
        <v>453</v>
      </c>
      <c r="C116" s="399" t="str">
        <f t="array" ref="C116">INDIRECT("Tableau!$E$116")</f>
        <v/>
      </c>
      <c r="D116" s="400" t="str">
        <f t="shared" si="1"/>
        <v>IN</v>
      </c>
      <c r="E116" s="401" t="str">
        <f t="array" ref="E116">INDIRECT("Tableau!$F$116")</f>
        <v/>
      </c>
    </row>
    <row r="117">
      <c r="A117" s="397" t="str">
        <f t="array" ref="A117">INDIRECT("Tableau!$A$117")</f>
        <v/>
      </c>
      <c r="B117" s="398" t="s">
        <v>453</v>
      </c>
      <c r="C117" s="400" t="str">
        <f t="array" ref="C117">INDIRECT("Tableau!$E$117")</f>
        <v/>
      </c>
      <c r="D117" s="400" t="str">
        <f t="shared" si="1"/>
        <v>IN</v>
      </c>
      <c r="E117" s="401" t="str">
        <f t="array" ref="E117">INDIRECT("Tableau!$F$117")</f>
        <v/>
      </c>
    </row>
    <row r="118">
      <c r="A118" s="402">
        <f t="array" ref="A118">INDIRECT("Tableau!$A$118")</f>
        <v>347</v>
      </c>
      <c r="B118" s="398" t="s">
        <v>453</v>
      </c>
      <c r="C118" s="400" t="str">
        <f t="array" ref="C118">INDIRECT("Tableau!$E$118")</f>
        <v>BP Martelange</v>
      </c>
      <c r="D118" s="400" t="str">
        <f t="shared" si="1"/>
        <v>IN</v>
      </c>
      <c r="E118" s="401" t="str">
        <f t="array" ref="E118">INDIRECT("Tableau!$F$118")</f>
        <v/>
      </c>
    </row>
    <row r="119">
      <c r="A119" s="402">
        <f t="array" ref="A119">INDIRECT("Tableau!$A$119")</f>
        <v>348</v>
      </c>
      <c r="B119" s="398" t="s">
        <v>453</v>
      </c>
      <c r="C119" s="400" t="str">
        <f t="array" ref="C119">INDIRECT("Tableau!$E$119")</f>
        <v>Batimoi</v>
      </c>
      <c r="D119" s="400" t="str">
        <f t="shared" si="1"/>
        <v>IN</v>
      </c>
      <c r="E119" s="401" t="str">
        <f t="array" ref="E119">INDIRECT("Tableau!$F$119")</f>
        <v/>
      </c>
    </row>
    <row r="120">
      <c r="A120" s="402">
        <f t="array" ref="A120">INDIRECT("Tableau!$A$120")</f>
        <v>349</v>
      </c>
      <c r="B120" s="398" t="s">
        <v>453</v>
      </c>
      <c r="C120" s="399" t="str">
        <f t="array" ref="C120">INDIRECT("Tableau!$E$120")</f>
        <v>Batimoi</v>
      </c>
      <c r="D120" s="400" t="str">
        <f t="shared" si="1"/>
        <v>IN</v>
      </c>
      <c r="E120" s="401" t="str">
        <f t="array" ref="E120">INDIRECT("Tableau!$F$120")</f>
        <v/>
      </c>
    </row>
    <row r="121">
      <c r="A121" s="402">
        <f t="array" ref="A121">INDIRECT("Tableau!$A$121")</f>
        <v>350</v>
      </c>
      <c r="B121" s="398" t="s">
        <v>453</v>
      </c>
      <c r="C121" s="399" t="str">
        <f t="array" ref="C121">INDIRECT("Tableau!$E$121")</f>
        <v>Batimoi</v>
      </c>
      <c r="D121" s="400" t="str">
        <f t="shared" si="1"/>
        <v>IN</v>
      </c>
      <c r="E121" s="401" t="str">
        <f t="array" ref="E121">INDIRECT("Tableau!$F$121")</f>
        <v/>
      </c>
    </row>
    <row r="122">
      <c r="A122" s="402">
        <f t="array" ref="A122">INDIRECT("Tableau!$A$122")</f>
        <v>351</v>
      </c>
      <c r="B122" s="398" t="s">
        <v>453</v>
      </c>
      <c r="C122" s="399" t="str">
        <f t="array" ref="C122">INDIRECT("Tableau!$E$122")</f>
        <v>Batimoi</v>
      </c>
      <c r="D122" s="400" t="str">
        <f t="shared" si="1"/>
        <v>IN</v>
      </c>
      <c r="E122" s="401" t="str">
        <f t="array" ref="E122">INDIRECT("Tableau!$F$122")</f>
        <v/>
      </c>
    </row>
    <row r="123">
      <c r="A123" s="402">
        <f t="array" ref="A123">INDIRECT("Tableau!$A$123")</f>
        <v>352</v>
      </c>
      <c r="B123" s="398" t="s">
        <v>453</v>
      </c>
      <c r="C123" s="399" t="str">
        <f t="array" ref="C123">INDIRECT("Tableau!$E$123")</f>
        <v/>
      </c>
      <c r="D123" s="400" t="str">
        <f t="shared" si="1"/>
        <v>IN</v>
      </c>
      <c r="E123" s="401" t="str">
        <f t="array" ref="E123">INDIRECT("Tableau!$F$123")</f>
        <v>Batimoi</v>
      </c>
    </row>
    <row r="124">
      <c r="A124" s="402">
        <f t="array" ref="A124">INDIRECT("Tableau!$A$124")</f>
        <v>353</v>
      </c>
      <c r="B124" s="398" t="s">
        <v>453</v>
      </c>
      <c r="C124" s="400" t="str">
        <f t="array" ref="C124">INDIRECT("Tableau!$E$124")</f>
        <v/>
      </c>
      <c r="D124" s="400" t="str">
        <f t="shared" si="1"/>
        <v>IN</v>
      </c>
      <c r="E124" s="403" t="str">
        <f t="array" ref="E124">INDIRECT("Tableau!$F$124")</f>
        <v/>
      </c>
    </row>
    <row r="125">
      <c r="A125" s="397" t="str">
        <f t="array" ref="A125">INDIRECT("Tableau!$A$125")</f>
        <v/>
      </c>
      <c r="B125" s="398" t="s">
        <v>453</v>
      </c>
      <c r="C125" s="399" t="str">
        <f t="array" ref="C125">INDIRECT("Tableau!$E$125")</f>
        <v/>
      </c>
      <c r="D125" s="400" t="str">
        <f t="shared" si="1"/>
        <v>IN</v>
      </c>
      <c r="E125" s="401" t="str">
        <f t="array" ref="E125">INDIRECT("Tableau!$F$125")</f>
        <v/>
      </c>
    </row>
    <row r="126">
      <c r="A126" s="402">
        <f t="array" ref="A126">INDIRECT("Tableau!$A$126")</f>
        <v>354</v>
      </c>
      <c r="B126" s="398" t="s">
        <v>453</v>
      </c>
      <c r="C126" s="400" t="str">
        <f t="array" ref="C126">INDIRECT("Tableau!$E$126")</f>
        <v/>
      </c>
      <c r="D126" s="400" t="str">
        <f t="shared" si="1"/>
        <v>IN</v>
      </c>
      <c r="E126" s="401" t="str">
        <f t="array" ref="E126">INDIRECT("Tableau!$F$126")</f>
        <v/>
      </c>
    </row>
    <row r="127">
      <c r="A127" s="404">
        <f t="array" ref="A127">INDIRECT("Tableau!$A$127")</f>
        <v>355</v>
      </c>
      <c r="B127" s="398" t="s">
        <v>453</v>
      </c>
      <c r="C127" s="399" t="str">
        <f t="array" ref="C127">INDIRECT("Tableau!$E$127")</f>
        <v/>
      </c>
      <c r="D127" s="400" t="str">
        <f t="shared" si="1"/>
        <v>IN</v>
      </c>
      <c r="E127" s="401" t="str">
        <f t="array" ref="E127">INDIRECT("Tableau!$F$127")</f>
        <v/>
      </c>
    </row>
    <row r="128">
      <c r="A128" s="404">
        <f t="array" ref="A128">INDIRECT("Tableau!$A$128")</f>
        <v>356</v>
      </c>
      <c r="B128" s="398" t="s">
        <v>453</v>
      </c>
      <c r="C128" s="399" t="str">
        <f t="array" ref="C128">INDIRECT("Tableau!$E$128")</f>
        <v/>
      </c>
      <c r="D128" s="400" t="str">
        <f t="shared" si="1"/>
        <v>IN</v>
      </c>
      <c r="E128" s="401" t="str">
        <f t="array" ref="E128">INDIRECT("Tableau!$F$128")</f>
        <v/>
      </c>
    </row>
    <row r="129">
      <c r="A129" s="404">
        <f t="array" ref="A129">INDIRECT("Tableau!$A$129")</f>
        <v>357</v>
      </c>
      <c r="B129" s="398" t="s">
        <v>453</v>
      </c>
      <c r="C129" s="399" t="str">
        <f t="array" ref="C129">INDIRECT("Tableau!$E$129")</f>
        <v>DEMA</v>
      </c>
      <c r="D129" s="400" t="str">
        <f t="shared" si="1"/>
        <v>IN</v>
      </c>
      <c r="E129" s="401" t="str">
        <f t="array" ref="E129">INDIRECT("Tableau!$F$129")</f>
        <v/>
      </c>
    </row>
    <row r="130">
      <c r="A130" s="405" t="str">
        <f t="array" ref="A130">INDIRECT("Tableau!$A$130")</f>
        <v/>
      </c>
      <c r="B130" s="398" t="s">
        <v>453</v>
      </c>
      <c r="C130" s="399" t="str">
        <f t="array" ref="C130">INDIRECT("Tableau!$E$130")</f>
        <v/>
      </c>
      <c r="D130" s="400" t="str">
        <f t="shared" si="1"/>
        <v>IN</v>
      </c>
      <c r="E130" s="401" t="str">
        <f t="array" ref="E130">INDIRECT("Tableau!$F$130")</f>
        <v/>
      </c>
    </row>
    <row r="131">
      <c r="A131" s="405" t="str">
        <f t="array" ref="A131">INDIRECT("Tableau!$A$131")</f>
        <v/>
      </c>
      <c r="B131" s="398" t="s">
        <v>453</v>
      </c>
      <c r="C131" s="399" t="str">
        <f t="array" ref="C131">INDIRECT("Tableau!$E$131")</f>
        <v/>
      </c>
      <c r="D131" s="400" t="str">
        <f t="shared" si="1"/>
        <v>IN</v>
      </c>
      <c r="E131" s="401" t="str">
        <f t="array" ref="E131">INDIRECT("Tableau!$F$131")</f>
        <v/>
      </c>
    </row>
    <row r="132">
      <c r="A132" s="405" t="str">
        <f t="array" ref="A132">INDIRECT("Tableau!$A$132")</f>
        <v/>
      </c>
      <c r="B132" s="398" t="s">
        <v>453</v>
      </c>
      <c r="C132" s="399" t="str">
        <f t="array" ref="C132">INDIRECT("Tableau!$E$132")</f>
        <v/>
      </c>
      <c r="D132" s="400" t="str">
        <f t="shared" si="1"/>
        <v>IN</v>
      </c>
      <c r="E132" s="401" t="str">
        <f t="array" ref="E132">INDIRECT("Tableau!$F$132")</f>
        <v/>
      </c>
    </row>
    <row r="133">
      <c r="A133" s="405" t="str">
        <f t="array" ref="A133">INDIRECT("Tableau!$A$133")</f>
        <v/>
      </c>
      <c r="B133" s="398" t="s">
        <v>453</v>
      </c>
      <c r="C133" s="399" t="str">
        <f t="array" ref="C133">INDIRECT("Tableau!$E$133")</f>
        <v/>
      </c>
      <c r="D133" s="400" t="str">
        <f t="shared" si="1"/>
        <v>IN</v>
      </c>
      <c r="E133" s="401" t="str">
        <f t="array" ref="E133">INDIRECT("Tableau!$F$133")</f>
        <v/>
      </c>
    </row>
    <row r="134">
      <c r="A134" s="405" t="str">
        <f t="array" ref="A134">INDIRECT("Tableau!$A$134")</f>
        <v/>
      </c>
      <c r="B134" s="398" t="s">
        <v>453</v>
      </c>
      <c r="C134" s="399" t="str">
        <f t="array" ref="C134">INDIRECT("Tableau!$E$134")</f>
        <v/>
      </c>
      <c r="D134" s="400" t="str">
        <f t="shared" si="1"/>
        <v>IN</v>
      </c>
      <c r="E134" s="401" t="str">
        <f t="array" ref="E134">INDIRECT("Tableau!$F$134")</f>
        <v/>
      </c>
    </row>
    <row r="135">
      <c r="A135" s="402">
        <f t="array" ref="A135">INDIRECT("Tableau!$A$135")</f>
        <v>401</v>
      </c>
      <c r="B135" s="398" t="s">
        <v>453</v>
      </c>
      <c r="C135" s="399" t="str">
        <f t="array" ref="C135">INDIRECT("Tableau!$E$135")</f>
        <v>Carbelle</v>
      </c>
      <c r="D135" s="400" t="str">
        <f t="shared" si="1"/>
        <v>IN</v>
      </c>
      <c r="E135" s="401" t="str">
        <f t="array" ref="E135">INDIRECT("Tableau!$F$135")</f>
        <v/>
      </c>
    </row>
    <row r="136">
      <c r="A136" s="402">
        <f t="array" ref="A136">INDIRECT("Tableau!$A$136")</f>
        <v>402</v>
      </c>
      <c r="B136" s="398" t="s">
        <v>453</v>
      </c>
      <c r="C136" s="400" t="str">
        <f t="array" ref="C136">INDIRECT("Tableau!$E$136")</f>
        <v>Immo Toma </v>
      </c>
      <c r="D136" s="400" t="str">
        <f t="shared" si="1"/>
        <v>IN</v>
      </c>
      <c r="E136" s="403" t="str">
        <f t="array" ref="E136">INDIRECT("Tableau!$F$136")</f>
        <v/>
      </c>
    </row>
    <row r="137">
      <c r="A137" s="402">
        <f t="array" ref="A137">INDIRECT("Tableau!$A$137")</f>
        <v>403</v>
      </c>
      <c r="B137" s="398" t="s">
        <v>453</v>
      </c>
      <c r="C137" s="399" t="str">
        <f t="array" ref="C137">INDIRECT("Tableau!$E$137")</f>
        <v>Carbelle</v>
      </c>
      <c r="D137" s="400" t="str">
        <f t="shared" si="1"/>
        <v>IN</v>
      </c>
      <c r="E137" s="401" t="str">
        <f t="array" ref="E137">INDIRECT("Tableau!$F$137")</f>
        <v/>
      </c>
    </row>
    <row r="138">
      <c r="A138" s="402">
        <f t="array" ref="A138">INDIRECT("Tableau!$A$138")</f>
        <v>404</v>
      </c>
      <c r="B138" s="398" t="s">
        <v>453</v>
      </c>
      <c r="C138" s="399" t="str">
        <f t="array" ref="C138">INDIRECT("Tableau!$E$138")</f>
        <v>Carbelle</v>
      </c>
      <c r="D138" s="400" t="str">
        <f t="shared" si="1"/>
        <v>IN</v>
      </c>
      <c r="E138" s="401" t="str">
        <f t="array" ref="E138">INDIRECT("Tableau!$F$138")</f>
        <v/>
      </c>
    </row>
    <row r="139">
      <c r="A139" s="402">
        <f t="array" ref="A139">INDIRECT("Tableau!$A$139")</f>
        <v>405</v>
      </c>
      <c r="B139" s="398" t="s">
        <v>453</v>
      </c>
      <c r="C139" s="399" t="str">
        <f t="array" ref="C139">INDIRECT("Tableau!$E$139")</f>
        <v>DEMA</v>
      </c>
      <c r="D139" s="400" t="str">
        <f t="shared" si="1"/>
        <v>IN</v>
      </c>
      <c r="E139" s="401" t="str">
        <f t="array" ref="E139">INDIRECT("Tableau!$F$139")</f>
        <v/>
      </c>
    </row>
    <row r="140">
      <c r="A140" s="402">
        <f t="array" ref="A140">INDIRECT("Tableau!$A$140")</f>
        <v>406</v>
      </c>
      <c r="B140" s="398" t="s">
        <v>453</v>
      </c>
      <c r="C140" s="399" t="str">
        <f t="array" ref="C140">INDIRECT("Tableau!$E$140")</f>
        <v/>
      </c>
      <c r="D140" s="400" t="str">
        <f t="shared" si="1"/>
        <v>IN</v>
      </c>
      <c r="E140" s="401" t="str">
        <f t="array" ref="E140">INDIRECT("Tableau!$F$140")</f>
        <v/>
      </c>
    </row>
    <row r="141">
      <c r="A141" s="404">
        <f t="array" ref="A141">INDIRECT("Tableau!$A$141")</f>
        <v>407</v>
      </c>
      <c r="B141" s="398" t="s">
        <v>453</v>
      </c>
      <c r="C141" s="399" t="str">
        <f t="array" ref="C141">INDIRECT("Tableau!$E$141")</f>
        <v>Carbelle</v>
      </c>
      <c r="D141" s="400" t="str">
        <f t="shared" si="1"/>
        <v>IN</v>
      </c>
      <c r="E141" s="401" t="str">
        <f t="array" ref="E141">INDIRECT("Tableau!$F$141")</f>
        <v/>
      </c>
    </row>
    <row r="142">
      <c r="A142" s="404">
        <f t="array" ref="A142">INDIRECT("Tableau!$A$142")</f>
        <v>408</v>
      </c>
      <c r="B142" s="398" t="s">
        <v>453</v>
      </c>
      <c r="C142" s="399" t="str">
        <f t="array" ref="C142">INDIRECT("Tableau!$E$142")</f>
        <v>Carbelle</v>
      </c>
      <c r="D142" s="400" t="str">
        <f t="shared" si="1"/>
        <v>IN</v>
      </c>
      <c r="E142" s="401" t="str">
        <f t="array" ref="E142">INDIRECT("Tableau!$F$142")</f>
        <v/>
      </c>
    </row>
    <row r="143">
      <c r="A143" s="404">
        <f t="array" ref="A143">INDIRECT("Tableau!$A$143")</f>
        <v>409</v>
      </c>
      <c r="B143" s="398" t="s">
        <v>453</v>
      </c>
      <c r="C143" s="399" t="str">
        <f t="array" ref="C143">INDIRECT("Tableau!$E$143")</f>
        <v/>
      </c>
      <c r="D143" s="400" t="str">
        <f t="shared" si="1"/>
        <v>IN</v>
      </c>
      <c r="E143" s="401" t="str">
        <f t="array" ref="E143">INDIRECT("Tableau!$F$143")</f>
        <v/>
      </c>
    </row>
    <row r="144">
      <c r="A144" s="405">
        <f t="array" ref="A144">INDIRECT("Tableau!$A$144")</f>
        <v>415</v>
      </c>
      <c r="B144" s="398" t="s">
        <v>453</v>
      </c>
      <c r="C144" s="399" t="str">
        <f t="array" ref="C144">INDIRECT("Tableau!$E$144")</f>
        <v>Carbelle</v>
      </c>
      <c r="D144" s="400" t="str">
        <f t="shared" si="1"/>
        <v>IN</v>
      </c>
      <c r="E144" s="401" t="str">
        <f t="array" ref="E144">INDIRECT("Tableau!$F$144")</f>
        <v/>
      </c>
    </row>
    <row r="145">
      <c r="A145" s="405" t="str">
        <f t="array" ref="A145">INDIRECT("Tableau!$A$145")</f>
        <v/>
      </c>
      <c r="B145" s="398" t="s">
        <v>453</v>
      </c>
      <c r="C145" s="399" t="str">
        <f t="array" ref="C145">INDIRECT("Tableau!$E$145")</f>
        <v/>
      </c>
      <c r="D145" s="400" t="str">
        <f t="shared" si="1"/>
        <v>IN</v>
      </c>
      <c r="E145" s="401" t="str">
        <f t="array" ref="E145">INDIRECT("Tableau!$F$145")</f>
        <v/>
      </c>
    </row>
    <row r="146">
      <c r="A146" s="405" t="str">
        <f t="array" ref="A146">INDIRECT("Tableau!$A$146")</f>
        <v/>
      </c>
      <c r="B146" s="398" t="s">
        <v>453</v>
      </c>
      <c r="C146" s="399" t="str">
        <f t="array" ref="C146">INDIRECT("Tableau!$E$146")</f>
        <v/>
      </c>
      <c r="D146" s="400" t="str">
        <f t="shared" si="1"/>
        <v>IN</v>
      </c>
      <c r="E146" s="401" t="str">
        <f t="array" ref="E146">INDIRECT("Tableau!$F$146")</f>
        <v/>
      </c>
    </row>
    <row r="147">
      <c r="A147" s="405" t="str">
        <f t="array" ref="A147">INDIRECT("Tableau!$A$147")</f>
        <v/>
      </c>
      <c r="B147" s="398" t="s">
        <v>453</v>
      </c>
      <c r="C147" s="399" t="str">
        <f t="array" ref="C147">INDIRECT("Tableau!$E$147")</f>
        <v/>
      </c>
      <c r="D147" s="400" t="str">
        <f t="shared" si="1"/>
        <v>IN</v>
      </c>
      <c r="E147" s="401" t="str">
        <f t="array" ref="E147">INDIRECT("Tableau!$F$147")</f>
        <v/>
      </c>
    </row>
    <row r="148">
      <c r="A148" s="405" t="str">
        <f t="array" ref="A148">INDIRECT("Tableau!$A$148")</f>
        <v/>
      </c>
      <c r="B148" s="398" t="s">
        <v>453</v>
      </c>
      <c r="C148" s="399" t="str">
        <f t="array" ref="C148">INDIRECT("Tableau!$E$148")</f>
        <v/>
      </c>
      <c r="D148" s="400" t="str">
        <f t="shared" si="1"/>
        <v>IN</v>
      </c>
      <c r="E148" s="401" t="str">
        <f t="array" ref="E148">INDIRECT("Tableau!$F$148")</f>
        <v/>
      </c>
    </row>
    <row r="149">
      <c r="A149" s="405" t="str">
        <f t="array" ref="A149">INDIRECT("Tableau!$A$149")</f>
        <v/>
      </c>
      <c r="B149" s="398" t="s">
        <v>453</v>
      </c>
      <c r="C149" s="399" t="str">
        <f t="array" ref="C149">INDIRECT("Tableau!$E$149")</f>
        <v/>
      </c>
      <c r="D149" s="400" t="str">
        <f t="shared" si="1"/>
        <v>IN</v>
      </c>
      <c r="E149" s="401" t="str">
        <f t="array" ref="E149">INDIRECT("Tableau!$F$149")</f>
        <v/>
      </c>
    </row>
    <row r="150">
      <c r="A150" s="405" t="str">
        <f t="array" ref="A150">INDIRECT("Tableau!$A$150")</f>
        <v/>
      </c>
      <c r="B150" s="398" t="s">
        <v>453</v>
      </c>
      <c r="C150" s="399" t="str">
        <f t="array" ref="C150">INDIRECT("Tableau!$E$150")</f>
        <v/>
      </c>
      <c r="D150" s="400" t="str">
        <f t="shared" si="1"/>
        <v>IN</v>
      </c>
      <c r="E150" s="401" t="str">
        <f t="array" ref="E150">INDIRECT("Tableau!$F$150")</f>
        <v/>
      </c>
    </row>
    <row r="151">
      <c r="A151" s="405" t="str">
        <f t="array" ref="A151">INDIRECT("Tableau!$A$151")</f>
        <v/>
      </c>
      <c r="B151" s="398" t="s">
        <v>453</v>
      </c>
      <c r="C151" s="399" t="str">
        <f t="array" ref="C151">INDIRECT("Tableau!$E$151")</f>
        <v/>
      </c>
      <c r="D151" s="400" t="str">
        <f t="shared" si="1"/>
        <v>IN</v>
      </c>
      <c r="E151" s="401" t="str">
        <f t="array" ref="E151">INDIRECT("Tableau!$F$151")</f>
        <v/>
      </c>
    </row>
    <row r="152">
      <c r="A152" s="405" t="str">
        <f t="array" ref="A152">INDIRECT("Tableau!$A$152")</f>
        <v/>
      </c>
      <c r="B152" s="398" t="s">
        <v>453</v>
      </c>
      <c r="C152" s="399" t="str">
        <f t="array" ref="C152">INDIRECT("Tableau!$E$152")</f>
        <v/>
      </c>
      <c r="D152" s="400" t="str">
        <f t="shared" si="1"/>
        <v>IN</v>
      </c>
      <c r="E152" s="401" t="str">
        <f t="array" ref="E152">INDIRECT("Tableau!$F$152")</f>
        <v/>
      </c>
    </row>
    <row r="153">
      <c r="A153" s="405" t="str">
        <f t="array" ref="A153">INDIRECT("Tableau!$A$153")</f>
        <v/>
      </c>
      <c r="B153" s="398" t="s">
        <v>453</v>
      </c>
      <c r="C153" s="399" t="str">
        <f t="array" ref="C153">INDIRECT("Tableau!$E$153")</f>
        <v/>
      </c>
      <c r="D153" s="400" t="str">
        <f t="shared" si="1"/>
        <v>IN</v>
      </c>
      <c r="E153" s="401" t="str">
        <f t="array" ref="E153">INDIRECT("Tableau!$F$153")</f>
        <v/>
      </c>
    </row>
    <row r="154">
      <c r="A154" s="402">
        <f t="array" ref="A154">INDIRECT("Tableau!$A$154")</f>
        <v>501</v>
      </c>
      <c r="B154" s="398" t="s">
        <v>453</v>
      </c>
      <c r="C154" s="399" t="str">
        <f t="array" ref="C154">INDIRECT("Tableau!$E$154")</f>
        <v/>
      </c>
      <c r="D154" s="400" t="str">
        <f t="shared" si="1"/>
        <v>IN</v>
      </c>
      <c r="E154" s="401" t="str">
        <f t="array" ref="E154">INDIRECT("Tableau!$F$154")</f>
        <v/>
      </c>
    </row>
    <row r="155">
      <c r="A155" s="402">
        <f t="array" ref="A155">INDIRECT("Tableau!$A$155")</f>
        <v>502</v>
      </c>
      <c r="B155" s="398" t="s">
        <v>453</v>
      </c>
      <c r="C155" s="400" t="str">
        <f t="array" ref="C155">INDIRECT("Tableau!$E$155")</f>
        <v>DPS</v>
      </c>
      <c r="D155" s="400" t="str">
        <f t="shared" si="1"/>
        <v>IN</v>
      </c>
      <c r="E155" s="401" t="str">
        <f t="array" ref="E155">INDIRECT("Tableau!$F$155")</f>
        <v/>
      </c>
    </row>
    <row r="156">
      <c r="A156" s="397" t="str">
        <f t="array" ref="A156">INDIRECT("Tableau!$A$156")</f>
        <v/>
      </c>
      <c r="B156" s="398" t="s">
        <v>453</v>
      </c>
      <c r="C156" s="400" t="str">
        <f t="array" ref="C156">INDIRECT("Tableau!$E$156")</f>
        <v>DPS</v>
      </c>
      <c r="D156" s="400" t="str">
        <f t="shared" si="1"/>
        <v>IN</v>
      </c>
      <c r="E156" s="401" t="str">
        <f t="array" ref="E156">INDIRECT("Tableau!$F$156")</f>
        <v/>
      </c>
    </row>
    <row r="157">
      <c r="A157" s="397" t="str">
        <f t="array" ref="A157">INDIRECT("Tableau!$A$157")</f>
        <v/>
      </c>
      <c r="B157" s="398" t="s">
        <v>453</v>
      </c>
      <c r="C157" s="399" t="str">
        <f t="array" ref="C157">INDIRECT("Tableau!$E$157")</f>
        <v>DPS</v>
      </c>
      <c r="D157" s="400" t="str">
        <f t="shared" si="1"/>
        <v>IN</v>
      </c>
      <c r="E157" s="401" t="str">
        <f t="array" ref="E157">INDIRECT("Tableau!$F$157")</f>
        <v/>
      </c>
    </row>
    <row r="158">
      <c r="A158" s="402">
        <f t="array" ref="A158">INDIRECT("Tableau!$A$158")</f>
        <v>505</v>
      </c>
      <c r="B158" s="398" t="s">
        <v>453</v>
      </c>
      <c r="C158" s="400" t="str">
        <f t="array" ref="C158">INDIRECT("Tableau!$E$158")</f>
        <v>DPS</v>
      </c>
      <c r="D158" s="400" t="str">
        <f t="shared" si="1"/>
        <v>IN</v>
      </c>
      <c r="E158" s="401" t="str">
        <f t="array" ref="E158">INDIRECT("Tableau!$F$158")</f>
        <v/>
      </c>
    </row>
    <row r="159">
      <c r="A159" s="402">
        <f t="array" ref="A159">INDIRECT("Tableau!$A$159")</f>
        <v>506</v>
      </c>
      <c r="B159" s="398" t="s">
        <v>453</v>
      </c>
      <c r="C159" s="399" t="str">
        <f t="array" ref="C159">INDIRECT("Tableau!$E$159")</f>
        <v/>
      </c>
      <c r="D159" s="400" t="str">
        <f t="shared" si="1"/>
        <v>IN</v>
      </c>
      <c r="E159" s="401" t="str">
        <f t="array" ref="E159">INDIRECT("Tableau!$F$159")</f>
        <v/>
      </c>
    </row>
    <row r="160">
      <c r="A160" s="402">
        <f t="array" ref="A160">INDIRECT("Tableau!$A$160")</f>
        <v>507</v>
      </c>
      <c r="B160" s="398" t="s">
        <v>453</v>
      </c>
      <c r="C160" s="400" t="str">
        <f t="array" ref="C160">INDIRECT("Tableau!$E$160")</f>
        <v>DPS</v>
      </c>
      <c r="D160" s="400" t="str">
        <f t="shared" si="1"/>
        <v>IN</v>
      </c>
      <c r="E160" s="401" t="str">
        <f t="array" ref="E160">INDIRECT("Tableau!$F$160")</f>
        <v/>
      </c>
    </row>
    <row r="161">
      <c r="A161" s="402">
        <f t="array" ref="A161">INDIRECT("Tableau!$A$161")</f>
        <v>508</v>
      </c>
      <c r="B161" s="398" t="s">
        <v>453</v>
      </c>
      <c r="C161" s="399" t="str">
        <f t="array" ref="C161">INDIRECT("Tableau!$E$161")</f>
        <v/>
      </c>
      <c r="D161" s="400" t="str">
        <f t="shared" si="1"/>
        <v>IN</v>
      </c>
      <c r="E161" s="401" t="str">
        <f t="array" ref="E161">INDIRECT("Tableau!$F$161")</f>
        <v/>
      </c>
    </row>
    <row r="162">
      <c r="A162" s="402">
        <f t="array" ref="A162">INDIRECT("Tableau!$A$162")</f>
        <v>509</v>
      </c>
      <c r="B162" s="398" t="s">
        <v>453</v>
      </c>
      <c r="C162" s="399" t="str">
        <f t="array" ref="C162">INDIRECT("Tableau!$E$162")</f>
        <v/>
      </c>
      <c r="D162" s="400" t="str">
        <f t="shared" si="1"/>
        <v>IN</v>
      </c>
      <c r="E162" s="401" t="str">
        <f t="array" ref="E162">INDIRECT("Tableau!$F$162")</f>
        <v/>
      </c>
    </row>
    <row r="163">
      <c r="A163" s="397">
        <f t="array" ref="A163">INDIRECT("Tableau!$A$163")</f>
        <v>510</v>
      </c>
      <c r="B163" s="398" t="s">
        <v>453</v>
      </c>
      <c r="C163" s="400" t="str">
        <f t="array" ref="C163">INDIRECT("Tableau!$E$163")</f>
        <v>DPS</v>
      </c>
      <c r="D163" s="400" t="str">
        <f t="shared" si="1"/>
        <v>IN</v>
      </c>
      <c r="E163" s="401" t="str">
        <f t="array" ref="E163">INDIRECT("Tableau!$F$163")</f>
        <v/>
      </c>
    </row>
    <row r="164">
      <c r="A164" s="397" t="str">
        <f t="array" ref="A164">INDIRECT("Tableau!$A$164")</f>
        <v/>
      </c>
      <c r="B164" s="398" t="s">
        <v>453</v>
      </c>
      <c r="C164" s="399" t="str">
        <f t="array" ref="C164">INDIRECT("Tableau!$E$164")</f>
        <v/>
      </c>
      <c r="D164" s="400" t="str">
        <f t="shared" si="1"/>
        <v>IN</v>
      </c>
      <c r="E164" s="401" t="str">
        <f t="array" ref="E164">INDIRECT("Tableau!$F$164")</f>
        <v/>
      </c>
    </row>
    <row r="165">
      <c r="A165" s="397" t="str">
        <f t="array" ref="A165">INDIRECT("Tableau!$A$165")</f>
        <v/>
      </c>
      <c r="B165" s="398" t="s">
        <v>453</v>
      </c>
      <c r="C165" s="400" t="str">
        <f t="array" ref="C165">INDIRECT("Tableau!$E$165")</f>
        <v/>
      </c>
      <c r="D165" s="400" t="str">
        <f t="shared" si="1"/>
        <v>IN</v>
      </c>
      <c r="E165" s="401" t="str">
        <f t="array" ref="E165">INDIRECT("Tableau!$F$165")</f>
        <v/>
      </c>
    </row>
    <row r="166">
      <c r="A166" s="402">
        <f t="array" ref="A166">INDIRECT("Tableau!$A$166")</f>
        <v>527</v>
      </c>
      <c r="B166" s="398" t="s">
        <v>453</v>
      </c>
      <c r="C166" s="399" t="str">
        <f t="array" ref="C166">INDIRECT("Tableau!$E$166")</f>
        <v/>
      </c>
      <c r="D166" s="400" t="str">
        <f t="shared" si="1"/>
        <v>IN</v>
      </c>
      <c r="E166" s="401" t="str">
        <f t="array" ref="E166">INDIRECT("Tableau!$F$166")</f>
        <v/>
      </c>
    </row>
    <row r="167">
      <c r="A167" s="402">
        <f t="array" ref="A167">INDIRECT("Tableau!$A$167")</f>
        <v>512</v>
      </c>
      <c r="B167" s="398" t="s">
        <v>453</v>
      </c>
      <c r="C167" s="400" t="str">
        <f t="array" ref="C167">INDIRECT("Tableau!$E$167")</f>
        <v>DPS</v>
      </c>
      <c r="D167" s="400" t="str">
        <f t="shared" si="1"/>
        <v>IN</v>
      </c>
      <c r="E167" s="401" t="str">
        <f t="array" ref="E167">INDIRECT("Tableau!$F$167")</f>
        <v/>
      </c>
    </row>
    <row r="168">
      <c r="A168" s="402">
        <f t="array" ref="A168">INDIRECT("Tableau!$A$168")</f>
        <v>513</v>
      </c>
      <c r="B168" s="398" t="s">
        <v>453</v>
      </c>
      <c r="C168" s="399" t="str">
        <f t="array" ref="C168">INDIRECT("Tableau!$E$168")</f>
        <v/>
      </c>
      <c r="D168" s="400" t="str">
        <f t="shared" si="1"/>
        <v>IN</v>
      </c>
      <c r="E168" s="401" t="str">
        <f t="array" ref="E168">INDIRECT("Tableau!$F$168")</f>
        <v/>
      </c>
    </row>
    <row r="169">
      <c r="A169" s="402">
        <f t="array" ref="A169">INDIRECT("Tableau!$A$169")</f>
        <v>514</v>
      </c>
      <c r="B169" s="398" t="s">
        <v>453</v>
      </c>
      <c r="C169" s="400" t="str">
        <f t="array" ref="C169">INDIRECT("Tableau!$E$169")</f>
        <v/>
      </c>
      <c r="D169" s="400" t="str">
        <f t="shared" si="1"/>
        <v>IN</v>
      </c>
      <c r="E169" s="401" t="str">
        <f t="array" ref="E169">INDIRECT("Tableau!$F$169")</f>
        <v/>
      </c>
    </row>
    <row r="170">
      <c r="A170" s="402">
        <f t="array" ref="A170">INDIRECT("Tableau!$A$170")</f>
        <v>515</v>
      </c>
      <c r="B170" s="398" t="s">
        <v>453</v>
      </c>
      <c r="C170" s="399" t="str">
        <f t="array" ref="C170">INDIRECT("Tableau!$E$170")</f>
        <v/>
      </c>
      <c r="D170" s="400" t="str">
        <f t="shared" si="1"/>
        <v>IN</v>
      </c>
      <c r="E170" s="401" t="str">
        <f t="array" ref="E170">INDIRECT("Tableau!$F$170")</f>
        <v/>
      </c>
    </row>
    <row r="171">
      <c r="A171" s="402">
        <f t="array" ref="A171">INDIRECT("Tableau!$A$171")</f>
        <v>517</v>
      </c>
      <c r="B171" s="398" t="s">
        <v>453</v>
      </c>
      <c r="C171" s="399" t="str">
        <f t="array" ref="C171">INDIRECT("Tableau!$E$171")</f>
        <v/>
      </c>
      <c r="D171" s="400" t="str">
        <f t="shared" si="1"/>
        <v>IN</v>
      </c>
      <c r="E171" s="401" t="str">
        <f t="array" ref="E171">INDIRECT("Tableau!$F$171")</f>
        <v/>
      </c>
    </row>
    <row r="172">
      <c r="A172" s="402">
        <f t="array" ref="A172">INDIRECT("Tableau!$A$172")</f>
        <v>518</v>
      </c>
      <c r="B172" s="398" t="s">
        <v>453</v>
      </c>
      <c r="C172" s="399" t="str">
        <f t="array" ref="C172">INDIRECT("Tableau!$E$172")</f>
        <v/>
      </c>
      <c r="D172" s="400" t="str">
        <f t="shared" si="1"/>
        <v>IN</v>
      </c>
      <c r="E172" s="401" t="str">
        <f t="array" ref="E172">INDIRECT("Tableau!$F$172")</f>
        <v/>
      </c>
    </row>
    <row r="173">
      <c r="A173" s="397" t="str">
        <f t="array" ref="A173">INDIRECT("Tableau!$A$173")</f>
        <v/>
      </c>
      <c r="B173" s="398" t="s">
        <v>453</v>
      </c>
      <c r="C173" s="400" t="str">
        <f t="array" ref="C173">INDIRECT("Tableau!$E$173")</f>
        <v/>
      </c>
      <c r="D173" s="400" t="str">
        <f t="shared" si="1"/>
        <v>IN</v>
      </c>
      <c r="E173" s="401" t="str">
        <f t="array" ref="E173">INDIRECT("Tableau!$F$173")</f>
        <v/>
      </c>
    </row>
    <row r="174">
      <c r="A174" s="402">
        <f t="array" ref="A174">INDIRECT("Tableau!$A$174")</f>
        <v>520</v>
      </c>
      <c r="B174" s="398" t="s">
        <v>453</v>
      </c>
      <c r="C174" s="399" t="str">
        <f t="array" ref="C174">INDIRECT("Tableau!$E$174")</f>
        <v/>
      </c>
      <c r="D174" s="400" t="str">
        <f t="shared" si="1"/>
        <v>IN</v>
      </c>
      <c r="E174" s="401" t="str">
        <f t="array" ref="E174">INDIRECT("Tableau!$F$174")</f>
        <v/>
      </c>
    </row>
    <row r="175">
      <c r="A175" s="402">
        <f t="array" ref="A175">INDIRECT("Tableau!$A$175")</f>
        <v>521</v>
      </c>
      <c r="B175" s="398" t="s">
        <v>453</v>
      </c>
      <c r="C175" s="400" t="str">
        <f t="array" ref="C175">INDIRECT("Tableau!$E$175")</f>
        <v/>
      </c>
      <c r="D175" s="400" t="str">
        <f t="shared" si="1"/>
        <v>IN</v>
      </c>
      <c r="E175" s="401" t="str">
        <f t="array" ref="E175">INDIRECT("Tableau!$F$175")</f>
        <v/>
      </c>
    </row>
    <row r="176">
      <c r="A176" s="402">
        <f t="array" ref="A176">INDIRECT("Tableau!$A$176")</f>
        <v>525</v>
      </c>
      <c r="B176" s="398" t="s">
        <v>453</v>
      </c>
      <c r="C176" s="399" t="str">
        <f t="array" ref="C176">INDIRECT("Tableau!$E$176")</f>
        <v>DEMA</v>
      </c>
      <c r="D176" s="400" t="str">
        <f t="shared" si="1"/>
        <v>IN</v>
      </c>
      <c r="E176" s="401" t="str">
        <f t="array" ref="E176">INDIRECT("Tableau!$F$176")</f>
        <v>Soldes</v>
      </c>
    </row>
    <row r="177">
      <c r="A177" s="402">
        <f t="array" ref="A177">INDIRECT("Tableau!$A$177")</f>
        <v>530</v>
      </c>
      <c r="B177" s="398" t="s">
        <v>453</v>
      </c>
      <c r="C177" s="400" t="str">
        <f t="array" ref="C177">INDIRECT("Tableau!$E$177")</f>
        <v>DPS</v>
      </c>
      <c r="D177" s="400" t="str">
        <f t="shared" si="1"/>
        <v>IN</v>
      </c>
      <c r="E177" s="401" t="str">
        <f t="array" ref="E177">INDIRECT("Tableau!$F$177")</f>
        <v/>
      </c>
    </row>
    <row r="178">
      <c r="A178" s="397" t="str">
        <f t="array" ref="A178">INDIRECT("Tableau!$A$178")</f>
        <v/>
      </c>
      <c r="B178" s="398" t="s">
        <v>453</v>
      </c>
      <c r="C178" s="400" t="str">
        <f t="array" ref="C178">INDIRECT("Tableau!$E$178")</f>
        <v/>
      </c>
      <c r="D178" s="400" t="str">
        <f t="shared" si="1"/>
        <v>IN</v>
      </c>
      <c r="E178" s="401" t="str">
        <f t="array" ref="E178">INDIRECT("Tableau!$F$178")</f>
        <v/>
      </c>
    </row>
    <row r="179">
      <c r="A179" s="405" t="str">
        <f t="array" ref="A179">INDIRECT("Tableau!$A$179")</f>
        <v/>
      </c>
      <c r="B179" s="398" t="s">
        <v>453</v>
      </c>
      <c r="C179" s="399" t="str">
        <f t="array" ref="C179">INDIRECT("Tableau!$E$179")</f>
        <v/>
      </c>
      <c r="D179" s="400" t="str">
        <f t="shared" si="1"/>
        <v>IN</v>
      </c>
      <c r="E179" s="401" t="str">
        <f t="array" ref="E179">INDIRECT("Tableau!$F$179")</f>
        <v/>
      </c>
    </row>
    <row r="180">
      <c r="A180" s="405" t="str">
        <f t="array" ref="A180">INDIRECT("Tableau!$A$180")</f>
        <v/>
      </c>
      <c r="B180" s="398" t="s">
        <v>453</v>
      </c>
      <c r="C180" s="399" t="str">
        <f t="array" ref="C180">INDIRECT("Tableau!$E$180")</f>
        <v/>
      </c>
      <c r="D180" s="400" t="str">
        <f t="shared" si="1"/>
        <v>IN</v>
      </c>
      <c r="E180" s="401" t="str">
        <f t="array" ref="E180">INDIRECT("Tableau!$F$180")</f>
        <v/>
      </c>
    </row>
    <row r="181">
      <c r="A181" s="405" t="str">
        <f t="array" ref="A181">INDIRECT("Tableau!$A$181")</f>
        <v/>
      </c>
      <c r="B181" s="398" t="s">
        <v>453</v>
      </c>
      <c r="C181" s="399" t="str">
        <f t="array" ref="C181">INDIRECT("Tableau!$E$181")</f>
        <v/>
      </c>
      <c r="D181" s="400" t="str">
        <f t="shared" si="1"/>
        <v>IN</v>
      </c>
      <c r="E181" s="401" t="str">
        <f t="array" ref="E181">INDIRECT("Tableau!$F$181")</f>
        <v/>
      </c>
    </row>
    <row r="182">
      <c r="A182" s="405" t="str">
        <f t="array" ref="A182">INDIRECT("Tableau!$A$182")</f>
        <v/>
      </c>
      <c r="B182" s="398" t="s">
        <v>453</v>
      </c>
      <c r="C182" s="399" t="str">
        <f t="array" ref="C182">INDIRECT("Tableau!$E$182")</f>
        <v/>
      </c>
      <c r="D182" s="400" t="str">
        <f t="shared" si="1"/>
        <v>IN</v>
      </c>
      <c r="E182" s="401" t="str">
        <f t="array" ref="E182">INDIRECT("Tableau!$F$182")</f>
        <v/>
      </c>
    </row>
    <row r="183">
      <c r="A183" s="405" t="str">
        <f t="array" ref="A183">INDIRECT("Tableau!$A$183")</f>
        <v/>
      </c>
      <c r="B183" s="398" t="s">
        <v>453</v>
      </c>
      <c r="C183" s="399" t="str">
        <f t="array" ref="C183">INDIRECT("Tableau!$E$183")</f>
        <v/>
      </c>
      <c r="D183" s="400" t="str">
        <f t="shared" si="1"/>
        <v>IN</v>
      </c>
      <c r="E183" s="401" t="str">
        <f t="array" ref="E183">INDIRECT("Tableau!$F$183")</f>
        <v/>
      </c>
    </row>
    <row r="184">
      <c r="A184" s="405" t="str">
        <f t="array" ref="A184">INDIRECT("Tableau!$A$184")</f>
        <v/>
      </c>
      <c r="B184" s="398" t="s">
        <v>453</v>
      </c>
      <c r="C184" s="399" t="str">
        <f t="array" ref="C184">INDIRECT("Tableau!$E$184")</f>
        <v/>
      </c>
      <c r="D184" s="400" t="str">
        <f t="shared" si="1"/>
        <v>IN</v>
      </c>
      <c r="E184" s="401" t="str">
        <f t="array" ref="E184">INDIRECT("Tableau!$F$184")</f>
        <v/>
      </c>
    </row>
    <row r="185">
      <c r="A185" s="405" t="str">
        <f t="array" ref="A185">INDIRECT("Tableau!$A$185")</f>
        <v/>
      </c>
      <c r="B185" s="398" t="s">
        <v>453</v>
      </c>
      <c r="C185" s="399" t="str">
        <f t="array" ref="C185">INDIRECT("Tableau!$E$185")</f>
        <v/>
      </c>
      <c r="D185" s="400" t="str">
        <f t="shared" si="1"/>
        <v>IN</v>
      </c>
      <c r="E185" s="401" t="str">
        <f t="array" ref="E185">INDIRECT("Tableau!$F$185")</f>
        <v/>
      </c>
    </row>
    <row r="186">
      <c r="A186" s="405" t="str">
        <f t="array" ref="A186">INDIRECT("Tableau!$A$186")</f>
        <v/>
      </c>
      <c r="B186" s="398" t="s">
        <v>453</v>
      </c>
      <c r="C186" s="399" t="str">
        <f t="array" ref="C186">INDIRECT("Tableau!$E$186")</f>
        <v/>
      </c>
      <c r="D186" s="400" t="str">
        <f t="shared" si="1"/>
        <v>IN</v>
      </c>
      <c r="E186" s="401" t="str">
        <f t="array" ref="E186">INDIRECT("Tableau!$F$186")</f>
        <v/>
      </c>
    </row>
    <row r="187">
      <c r="A187" s="405" t="str">
        <f t="array" ref="A187">INDIRECT("Tableau!$A$187")</f>
        <v/>
      </c>
      <c r="B187" s="398" t="s">
        <v>453</v>
      </c>
      <c r="C187" s="399" t="str">
        <f t="array" ref="C187">INDIRECT("Tableau!$E$187")</f>
        <v/>
      </c>
      <c r="D187" s="400" t="str">
        <f t="shared" si="1"/>
        <v>IN</v>
      </c>
      <c r="E187" s="401" t="str">
        <f t="array" ref="E187">INDIRECT("Tableau!$F$187")</f>
        <v/>
      </c>
    </row>
    <row r="188">
      <c r="A188" s="405" t="str">
        <f t="array" ref="A188">INDIRECT("Tableau!$A$188")</f>
        <v/>
      </c>
      <c r="B188" s="398" t="s">
        <v>453</v>
      </c>
      <c r="C188" s="399" t="str">
        <f t="array" ref="C188">INDIRECT("Tableau!$E$188")</f>
        <v/>
      </c>
      <c r="D188" s="400" t="str">
        <f t="shared" si="1"/>
        <v>IN</v>
      </c>
      <c r="E188" s="401" t="str">
        <f t="array" ref="E188">INDIRECT("Tableau!$F$188")</f>
        <v/>
      </c>
    </row>
    <row r="189">
      <c r="A189" s="405" t="str">
        <f t="array" ref="A189">INDIRECT("Tableau!$A$189")</f>
        <v/>
      </c>
      <c r="B189" s="398" t="s">
        <v>453</v>
      </c>
      <c r="C189" s="399" t="str">
        <f t="array" ref="C189">INDIRECT("Tableau!$E$189")</f>
        <v/>
      </c>
      <c r="D189" s="400" t="str">
        <f t="shared" si="1"/>
        <v>IN</v>
      </c>
      <c r="E189" s="401" t="str">
        <f t="array" ref="E189">INDIRECT("Tableau!$F$189")</f>
        <v/>
      </c>
    </row>
    <row r="190">
      <c r="A190" s="405" t="str">
        <f t="array" ref="A190">INDIRECT("Tableau!$A$190")</f>
        <v/>
      </c>
      <c r="B190" s="398" t="s">
        <v>453</v>
      </c>
      <c r="C190" s="399" t="str">
        <f t="array" ref="C190">INDIRECT("Tableau!$E$190")</f>
        <v/>
      </c>
      <c r="D190" s="400" t="str">
        <f t="shared" si="1"/>
        <v>IN</v>
      </c>
      <c r="E190" s="401" t="str">
        <f t="array" ref="E190">INDIRECT("Tableau!$F$190")</f>
        <v/>
      </c>
    </row>
    <row r="191">
      <c r="A191" s="397" t="str">
        <f t="array" ref="A191">INDIRECT("Tableau!$A$2")</f>
        <v/>
      </c>
      <c r="B191" s="398" t="s">
        <v>453</v>
      </c>
      <c r="C191" s="399" t="str">
        <f t="array" ref="C191">INDIRECT("Tableau!$G$2")</f>
        <v/>
      </c>
      <c r="D191" s="400" t="str">
        <f t="shared" ref="D191:D379" si="3">INDIRECT("Tableau!$H$1")</f>
        <v>OUT</v>
      </c>
      <c r="E191" s="401" t="str">
        <f t="array" ref="E191">INDIRECT("Tableau!$H$2")</f>
        <v/>
      </c>
    </row>
    <row r="192">
      <c r="A192" s="402">
        <f t="array" ref="A192">INDIRECT("Tableau!$A$3")</f>
        <v>102</v>
      </c>
      <c r="B192" s="398" t="s">
        <v>453</v>
      </c>
      <c r="C192" s="400" t="str">
        <f t="array" ref="C192">INDIRECT("Tableau!$G$3")</f>
        <v>Usico</v>
      </c>
      <c r="D192" s="400" t="str">
        <f t="shared" si="3"/>
        <v>OUT</v>
      </c>
      <c r="E192" s="401" t="str">
        <f t="array" ref="E192">INDIRECT("Tableau!$H$3")</f>
        <v>Decorex</v>
      </c>
    </row>
    <row r="193">
      <c r="A193" s="397" t="str">
        <f t="array" ref="A193">INDIRECT("Tableau!$A$4")</f>
        <v/>
      </c>
      <c r="B193" s="398" t="s">
        <v>453</v>
      </c>
      <c r="C193" s="399" t="str">
        <f t="array" ref="C193">INDIRECT("Tableau!$G$4")</f>
        <v/>
      </c>
      <c r="D193" s="400" t="str">
        <f t="shared" si="3"/>
        <v>OUT</v>
      </c>
      <c r="E193" s="401" t="str">
        <f t="array" ref="E193">INDIRECT("Tableau!$H$4")</f>
        <v/>
      </c>
    </row>
    <row r="194">
      <c r="A194" s="402">
        <f t="array" ref="A194">INDIRECT("Tableau!$A$5")</f>
        <v>104</v>
      </c>
      <c r="B194" s="398" t="s">
        <v>453</v>
      </c>
      <c r="C194" s="399" t="str">
        <f t="array" ref="C194">INDIRECT("Tableau!$G$5")</f>
        <v>Schmidt cuisines- Wavre </v>
      </c>
      <c r="D194" s="400" t="str">
        <f t="shared" si="3"/>
        <v>OUT</v>
      </c>
      <c r="E194" s="401" t="str">
        <f t="array" ref="E194">INDIRECT("Tableau!$H$5")</f>
        <v/>
      </c>
    </row>
    <row r="195">
      <c r="A195" s="402">
        <f t="array" ref="A195">INDIRECT("Tableau!$A$6")</f>
        <v>105</v>
      </c>
      <c r="B195" s="398" t="s">
        <v>453</v>
      </c>
      <c r="C195" s="399" t="str">
        <f t="array" ref="C195">INDIRECT("Tableau!$G$6")</f>
        <v/>
      </c>
      <c r="D195" s="400" t="str">
        <f t="shared" si="3"/>
        <v>OUT</v>
      </c>
      <c r="E195" s="401" t="str">
        <f t="array" ref="E195">INDIRECT("Tableau!$H$6")</f>
        <v/>
      </c>
    </row>
    <row r="196">
      <c r="A196" s="402">
        <f t="array" ref="A196">INDIRECT("Tableau!$A$7")</f>
        <v>106</v>
      </c>
      <c r="B196" s="398" t="s">
        <v>453</v>
      </c>
      <c r="C196" s="399" t="str">
        <f t="array" ref="C196">INDIRECT("Tableau!$G$7")</f>
        <v>JDW</v>
      </c>
      <c r="D196" s="400" t="str">
        <f t="shared" si="3"/>
        <v>OUT</v>
      </c>
      <c r="E196" s="401" t="str">
        <f t="array" ref="E196">INDIRECT("Tableau!$H$7")</f>
        <v>opt</v>
      </c>
    </row>
    <row r="197">
      <c r="A197" s="402">
        <f t="array" ref="A197">INDIRECT("Tableau!$A$8")</f>
        <v>107</v>
      </c>
      <c r="B197" s="398" t="s">
        <v>453</v>
      </c>
      <c r="C197" s="399" t="str">
        <f t="array" ref="C197">INDIRECT("Tableau!$G$8")</f>
        <v/>
      </c>
      <c r="D197" s="400" t="str">
        <f t="shared" si="3"/>
        <v>OUT</v>
      </c>
      <c r="E197" s="401" t="str">
        <f t="array" ref="E197">INDIRECT("Tableau!$H$8")</f>
        <v/>
      </c>
    </row>
    <row r="198">
      <c r="A198" s="397">
        <f t="array" ref="A198">INDIRECT("Tableau!$A$9")</f>
        <v>108</v>
      </c>
      <c r="B198" s="398" t="s">
        <v>453</v>
      </c>
      <c r="C198" s="399" t="str">
        <f t="array" ref="C198">INDIRECT("Tableau!$G$9")</f>
        <v/>
      </c>
      <c r="D198" s="400" t="str">
        <f t="shared" si="3"/>
        <v>OUT</v>
      </c>
      <c r="E198" s="401" t="str">
        <f t="array" ref="E198">INDIRECT("Tableau!$H$9")</f>
        <v/>
      </c>
    </row>
    <row r="199">
      <c r="A199" s="402">
        <f t="array" ref="A199">INDIRECT("Tableau!$A$10")</f>
        <v>109</v>
      </c>
      <c r="B199" s="398" t="s">
        <v>453</v>
      </c>
      <c r="C199" s="399" t="str">
        <f t="array" ref="C199">INDIRECT("Tableau!$G$10")</f>
        <v/>
      </c>
      <c r="D199" s="400" t="str">
        <f t="shared" si="3"/>
        <v>OUT</v>
      </c>
      <c r="E199" s="401" t="str">
        <f t="array" ref="E199">INDIRECT("Tableau!$H$10")</f>
        <v/>
      </c>
    </row>
    <row r="200">
      <c r="A200" s="402">
        <f t="array" ref="A200">INDIRECT("Tableau!$A$11")</f>
        <v>110</v>
      </c>
      <c r="B200" s="398" t="s">
        <v>453</v>
      </c>
      <c r="C200" s="399" t="str">
        <f t="array" ref="C200">INDIRECT("Tableau!$G$11")</f>
        <v/>
      </c>
      <c r="D200" s="400" t="str">
        <f t="shared" si="3"/>
        <v>OUT</v>
      </c>
      <c r="E200" s="401" t="str">
        <f t="array" ref="E200">INDIRECT("Tableau!$H$11")</f>
        <v/>
      </c>
    </row>
    <row r="201">
      <c r="A201" s="402">
        <f t="array" ref="A201">INDIRECT("Tableau!$A$12")</f>
        <v>111</v>
      </c>
      <c r="B201" s="398" t="s">
        <v>453</v>
      </c>
      <c r="C201" s="399" t="str">
        <f t="array" ref="C201">INDIRECT("Tableau!$G$12")</f>
        <v/>
      </c>
      <c r="D201" s="400" t="str">
        <f t="shared" si="3"/>
        <v>OUT</v>
      </c>
      <c r="E201" s="401" t="str">
        <f t="array" ref="E201">INDIRECT("Tableau!$H$12")</f>
        <v/>
      </c>
    </row>
    <row r="202">
      <c r="A202" s="404">
        <f t="array" ref="A202">INDIRECT("Tableau!$A$13")</f>
        <v>112</v>
      </c>
      <c r="B202" s="398" t="s">
        <v>453</v>
      </c>
      <c r="C202" s="399" t="str">
        <f t="array" ref="C202">INDIRECT("Tableau!$G$13")</f>
        <v/>
      </c>
      <c r="D202" s="400" t="str">
        <f t="shared" si="3"/>
        <v>OUT</v>
      </c>
      <c r="E202" s="401" t="str">
        <f t="array" ref="E202">INDIRECT("Tableau!$H$13")</f>
        <v/>
      </c>
    </row>
    <row r="203">
      <c r="A203" s="404">
        <f t="array" ref="A203">INDIRECT("Tableau!$A$14")</f>
        <v>113</v>
      </c>
      <c r="B203" s="398" t="s">
        <v>453</v>
      </c>
      <c r="C203" s="399" t="str">
        <f t="array" ref="C203">INDIRECT("Tableau!$G$14")</f>
        <v/>
      </c>
      <c r="D203" s="400" t="str">
        <f t="shared" si="3"/>
        <v>OUT</v>
      </c>
      <c r="E203" s="401" t="str">
        <f t="array" ref="E203">INDIRECT("Tableau!$H$14")</f>
        <v/>
      </c>
    </row>
    <row r="204">
      <c r="A204" s="405">
        <f t="array" ref="A204">INDIRECT("Tableau!$A$15")</f>
        <v>114</v>
      </c>
      <c r="B204" s="398" t="s">
        <v>453</v>
      </c>
      <c r="C204" s="399" t="str">
        <f t="array" ref="C204">INDIRECT("Tableau!$G$15")</f>
        <v/>
      </c>
      <c r="D204" s="400" t="str">
        <f t="shared" si="3"/>
        <v>OUT</v>
      </c>
      <c r="E204" s="401" t="str">
        <f t="array" ref="E204">INDIRECT("Tableau!$H$15")</f>
        <v/>
      </c>
    </row>
    <row r="205">
      <c r="A205" s="405" t="str">
        <f t="array" ref="A205">INDIRECT("Tableau!$A$16")</f>
        <v/>
      </c>
      <c r="B205" s="398" t="s">
        <v>453</v>
      </c>
      <c r="C205" s="399" t="str">
        <f t="array" ref="C205">INDIRECT("Tableau!$G$16")</f>
        <v/>
      </c>
      <c r="D205" s="400" t="str">
        <f t="shared" si="3"/>
        <v>OUT</v>
      </c>
      <c r="E205" s="401" t="str">
        <f t="array" ref="E205">INDIRECT("Tableau!$H$16")</f>
        <v/>
      </c>
    </row>
    <row r="206">
      <c r="A206" s="405" t="str">
        <f t="array" ref="A206">INDIRECT("Tableau!$A$17")</f>
        <v/>
      </c>
      <c r="B206" s="398" t="s">
        <v>453</v>
      </c>
      <c r="C206" s="399" t="str">
        <f t="array" ref="C206">INDIRECT("Tableau!$G$17")</f>
        <v/>
      </c>
      <c r="D206" s="400" t="str">
        <f t="shared" si="3"/>
        <v>OUT</v>
      </c>
      <c r="E206" s="401" t="str">
        <f t="array" ref="E206">INDIRECT("Tableau!$H$17")</f>
        <v/>
      </c>
    </row>
    <row r="207">
      <c r="A207" s="405" t="str">
        <f t="array" ref="A207">INDIRECT("Tableau!$A$18")</f>
        <v/>
      </c>
      <c r="B207" s="398" t="s">
        <v>453</v>
      </c>
      <c r="C207" s="399" t="str">
        <f t="array" ref="C207">INDIRECT("Tableau!$G$18")</f>
        <v/>
      </c>
      <c r="D207" s="400" t="str">
        <f t="shared" si="3"/>
        <v>OUT</v>
      </c>
      <c r="E207" s="401" t="str">
        <f t="array" ref="E207">INDIRECT("Tableau!$H$18")</f>
        <v/>
      </c>
    </row>
    <row r="208">
      <c r="A208" s="405" t="str">
        <f t="array" ref="A208">INDIRECT("Tableau!$A$19")</f>
        <v/>
      </c>
      <c r="B208" s="398" t="s">
        <v>453</v>
      </c>
      <c r="C208" s="399" t="str">
        <f t="array" ref="C208">INDIRECT("Tableau!$G$19")</f>
        <v/>
      </c>
      <c r="D208" s="400" t="str">
        <f t="shared" si="3"/>
        <v>OUT</v>
      </c>
      <c r="E208" s="401" t="str">
        <f t="array" ref="E208">INDIRECT("Tableau!$H$19")</f>
        <v/>
      </c>
    </row>
    <row r="209">
      <c r="A209" s="405" t="str">
        <f t="array" ref="A209">INDIRECT("Tableau!$A$20")</f>
        <v/>
      </c>
      <c r="B209" s="398" t="s">
        <v>453</v>
      </c>
      <c r="C209" s="399" t="str">
        <f t="array" ref="C209">INDIRECT("Tableau!$G$20")</f>
        <v/>
      </c>
      <c r="D209" s="400" t="str">
        <f t="shared" si="3"/>
        <v>OUT</v>
      </c>
      <c r="E209" s="401" t="str">
        <f t="array" ref="E209">INDIRECT("Tableau!$H$20")</f>
        <v/>
      </c>
    </row>
    <row r="210">
      <c r="A210" s="405" t="str">
        <f t="array" ref="A210">INDIRECT("Tableau!$A$21")</f>
        <v/>
      </c>
      <c r="B210" s="398" t="s">
        <v>453</v>
      </c>
      <c r="C210" s="399" t="str">
        <f t="array" ref="C210">INDIRECT("Tableau!$G$21")</f>
        <v/>
      </c>
      <c r="D210" s="400" t="str">
        <f t="shared" si="3"/>
        <v>OUT</v>
      </c>
      <c r="E210" s="401" t="str">
        <f t="array" ref="E210">INDIRECT("Tableau!$H$21")</f>
        <v/>
      </c>
    </row>
    <row r="211">
      <c r="A211" s="405" t="str">
        <f t="array" ref="A211">INDIRECT("Tableau!$A$22")</f>
        <v/>
      </c>
      <c r="B211" s="398" t="s">
        <v>453</v>
      </c>
      <c r="C211" s="399" t="str">
        <f t="array" ref="C211">INDIRECT("Tableau!$G$22")</f>
        <v/>
      </c>
      <c r="D211" s="400" t="str">
        <f t="shared" si="3"/>
        <v>OUT</v>
      </c>
      <c r="E211" s="401" t="str">
        <f t="array" ref="E211">INDIRECT("Tableau!$H$22")</f>
        <v/>
      </c>
    </row>
    <row r="212">
      <c r="A212" s="405" t="str">
        <f t="array" ref="A212">INDIRECT("Tableau!$A$23")</f>
        <v/>
      </c>
      <c r="B212" s="398" t="s">
        <v>453</v>
      </c>
      <c r="C212" s="399" t="str">
        <f t="array" ref="C212">INDIRECT("Tableau!$G$23")</f>
        <v/>
      </c>
      <c r="D212" s="400" t="str">
        <f t="shared" si="3"/>
        <v>OUT</v>
      </c>
      <c r="E212" s="401" t="str">
        <f t="array" ref="E212">INDIRECT("Tableau!$H$23")</f>
        <v/>
      </c>
    </row>
    <row r="213">
      <c r="A213" s="405" t="str">
        <f t="array" ref="A213">INDIRECT("Tableau!$A$24")</f>
        <v/>
      </c>
      <c r="B213" s="398" t="s">
        <v>453</v>
      </c>
      <c r="C213" s="399" t="str">
        <f t="array" ref="C213">INDIRECT("Tableau!$G$24")</f>
        <v/>
      </c>
      <c r="D213" s="400" t="str">
        <f t="shared" si="3"/>
        <v>OUT</v>
      </c>
      <c r="E213" s="401" t="str">
        <f t="array" ref="E213">INDIRECT("Tableau!$H$24")</f>
        <v/>
      </c>
    </row>
    <row r="214">
      <c r="A214" s="405" t="str">
        <f t="array" ref="A214">INDIRECT("Tableau!$A$25")</f>
        <v/>
      </c>
      <c r="B214" s="398" t="s">
        <v>453</v>
      </c>
      <c r="C214" s="399" t="str">
        <f t="array" ref="C214">INDIRECT("Tableau!$G$25")</f>
        <v/>
      </c>
      <c r="D214" s="400" t="str">
        <f t="shared" si="3"/>
        <v>OUT</v>
      </c>
      <c r="E214" s="401" t="str">
        <f t="array" ref="E214">INDIRECT("Tableau!$H$25")</f>
        <v/>
      </c>
    </row>
    <row r="215">
      <c r="A215" s="402">
        <f t="array" ref="A215">INDIRECT("Tableau!$A$26")</f>
        <v>201</v>
      </c>
      <c r="B215" s="398" t="s">
        <v>453</v>
      </c>
      <c r="C215" s="399" t="str">
        <f t="array" ref="C215">INDIRECT("Tableau!$G$26")</f>
        <v/>
      </c>
      <c r="D215" s="400" t="str">
        <f t="shared" si="3"/>
        <v>OUT</v>
      </c>
      <c r="E215" s="401" t="str">
        <f t="array" ref="E215">INDIRECT("Tableau!$H$26")</f>
        <v/>
      </c>
    </row>
    <row r="216">
      <c r="A216" s="402">
        <f t="array" ref="A216">INDIRECT("Tableau!$A$27")</f>
        <v>202</v>
      </c>
      <c r="B216" s="398" t="s">
        <v>453</v>
      </c>
      <c r="C216" s="399" t="str">
        <f t="array" ref="C216">INDIRECT("Tableau!$G$27")</f>
        <v/>
      </c>
      <c r="D216" s="400" t="str">
        <f t="shared" si="3"/>
        <v>OUT</v>
      </c>
      <c r="E216" s="401" t="str">
        <f t="array" ref="E216">INDIRECT("Tableau!$H$27")</f>
        <v/>
      </c>
    </row>
    <row r="217">
      <c r="A217" s="402">
        <f t="array" ref="A217">INDIRECT("Tableau!$A$28")</f>
        <v>203</v>
      </c>
      <c r="B217" s="398" t="s">
        <v>453</v>
      </c>
      <c r="C217" s="399" t="str">
        <f t="array" ref="C217">INDIRECT("Tableau!$G$28")</f>
        <v/>
      </c>
      <c r="D217" s="400" t="str">
        <f t="shared" si="3"/>
        <v>OUT</v>
      </c>
      <c r="E217" s="401" t="str">
        <f t="array" ref="E217">INDIRECT("Tableau!$H$28")</f>
        <v/>
      </c>
    </row>
    <row r="218">
      <c r="A218" s="402">
        <f t="array" ref="A218">INDIRECT("Tableau!$A$29")</f>
        <v>204</v>
      </c>
      <c r="B218" s="398" t="s">
        <v>453</v>
      </c>
      <c r="C218" s="399" t="str">
        <f t="array" ref="C218">INDIRECT("Tableau!$G$29")</f>
        <v/>
      </c>
      <c r="D218" s="400" t="str">
        <f t="shared" si="3"/>
        <v>OUT</v>
      </c>
      <c r="E218" s="401" t="str">
        <f t="array" ref="E218">INDIRECT("Tableau!$H$29")</f>
        <v/>
      </c>
    </row>
    <row r="219">
      <c r="A219" s="402">
        <f t="array" ref="A219">INDIRECT("Tableau!$A$30")</f>
        <v>205</v>
      </c>
      <c r="B219" s="398" t="s">
        <v>453</v>
      </c>
      <c r="C219" s="399" t="str">
        <f t="array" ref="C219">INDIRECT("Tableau!$G$30")</f>
        <v/>
      </c>
      <c r="D219" s="400" t="str">
        <f t="shared" si="3"/>
        <v>OUT</v>
      </c>
      <c r="E219" s="401" t="str">
        <f t="array" ref="E219">INDIRECT("Tableau!$H$30")</f>
        <v/>
      </c>
    </row>
    <row r="220">
      <c r="A220" s="402">
        <f t="array" ref="A220">INDIRECT("Tableau!$A$31")</f>
        <v>206</v>
      </c>
      <c r="B220" s="398" t="s">
        <v>453</v>
      </c>
      <c r="C220" s="399" t="str">
        <f t="array" ref="C220">INDIRECT("Tableau!$G$31")</f>
        <v/>
      </c>
      <c r="D220" s="400" t="str">
        <f t="shared" si="3"/>
        <v>OUT</v>
      </c>
      <c r="E220" s="401" t="str">
        <f t="array" ref="E220">INDIRECT("Tableau!$H$31")</f>
        <v/>
      </c>
    </row>
    <row r="221">
      <c r="A221" s="402">
        <f t="array" ref="A221">INDIRECT("Tableau!$A$32")</f>
        <v>207</v>
      </c>
      <c r="B221" s="398" t="s">
        <v>453</v>
      </c>
      <c r="C221" s="399" t="str">
        <f t="array" ref="C221">INDIRECT("Tableau!$G$32")</f>
        <v/>
      </c>
      <c r="D221" s="400" t="str">
        <f t="shared" si="3"/>
        <v>OUT</v>
      </c>
      <c r="E221" s="401" t="str">
        <f t="array" ref="E221">INDIRECT("Tableau!$H$32")</f>
        <v/>
      </c>
    </row>
    <row r="222">
      <c r="A222" s="402">
        <f t="array" ref="A222">INDIRECT("Tableau!$A$33")</f>
        <v>208</v>
      </c>
      <c r="B222" s="398" t="s">
        <v>453</v>
      </c>
      <c r="C222" s="399" t="str">
        <f t="array" ref="C222">INDIRECT("Tableau!$G$33")</f>
        <v/>
      </c>
      <c r="D222" s="400" t="str">
        <f t="shared" si="3"/>
        <v>OUT</v>
      </c>
      <c r="E222" s="401" t="str">
        <f t="array" ref="E222">INDIRECT("Tableau!$H$33")</f>
        <v/>
      </c>
    </row>
    <row r="223">
      <c r="A223" s="402">
        <f t="array" ref="A223">INDIRECT("Tableau!$A$34")</f>
        <v>209</v>
      </c>
      <c r="B223" s="398" t="s">
        <v>453</v>
      </c>
      <c r="C223" s="399" t="str">
        <f t="array" ref="C223">INDIRECT("Tableau!$G$34")</f>
        <v/>
      </c>
      <c r="D223" s="400" t="str">
        <f t="shared" si="3"/>
        <v>OUT</v>
      </c>
      <c r="E223" s="401" t="str">
        <f t="array" ref="E223">INDIRECT("Tableau!$H$34")</f>
        <v/>
      </c>
    </row>
    <row r="224">
      <c r="A224" s="402">
        <f t="array" ref="A224">INDIRECT("Tableau!$A$35")</f>
        <v>210</v>
      </c>
      <c r="B224" s="398" t="s">
        <v>453</v>
      </c>
      <c r="C224" s="399" t="str">
        <f t="array" ref="C224">INDIRECT("Tableau!$G$35")</f>
        <v/>
      </c>
      <c r="D224" s="400" t="str">
        <f t="shared" si="3"/>
        <v>OUT</v>
      </c>
      <c r="E224" s="401" t="str">
        <f t="array" ref="E224">INDIRECT("Tableau!$H$35")</f>
        <v/>
      </c>
    </row>
    <row r="225">
      <c r="A225" s="402">
        <f t="array" ref="A225">INDIRECT("Tableau!$A$36")</f>
        <v>211</v>
      </c>
      <c r="B225" s="398" t="s">
        <v>453</v>
      </c>
      <c r="C225" s="399" t="str">
        <f t="array" ref="C225">INDIRECT("Tableau!$G$36")</f>
        <v/>
      </c>
      <c r="D225" s="400" t="str">
        <f t="shared" si="3"/>
        <v>OUT</v>
      </c>
      <c r="E225" s="401" t="str">
        <f t="array" ref="E225">INDIRECT("Tableau!$H$36")</f>
        <v/>
      </c>
    </row>
    <row r="226">
      <c r="A226" s="402">
        <f t="array" ref="A226">INDIRECT("Tableau!$A$37")</f>
        <v>212</v>
      </c>
      <c r="B226" s="398" t="s">
        <v>453</v>
      </c>
      <c r="C226" s="399" t="str">
        <f t="array" ref="C226">INDIRECT("Tableau!$G$37")</f>
        <v/>
      </c>
      <c r="D226" s="400" t="str">
        <f t="shared" si="3"/>
        <v>OUT</v>
      </c>
      <c r="E226" s="401" t="str">
        <f t="array" ref="E226">INDIRECT("Tableau!$H$37")</f>
        <v/>
      </c>
    </row>
    <row r="227">
      <c r="A227" s="402">
        <f t="array" ref="A227">INDIRECT("Tableau!$A$38")</f>
        <v>213</v>
      </c>
      <c r="B227" s="398" t="s">
        <v>453</v>
      </c>
      <c r="C227" s="399" t="str">
        <f t="array" ref="C227">INDIRECT("Tableau!$G$38")</f>
        <v/>
      </c>
      <c r="D227" s="400" t="str">
        <f t="shared" si="3"/>
        <v>OUT</v>
      </c>
      <c r="E227" s="401" t="str">
        <f t="array" ref="E227">INDIRECT("Tableau!$H$38")</f>
        <v/>
      </c>
    </row>
    <row r="228">
      <c r="A228" s="402">
        <f t="array" ref="A228">INDIRECT("Tableau!$A$39")</f>
        <v>214</v>
      </c>
      <c r="B228" s="398" t="s">
        <v>453</v>
      </c>
      <c r="C228" s="399" t="str">
        <f t="array" ref="C228">INDIRECT("Tableau!$G$39")</f>
        <v/>
      </c>
      <c r="D228" s="400" t="str">
        <f t="shared" si="3"/>
        <v>OUT</v>
      </c>
      <c r="E228" s="401" t="str">
        <f t="array" ref="E228">INDIRECT("Tableau!$H$39")</f>
        <v/>
      </c>
    </row>
    <row r="229">
      <c r="A229" s="402">
        <f t="array" ref="A229">INDIRECT("Tableau!$A$40")</f>
        <v>215</v>
      </c>
      <c r="B229" s="398" t="s">
        <v>453</v>
      </c>
      <c r="C229" s="399" t="str">
        <f t="array" ref="C229">INDIRECT("Tableau!$G$40")</f>
        <v/>
      </c>
      <c r="D229" s="400" t="str">
        <f t="shared" si="3"/>
        <v>OUT</v>
      </c>
      <c r="E229" s="401" t="str">
        <f t="array" ref="E229">INDIRECT("Tableau!$H$40")</f>
        <v/>
      </c>
    </row>
    <row r="230">
      <c r="A230" s="402">
        <f t="array" ref="A230">INDIRECT("Tableau!$A$41")</f>
        <v>216</v>
      </c>
      <c r="B230" s="398" t="s">
        <v>453</v>
      </c>
      <c r="C230" s="399" t="str">
        <f t="array" ref="C230">INDIRECT("Tableau!$G$41")</f>
        <v/>
      </c>
      <c r="D230" s="400" t="str">
        <f t="shared" si="3"/>
        <v>OUT</v>
      </c>
      <c r="E230" s="401" t="str">
        <f t="array" ref="E230">INDIRECT("Tableau!$H$41")</f>
        <v/>
      </c>
    </row>
    <row r="231">
      <c r="A231" s="402">
        <f t="array" ref="A231">INDIRECT("Tableau!$A$42")</f>
        <v>227</v>
      </c>
      <c r="B231" s="398" t="s">
        <v>453</v>
      </c>
      <c r="C231" s="399" t="str">
        <f t="array" ref="C231">INDIRECT("Tableau!$G$42")</f>
        <v/>
      </c>
      <c r="D231" s="400" t="str">
        <f t="shared" si="3"/>
        <v>OUT</v>
      </c>
      <c r="E231" s="401" t="str">
        <f t="array" ref="E231">INDIRECT("Tableau!$H$42")</f>
        <v/>
      </c>
    </row>
    <row r="232">
      <c r="A232" s="402">
        <f t="array" ref="A232">INDIRECT("Tableau!$A$43")</f>
        <v>217</v>
      </c>
      <c r="B232" s="398" t="s">
        <v>453</v>
      </c>
      <c r="C232" s="399" t="str">
        <f t="array" ref="C232">INDIRECT("Tableau!$G$43")</f>
        <v/>
      </c>
      <c r="D232" s="400" t="str">
        <f t="shared" si="3"/>
        <v>OUT</v>
      </c>
      <c r="E232" s="401" t="str">
        <f t="array" ref="E232">INDIRECT("Tableau!$H$43")</f>
        <v/>
      </c>
    </row>
    <row r="233">
      <c r="A233" s="402">
        <f t="array" ref="A233">INDIRECT("Tableau!$A$44")</f>
        <v>218</v>
      </c>
      <c r="B233" s="398" t="s">
        <v>453</v>
      </c>
      <c r="C233" s="399" t="str">
        <f t="array" ref="C233">INDIRECT("Tableau!$G$44")</f>
        <v/>
      </c>
      <c r="D233" s="400" t="str">
        <f t="shared" si="3"/>
        <v>OUT</v>
      </c>
      <c r="E233" s="401" t="str">
        <f t="array" ref="E233">INDIRECT("Tableau!$H$44")</f>
        <v/>
      </c>
    </row>
    <row r="234">
      <c r="A234" s="397" t="str">
        <f t="array" ref="A234">INDIRECT("Tableau!$A$45")</f>
        <v/>
      </c>
      <c r="B234" s="398" t="s">
        <v>453</v>
      </c>
      <c r="C234" s="399" t="str">
        <f t="array" ref="C234">INDIRECT("Tableau!$G$45")</f>
        <v/>
      </c>
      <c r="D234" s="400" t="str">
        <f t="shared" si="3"/>
        <v>OUT</v>
      </c>
      <c r="E234" s="401" t="str">
        <f t="array" ref="E234">INDIRECT("Tableau!$H$45")</f>
        <v/>
      </c>
    </row>
    <row r="235">
      <c r="A235" s="402">
        <f t="array" ref="A235">INDIRECT("Tableau!$A$46")</f>
        <v>220</v>
      </c>
      <c r="B235" s="398" t="s">
        <v>453</v>
      </c>
      <c r="C235" s="399" t="str">
        <f t="array" ref="C235">INDIRECT("Tableau!$G$46")</f>
        <v/>
      </c>
      <c r="D235" s="400" t="str">
        <f t="shared" si="3"/>
        <v>OUT</v>
      </c>
      <c r="E235" s="401" t="str">
        <f t="array" ref="E235">INDIRECT("Tableau!$H$46")</f>
        <v/>
      </c>
    </row>
    <row r="236">
      <c r="A236" s="402">
        <f t="array" ref="A236">INDIRECT("Tableau!$A$47")</f>
        <v>221</v>
      </c>
      <c r="B236" s="398" t="s">
        <v>453</v>
      </c>
      <c r="C236" s="399" t="str">
        <f t="array" ref="C236">INDIRECT("Tableau!$G$47")</f>
        <v/>
      </c>
      <c r="D236" s="400" t="str">
        <f t="shared" si="3"/>
        <v>OUT</v>
      </c>
      <c r="E236" s="401" t="str">
        <f t="array" ref="E236">INDIRECT("Tableau!$H$47")</f>
        <v/>
      </c>
    </row>
    <row r="237">
      <c r="A237" s="402">
        <f t="array" ref="A237">INDIRECT("Tableau!$A$48")</f>
        <v>226</v>
      </c>
      <c r="B237" s="398" t="s">
        <v>453</v>
      </c>
      <c r="C237" s="399" t="str">
        <f t="array" ref="C237">INDIRECT("Tableau!$G$48")</f>
        <v/>
      </c>
      <c r="D237" s="400" t="str">
        <f t="shared" si="3"/>
        <v>OUT</v>
      </c>
      <c r="E237" s="401" t="str">
        <f t="array" ref="E237">INDIRECT("Tableau!$H$48")</f>
        <v/>
      </c>
    </row>
    <row r="238">
      <c r="A238" s="402">
        <f t="array" ref="A238">INDIRECT("Tableau!$A$49")</f>
        <v>222</v>
      </c>
      <c r="B238" s="398" t="s">
        <v>453</v>
      </c>
      <c r="C238" s="399" t="str">
        <f t="array" ref="C238">INDIRECT("Tableau!$G$49")</f>
        <v/>
      </c>
      <c r="D238" s="400" t="str">
        <f t="shared" si="3"/>
        <v>OUT</v>
      </c>
      <c r="E238" s="401" t="str">
        <f t="array" ref="E238">INDIRECT("Tableau!$H$49")</f>
        <v/>
      </c>
    </row>
    <row r="239">
      <c r="A239" s="402">
        <f t="array" ref="A239">INDIRECT("Tableau!$A$50")</f>
        <v>224</v>
      </c>
      <c r="B239" s="398" t="s">
        <v>453</v>
      </c>
      <c r="C239" s="399" t="str">
        <f t="array" ref="C239">INDIRECT("Tableau!$G$50")</f>
        <v/>
      </c>
      <c r="D239" s="400" t="str">
        <f t="shared" si="3"/>
        <v>OUT</v>
      </c>
      <c r="E239" s="401" t="str">
        <f t="array" ref="E239">INDIRECT("Tableau!$H$50")</f>
        <v/>
      </c>
    </row>
    <row r="240">
      <c r="A240" s="397">
        <f t="array" ref="A240">INDIRECT("Tableau!$A$51")</f>
        <v>223</v>
      </c>
      <c r="B240" s="398" t="s">
        <v>453</v>
      </c>
      <c r="C240" s="399" t="str">
        <f t="array" ref="C240">INDIRECT("Tableau!$G$51")</f>
        <v/>
      </c>
      <c r="D240" s="400" t="str">
        <f t="shared" si="3"/>
        <v>OUT</v>
      </c>
      <c r="E240" s="401" t="str">
        <f t="array" ref="E240">INDIRECT("Tableau!$H$51")</f>
        <v/>
      </c>
    </row>
    <row r="241">
      <c r="A241" s="404">
        <f t="array" ref="A241">INDIRECT("Tableau!$A$52")</f>
        <v>225</v>
      </c>
      <c r="B241" s="398" t="s">
        <v>453</v>
      </c>
      <c r="C241" s="399" t="str">
        <f t="array" ref="C241">INDIRECT("Tableau!$G$52")</f>
        <v/>
      </c>
      <c r="D241" s="400" t="str">
        <f t="shared" si="3"/>
        <v>OUT</v>
      </c>
      <c r="E241" s="401" t="str">
        <f t="array" ref="E241">INDIRECT("Tableau!$H$52")</f>
        <v/>
      </c>
    </row>
    <row r="242">
      <c r="A242" s="404">
        <f t="array" ref="A242">INDIRECT("Tableau!$A$53")</f>
        <v>230</v>
      </c>
      <c r="B242" s="398" t="s">
        <v>453</v>
      </c>
      <c r="C242" s="399" t="str">
        <f t="array" ref="C242">INDIRECT("Tableau!$G$53")</f>
        <v/>
      </c>
      <c r="D242" s="400" t="str">
        <f t="shared" si="3"/>
        <v>OUT</v>
      </c>
      <c r="E242" s="401" t="str">
        <f t="array" ref="E242">INDIRECT("Tableau!$H$53")</f>
        <v/>
      </c>
    </row>
    <row r="243">
      <c r="A243" s="405">
        <f t="array" ref="A243">INDIRECT("Tableau!$A$54")</f>
        <v>231</v>
      </c>
      <c r="B243" s="398" t="s">
        <v>453</v>
      </c>
      <c r="C243" s="399" t="str">
        <f t="array" ref="C243">INDIRECT("Tableau!$G$54")</f>
        <v/>
      </c>
      <c r="D243" s="400" t="str">
        <f t="shared" si="3"/>
        <v>OUT</v>
      </c>
      <c r="E243" s="401" t="str">
        <f t="array" ref="E243">INDIRECT("Tableau!$H$54")</f>
        <v/>
      </c>
    </row>
    <row r="244">
      <c r="A244" s="405" t="str">
        <f t="array" ref="A244">INDIRECT("Tableau!$A$55")</f>
        <v/>
      </c>
      <c r="B244" s="398" t="s">
        <v>453</v>
      </c>
      <c r="C244" s="399" t="str">
        <f t="array" ref="C244">INDIRECT("Tableau!$G$55")</f>
        <v/>
      </c>
      <c r="D244" s="400" t="str">
        <f t="shared" si="3"/>
        <v>OUT</v>
      </c>
      <c r="E244" s="401" t="str">
        <f t="array" ref="E244">INDIRECT("Tableau!$H$55")</f>
        <v/>
      </c>
    </row>
    <row r="245">
      <c r="A245" s="405" t="str">
        <f t="array" ref="A245">INDIRECT("Tableau!$A$56")</f>
        <v/>
      </c>
      <c r="B245" s="398" t="s">
        <v>453</v>
      </c>
      <c r="C245" s="399" t="str">
        <f t="array" ref="C245">INDIRECT("Tableau!$G$56")</f>
        <v/>
      </c>
      <c r="D245" s="400" t="str">
        <f t="shared" si="3"/>
        <v>OUT</v>
      </c>
      <c r="E245" s="401" t="str">
        <f t="array" ref="E245">INDIRECT("Tableau!$H$56")</f>
        <v/>
      </c>
    </row>
    <row r="246">
      <c r="A246" s="405" t="str">
        <f t="array" ref="A246">INDIRECT("Tableau!$A$57")</f>
        <v/>
      </c>
      <c r="B246" s="398" t="s">
        <v>453</v>
      </c>
      <c r="C246" s="399" t="str">
        <f t="array" ref="C246">INDIRECT("Tableau!$G$57")</f>
        <v/>
      </c>
      <c r="D246" s="400" t="str">
        <f t="shared" si="3"/>
        <v>OUT</v>
      </c>
      <c r="E246" s="401" t="str">
        <f t="array" ref="E246">INDIRECT("Tableau!$H$57")</f>
        <v/>
      </c>
    </row>
    <row r="247">
      <c r="A247" s="405" t="str">
        <f t="array" ref="A247">INDIRECT("Tableau!$A$58")</f>
        <v/>
      </c>
      <c r="B247" s="398" t="s">
        <v>453</v>
      </c>
      <c r="C247" s="399" t="str">
        <f t="array" ref="C247">INDIRECT("Tableau!$G$58")</f>
        <v/>
      </c>
      <c r="D247" s="400" t="str">
        <f t="shared" si="3"/>
        <v>OUT</v>
      </c>
      <c r="E247" s="401" t="str">
        <f t="array" ref="E247">INDIRECT("Tableau!$H$58")</f>
        <v/>
      </c>
    </row>
    <row r="248">
      <c r="A248" s="405" t="str">
        <f t="array" ref="A248">INDIRECT("Tableau!$A$59")</f>
        <v/>
      </c>
      <c r="B248" s="398" t="s">
        <v>453</v>
      </c>
      <c r="C248" s="399" t="str">
        <f t="array" ref="C248">INDIRECT("Tableau!$G$59")</f>
        <v/>
      </c>
      <c r="D248" s="400" t="str">
        <f t="shared" si="3"/>
        <v>OUT</v>
      </c>
      <c r="E248" s="401" t="str">
        <f t="array" ref="E248">INDIRECT("Tableau!$H$59")</f>
        <v/>
      </c>
    </row>
    <row r="249">
      <c r="A249" s="405" t="str">
        <f t="array" ref="A249">INDIRECT("Tableau!$A$60")</f>
        <v/>
      </c>
      <c r="B249" s="398" t="s">
        <v>453</v>
      </c>
      <c r="C249" s="399" t="str">
        <f t="array" ref="C249">INDIRECT("Tableau!$G$60")</f>
        <v/>
      </c>
      <c r="D249" s="400" t="str">
        <f t="shared" si="3"/>
        <v>OUT</v>
      </c>
      <c r="E249" s="401" t="str">
        <f t="array" ref="E249">INDIRECT("Tableau!$H$60")</f>
        <v/>
      </c>
    </row>
    <row r="250">
      <c r="A250" s="405" t="str">
        <f t="array" ref="A250">INDIRECT("Tableau!$A$61")</f>
        <v/>
      </c>
      <c r="B250" s="398" t="s">
        <v>453</v>
      </c>
      <c r="C250" s="399" t="str">
        <f t="array" ref="C250">INDIRECT("Tableau!$G$61")</f>
        <v/>
      </c>
      <c r="D250" s="400" t="str">
        <f t="shared" si="3"/>
        <v>OUT</v>
      </c>
      <c r="E250" s="401" t="str">
        <f t="array" ref="E250">INDIRECT("Tableau!$H$61")</f>
        <v/>
      </c>
    </row>
    <row r="251">
      <c r="A251" s="405" t="str">
        <f t="array" ref="A251">INDIRECT("Tableau!$A$62")</f>
        <v/>
      </c>
      <c r="B251" s="398" t="s">
        <v>453</v>
      </c>
      <c r="C251" s="399" t="str">
        <f t="array" ref="C251">INDIRECT("Tableau!$G$62")</f>
        <v/>
      </c>
      <c r="D251" s="400" t="str">
        <f t="shared" si="3"/>
        <v>OUT</v>
      </c>
      <c r="E251" s="401" t="str">
        <f t="array" ref="E251">INDIRECT("Tableau!$H$62")</f>
        <v/>
      </c>
    </row>
    <row r="252">
      <c r="A252" s="405" t="str">
        <f t="array" ref="A252">INDIRECT("Tableau!$A$63")</f>
        <v/>
      </c>
      <c r="B252" s="398" t="s">
        <v>453</v>
      </c>
      <c r="C252" s="399" t="str">
        <f t="array" ref="C252">INDIRECT("Tableau!$G$63")</f>
        <v/>
      </c>
      <c r="D252" s="400" t="str">
        <f t="shared" si="3"/>
        <v>OUT</v>
      </c>
      <c r="E252" s="401" t="str">
        <f t="array" ref="E252">INDIRECT("Tableau!$H$63")</f>
        <v/>
      </c>
    </row>
    <row r="253">
      <c r="A253" s="405" t="str">
        <f t="array" ref="A253">INDIRECT("Tableau!$A$64")</f>
        <v/>
      </c>
      <c r="B253" s="398" t="s">
        <v>453</v>
      </c>
      <c r="C253" s="399" t="str">
        <f t="array" ref="C253">INDIRECT("Tableau!$G$64")</f>
        <v/>
      </c>
      <c r="D253" s="400" t="str">
        <f t="shared" si="3"/>
        <v>OUT</v>
      </c>
      <c r="E253" s="401" t="str">
        <f t="array" ref="E253">INDIRECT("Tableau!$H$64")</f>
        <v/>
      </c>
    </row>
    <row r="254">
      <c r="A254" s="402">
        <f t="array" ref="A254">INDIRECT("Tableau!$A$65")</f>
        <v>301</v>
      </c>
      <c r="B254" s="398" t="s">
        <v>453</v>
      </c>
      <c r="C254" s="400" t="str">
        <f t="array" ref="C254">INDIRECT("Tableau!$G$65")</f>
        <v/>
      </c>
      <c r="D254" s="400" t="str">
        <f t="shared" si="3"/>
        <v>OUT</v>
      </c>
      <c r="E254" s="401" t="str">
        <f t="array" ref="E254">INDIRECT("Tableau!$H$65")</f>
        <v/>
      </c>
    </row>
    <row r="255">
      <c r="A255" s="397" t="str">
        <f t="array" ref="A255">INDIRECT("Tableau!$A$66")</f>
        <v/>
      </c>
      <c r="B255" s="398" t="s">
        <v>453</v>
      </c>
      <c r="C255" s="400" t="str">
        <f t="array" ref="C255">INDIRECT("Tableau!$G$66")</f>
        <v/>
      </c>
      <c r="D255" s="400" t="str">
        <f t="shared" si="3"/>
        <v>OUT</v>
      </c>
      <c r="E255" s="403" t="str">
        <f t="array" ref="E255">INDIRECT("Tableau!$H$66")</f>
        <v/>
      </c>
    </row>
    <row r="256">
      <c r="A256" s="402">
        <f t="array" ref="A256">INDIRECT("Tableau!$A$67")</f>
        <v>303</v>
      </c>
      <c r="B256" s="398" t="s">
        <v>453</v>
      </c>
      <c r="C256" s="399" t="str">
        <f t="array" ref="C256">INDIRECT("Tableau!$G$67")</f>
        <v/>
      </c>
      <c r="D256" s="400" t="str">
        <f t="shared" si="3"/>
        <v>OUT</v>
      </c>
      <c r="E256" s="401" t="str">
        <f t="array" ref="E256">INDIRECT("Tableau!$H$67")</f>
        <v/>
      </c>
    </row>
    <row r="257">
      <c r="A257" s="402">
        <f t="array" ref="A257">INDIRECT("Tableau!$A$68")</f>
        <v>304</v>
      </c>
      <c r="B257" s="398" t="s">
        <v>453</v>
      </c>
      <c r="C257" s="400" t="str">
        <f t="array" ref="C257">INDIRECT("Tableau!$G$68")</f>
        <v/>
      </c>
      <c r="D257" s="400" t="str">
        <f t="shared" si="3"/>
        <v>OUT</v>
      </c>
      <c r="E257" s="401" t="str">
        <f t="array" ref="E257">INDIRECT("Tableau!$H$68")</f>
        <v>Batimoi</v>
      </c>
    </row>
    <row r="258">
      <c r="A258" s="402">
        <f t="array" ref="A258">INDIRECT("Tableau!$A$69")</f>
        <v>305</v>
      </c>
      <c r="B258" s="398" t="s">
        <v>453</v>
      </c>
      <c r="C258" s="400" t="str">
        <f t="array" ref="C258">INDIRECT("Tableau!$G$69")</f>
        <v/>
      </c>
      <c r="D258" s="400" t="str">
        <f t="shared" si="3"/>
        <v>OUT</v>
      </c>
      <c r="E258" s="401" t="str">
        <f t="array" ref="E258">INDIRECT("Tableau!$H$69")</f>
        <v/>
      </c>
    </row>
    <row r="259">
      <c r="A259" s="402">
        <f t="array" ref="A259">INDIRECT("Tableau!$A$70")</f>
        <v>306</v>
      </c>
      <c r="B259" s="398" t="s">
        <v>453</v>
      </c>
      <c r="C259" s="399" t="str">
        <f t="array" ref="C259">INDIRECT("Tableau!$G$70")</f>
        <v/>
      </c>
      <c r="D259" s="400" t="str">
        <f t="shared" si="3"/>
        <v>OUT</v>
      </c>
      <c r="E259" s="401" t="str">
        <f t="array" ref="E259">INDIRECT("Tableau!$H$70")</f>
        <v/>
      </c>
    </row>
    <row r="260">
      <c r="A260" s="402">
        <f t="array" ref="A260">INDIRECT("Tableau!$A$71")</f>
        <v>307</v>
      </c>
      <c r="B260" s="398" t="s">
        <v>453</v>
      </c>
      <c r="C260" s="400" t="str">
        <f t="array" ref="C260">INDIRECT("Tableau!$G$71")</f>
        <v/>
      </c>
      <c r="D260" s="400" t="str">
        <f t="shared" si="3"/>
        <v>OUT</v>
      </c>
      <c r="E260" s="403" t="str">
        <f t="array" ref="E260">INDIRECT("Tableau!$H$71")</f>
        <v/>
      </c>
    </row>
    <row r="261">
      <c r="A261" s="397">
        <f t="array" ref="A261">INDIRECT("Tableau!$A$72")</f>
        <v>367</v>
      </c>
      <c r="B261" s="398" t="s">
        <v>453</v>
      </c>
      <c r="C261" s="399" t="str">
        <f t="array" ref="C261">INDIRECT("Tableau!$G$72")</f>
        <v/>
      </c>
      <c r="D261" s="400" t="str">
        <f t="shared" si="3"/>
        <v>OUT</v>
      </c>
      <c r="E261" s="401" t="str">
        <f t="array" ref="E261">INDIRECT("Tableau!$H$72")</f>
        <v/>
      </c>
    </row>
    <row r="262">
      <c r="A262" s="402">
        <f t="array" ref="A262">INDIRECT("Tableau!$A$73")</f>
        <v>308</v>
      </c>
      <c r="B262" s="398" t="s">
        <v>453</v>
      </c>
      <c r="C262" s="400" t="str">
        <f t="array" ref="C262">INDIRECT("Tableau!$G$73")</f>
        <v/>
      </c>
      <c r="D262" s="400" t="str">
        <f t="shared" si="3"/>
        <v>OUT</v>
      </c>
      <c r="E262" s="401" t="str">
        <f t="array" ref="E262">INDIRECT("Tableau!$H$73")</f>
        <v/>
      </c>
    </row>
    <row r="263">
      <c r="A263" s="397">
        <f t="array" ref="A263">INDIRECT("Tableau!$A$74")</f>
        <v>319</v>
      </c>
      <c r="B263" s="398" t="s">
        <v>453</v>
      </c>
      <c r="C263" s="399" t="str">
        <f t="array" ref="C263">INDIRECT("Tableau!$G$74")</f>
        <v/>
      </c>
      <c r="D263" s="400" t="str">
        <f t="shared" si="3"/>
        <v>OUT</v>
      </c>
      <c r="E263" s="401" t="str">
        <f t="array" ref="E263">INDIRECT("Tableau!$H$74")</f>
        <v/>
      </c>
    </row>
    <row r="264">
      <c r="A264" s="402">
        <f t="array" ref="A264">INDIRECT("Tableau!$A$75")</f>
        <v>309</v>
      </c>
      <c r="B264" s="398" t="s">
        <v>453</v>
      </c>
      <c r="C264" s="400" t="str">
        <f t="array" ref="C264">INDIRECT("Tableau!$G$75")</f>
        <v/>
      </c>
      <c r="D264" s="400" t="str">
        <f t="shared" si="3"/>
        <v>OUT</v>
      </c>
      <c r="E264" s="401" t="str">
        <f t="array" ref="E264">INDIRECT("Tableau!$H$75")</f>
        <v/>
      </c>
    </row>
    <row r="265">
      <c r="A265" s="402">
        <f t="array" ref="A265">INDIRECT("Tableau!$A$76")</f>
        <v>310</v>
      </c>
      <c r="B265" s="398" t="s">
        <v>453</v>
      </c>
      <c r="C265" s="400" t="str">
        <f t="array" ref="C265">INDIRECT("Tableau!$G$76")</f>
        <v/>
      </c>
      <c r="D265" s="400" t="str">
        <f t="shared" si="3"/>
        <v>OUT</v>
      </c>
      <c r="E265" s="401" t="str">
        <f t="array" ref="E265">INDIRECT("Tableau!$H$76")</f>
        <v/>
      </c>
    </row>
    <row r="266">
      <c r="A266" s="402">
        <f t="array" ref="A266">INDIRECT("Tableau!$A$77")</f>
        <v>311</v>
      </c>
      <c r="B266" s="398" t="s">
        <v>453</v>
      </c>
      <c r="C266" s="400" t="str">
        <f t="array" ref="C266">INDIRECT("Tableau!$G$77")</f>
        <v/>
      </c>
      <c r="D266" s="400" t="str">
        <f t="shared" si="3"/>
        <v>OUT</v>
      </c>
      <c r="E266" s="401" t="str">
        <f t="array" ref="E266">INDIRECT("Tableau!$H$77")</f>
        <v/>
      </c>
    </row>
    <row r="267">
      <c r="A267" s="402">
        <f t="array" ref="A267">INDIRECT("Tableau!$A$78")</f>
        <v>312</v>
      </c>
      <c r="B267" s="398" t="s">
        <v>453</v>
      </c>
      <c r="C267" s="400" t="str">
        <f t="array" ref="C267">INDIRECT("Tableau!$G$78")</f>
        <v/>
      </c>
      <c r="D267" s="400" t="str">
        <f t="shared" si="3"/>
        <v>OUT</v>
      </c>
      <c r="E267" s="401" t="str">
        <f t="array" ref="E267">INDIRECT("Tableau!$H$78")</f>
        <v/>
      </c>
    </row>
    <row r="268">
      <c r="A268" s="402">
        <f t="array" ref="A268">INDIRECT("Tableau!$A$79")</f>
        <v>313</v>
      </c>
      <c r="B268" s="398" t="s">
        <v>453</v>
      </c>
      <c r="C268" s="400" t="str">
        <f t="array" ref="C268">INDIRECT("Tableau!$G$79")</f>
        <v/>
      </c>
      <c r="D268" s="400" t="str">
        <f t="shared" si="3"/>
        <v>OUT</v>
      </c>
      <c r="E268" s="401" t="str">
        <f t="array" ref="E268">INDIRECT("Tableau!$H$79")</f>
        <v/>
      </c>
    </row>
    <row r="269">
      <c r="A269" s="402">
        <f t="array" ref="A269">INDIRECT("Tableau!$A$80")</f>
        <v>314</v>
      </c>
      <c r="B269" s="398" t="s">
        <v>453</v>
      </c>
      <c r="C269" s="399" t="str">
        <f t="array" ref="C269">INDIRECT("Tableau!$G$80")</f>
        <v/>
      </c>
      <c r="D269" s="400" t="str">
        <f t="shared" si="3"/>
        <v>OUT</v>
      </c>
      <c r="E269" s="401" t="str">
        <f t="array" ref="E269">INDIRECT("Tableau!$H$80")</f>
        <v/>
      </c>
    </row>
    <row r="270">
      <c r="A270" s="402">
        <f t="array" ref="A270">INDIRECT("Tableau!$A$81")</f>
        <v>315</v>
      </c>
      <c r="B270" s="398" t="s">
        <v>453</v>
      </c>
      <c r="C270" s="400" t="str">
        <f t="array" ref="C270">INDIRECT("Tableau!$G$81")</f>
        <v/>
      </c>
      <c r="D270" s="400" t="str">
        <f t="shared" si="3"/>
        <v>OUT</v>
      </c>
      <c r="E270" s="401" t="str">
        <f t="array" ref="E270">INDIRECT("Tableau!$H$81")</f>
        <v/>
      </c>
    </row>
    <row r="271">
      <c r="A271" s="402">
        <f t="array" ref="A271">INDIRECT("Tableau!$A$82")</f>
        <v>316</v>
      </c>
      <c r="B271" s="398" t="s">
        <v>453</v>
      </c>
      <c r="C271" s="399" t="str">
        <f t="array" ref="C271">INDIRECT("Tableau!$G$82")</f>
        <v/>
      </c>
      <c r="D271" s="400" t="str">
        <f t="shared" si="3"/>
        <v>OUT</v>
      </c>
      <c r="E271" s="401" t="str">
        <f t="array" ref="E271">INDIRECT("Tableau!$H$82")</f>
        <v/>
      </c>
    </row>
    <row r="272">
      <c r="A272" s="402">
        <f t="array" ref="A272">INDIRECT("Tableau!$A$83")</f>
        <v>317</v>
      </c>
      <c r="B272" s="398" t="s">
        <v>453</v>
      </c>
      <c r="C272" s="399" t="str">
        <f t="array" ref="C272">INDIRECT("Tableau!$G$83")</f>
        <v/>
      </c>
      <c r="D272" s="400" t="str">
        <f t="shared" si="3"/>
        <v>OUT</v>
      </c>
      <c r="E272" s="401" t="str">
        <f t="array" ref="E272">INDIRECT("Tableau!$H$83")</f>
        <v/>
      </c>
    </row>
    <row r="273">
      <c r="A273" s="402">
        <f t="array" ref="A273">INDIRECT("Tableau!$A$84")</f>
        <v>318</v>
      </c>
      <c r="B273" s="398" t="s">
        <v>453</v>
      </c>
      <c r="C273" s="399" t="str">
        <f t="array" ref="C273">INDIRECT("Tableau!$G$84")</f>
        <v/>
      </c>
      <c r="D273" s="400" t="str">
        <f t="shared" si="3"/>
        <v>OUT</v>
      </c>
      <c r="E273" s="401" t="str">
        <f t="array" ref="E273">INDIRECT("Tableau!$H$84")</f>
        <v/>
      </c>
    </row>
    <row r="274">
      <c r="A274" s="402">
        <f t="array" ref="A274">INDIRECT("Tableau!$A$85")</f>
        <v>320</v>
      </c>
      <c r="B274" s="398" t="s">
        <v>453</v>
      </c>
      <c r="C274" s="399" t="str">
        <f t="array" ref="C274">INDIRECT("Tableau!$G$85")</f>
        <v/>
      </c>
      <c r="D274" s="400" t="str">
        <f t="shared" si="3"/>
        <v>OUT</v>
      </c>
      <c r="E274" s="401" t="str">
        <f t="array" ref="E274">INDIRECT("Tableau!$H$85")</f>
        <v/>
      </c>
    </row>
    <row r="275">
      <c r="A275" s="402">
        <f t="array" ref="A275">INDIRECT("Tableau!$A$86")</f>
        <v>321</v>
      </c>
      <c r="B275" s="398" t="s">
        <v>453</v>
      </c>
      <c r="C275" s="399" t="str">
        <f t="array" ref="C275">INDIRECT("Tableau!$G$86")</f>
        <v/>
      </c>
      <c r="D275" s="400" t="str">
        <f t="shared" si="3"/>
        <v>OUT</v>
      </c>
      <c r="E275" s="401" t="str">
        <f t="array" ref="E275">INDIRECT("Tableau!$H$86")</f>
        <v/>
      </c>
    </row>
    <row r="276">
      <c r="A276" s="397" t="str">
        <f t="array" ref="A276">INDIRECT("Tableau!$A$87")</f>
        <v/>
      </c>
      <c r="B276" s="398" t="s">
        <v>453</v>
      </c>
      <c r="C276" s="399" t="str">
        <f t="array" ref="C276">INDIRECT("Tableau!$G$87")</f>
        <v/>
      </c>
      <c r="D276" s="400" t="str">
        <f t="shared" si="3"/>
        <v>OUT</v>
      </c>
      <c r="E276" s="401" t="str">
        <f t="array" ref="E276">INDIRECT("Tableau!$H$87")</f>
        <v/>
      </c>
    </row>
    <row r="277">
      <c r="A277" s="402">
        <f t="array" ref="A277">INDIRECT("Tableau!$A$88")</f>
        <v>323</v>
      </c>
      <c r="B277" s="398" t="s">
        <v>453</v>
      </c>
      <c r="C277" s="399" t="str">
        <f t="array" ref="C277">INDIRECT("Tableau!$G$88")</f>
        <v/>
      </c>
      <c r="D277" s="400" t="str">
        <f t="shared" si="3"/>
        <v>OUT</v>
      </c>
      <c r="E277" s="401" t="str">
        <f t="array" ref="E277">INDIRECT("Tableau!$H$88")</f>
        <v/>
      </c>
    </row>
    <row r="278">
      <c r="A278" s="402">
        <f t="array" ref="A278">INDIRECT("Tableau!$A$89")</f>
        <v>324</v>
      </c>
      <c r="B278" s="398" t="s">
        <v>453</v>
      </c>
      <c r="C278" s="399" t="str">
        <f t="array" ref="C278">INDIRECT("Tableau!$G$89")</f>
        <v/>
      </c>
      <c r="D278" s="400" t="str">
        <f t="shared" si="3"/>
        <v>OUT</v>
      </c>
      <c r="E278" s="401" t="str">
        <f t="array" ref="E278">INDIRECT("Tableau!$H$89")</f>
        <v/>
      </c>
    </row>
    <row r="279">
      <c r="A279" s="402">
        <f t="array" ref="A279">INDIRECT("Tableau!$A$90")</f>
        <v>325</v>
      </c>
      <c r="B279" s="398" t="s">
        <v>453</v>
      </c>
      <c r="C279" s="399" t="str">
        <f t="array" ref="C279">INDIRECT("Tableau!$G$90")</f>
        <v>DEMA</v>
      </c>
      <c r="D279" s="400" t="str">
        <f t="shared" si="3"/>
        <v>OUT</v>
      </c>
      <c r="E279" s="401" t="str">
        <f t="array" ref="E279">INDIRECT("Tableau!$H$90")</f>
        <v>OPTION</v>
      </c>
    </row>
    <row r="280">
      <c r="A280" s="402">
        <f t="array" ref="A280">INDIRECT("Tableau!$A$91")</f>
        <v>326</v>
      </c>
      <c r="B280" s="398" t="s">
        <v>453</v>
      </c>
      <c r="C280" s="400" t="str">
        <f t="array" ref="C280">INDIRECT("Tableau!$G$91")</f>
        <v/>
      </c>
      <c r="D280" s="400" t="str">
        <f t="shared" si="3"/>
        <v>OUT</v>
      </c>
      <c r="E280" s="401" t="str">
        <f t="array" ref="E280">INDIRECT("Tableau!$H$91")</f>
        <v/>
      </c>
    </row>
    <row r="281">
      <c r="A281" s="402">
        <f t="array" ref="A281">INDIRECT("Tableau!$A$92")</f>
        <v>327</v>
      </c>
      <c r="B281" s="398" t="s">
        <v>453</v>
      </c>
      <c r="C281" s="399" t="str">
        <f t="array" ref="C281">INDIRECT("Tableau!$G$92")</f>
        <v/>
      </c>
      <c r="D281" s="400" t="str">
        <f t="shared" si="3"/>
        <v>OUT</v>
      </c>
      <c r="E281" s="401" t="str">
        <f t="array" ref="E281">INDIRECT("Tableau!$H$92")</f>
        <v/>
      </c>
    </row>
    <row r="282">
      <c r="A282" s="402">
        <f t="array" ref="A282">INDIRECT("Tableau!$A$93")</f>
        <v>328</v>
      </c>
      <c r="B282" s="398" t="s">
        <v>453</v>
      </c>
      <c r="C282" s="399" t="str">
        <f t="array" ref="C282">INDIRECT("Tableau!$G$93")</f>
        <v/>
      </c>
      <c r="D282" s="400" t="str">
        <f t="shared" si="3"/>
        <v>OUT</v>
      </c>
      <c r="E282" s="401" t="str">
        <f t="array" ref="E282">INDIRECT("Tableau!$H$93")</f>
        <v/>
      </c>
    </row>
    <row r="283">
      <c r="A283" s="402">
        <f t="array" ref="A283">INDIRECT("Tableau!$A$94")</f>
        <v>329</v>
      </c>
      <c r="B283" s="398" t="s">
        <v>453</v>
      </c>
      <c r="C283" s="400" t="str">
        <f t="array" ref="C283">INDIRECT("Tableau!$G$94")</f>
        <v/>
      </c>
      <c r="D283" s="400" t="str">
        <f t="shared" si="3"/>
        <v>OUT</v>
      </c>
      <c r="E283" s="401" t="str">
        <f t="array" ref="E283">INDIRECT("Tableau!$H$94")</f>
        <v/>
      </c>
    </row>
    <row r="284">
      <c r="A284" s="402">
        <f t="array" ref="A284">INDIRECT("Tableau!$A$95")</f>
        <v>330</v>
      </c>
      <c r="B284" s="398" t="s">
        <v>453</v>
      </c>
      <c r="C284" s="400" t="str">
        <f t="array" ref="C284">INDIRECT("Tableau!$G$95")</f>
        <v>DEMA</v>
      </c>
      <c r="D284" s="400" t="str">
        <f t="shared" si="3"/>
        <v>OUT</v>
      </c>
      <c r="E284" s="401" t="str">
        <f t="array" ref="E284">INDIRECT("Tableau!$H$95")</f>
        <v/>
      </c>
    </row>
    <row r="285">
      <c r="A285" s="402">
        <f t="array" ref="A285">INDIRECT("Tableau!$A$96")</f>
        <v>331</v>
      </c>
      <c r="B285" s="398" t="s">
        <v>453</v>
      </c>
      <c r="C285" s="399" t="str">
        <f t="array" ref="C285">INDIRECT("Tableau!$G$96")</f>
        <v>Carbelle</v>
      </c>
      <c r="D285" s="400" t="str">
        <f t="shared" si="3"/>
        <v>OUT</v>
      </c>
      <c r="E285" s="401" t="str">
        <f t="array" ref="E285">INDIRECT("Tableau!$H$96")</f>
        <v/>
      </c>
    </row>
    <row r="286">
      <c r="A286" s="402">
        <f t="array" ref="A286">INDIRECT("Tableau!$A$97")</f>
        <v>332</v>
      </c>
      <c r="B286" s="398" t="s">
        <v>453</v>
      </c>
      <c r="C286" s="399" t="str">
        <f t="array" ref="C286">INDIRECT("Tableau!$G$97")</f>
        <v/>
      </c>
      <c r="D286" s="400" t="str">
        <f t="shared" si="3"/>
        <v>OUT</v>
      </c>
      <c r="E286" s="401" t="str">
        <f t="array" ref="E286">INDIRECT("Tableau!$H$97")</f>
        <v/>
      </c>
    </row>
    <row r="287">
      <c r="A287" s="402">
        <f t="array" ref="A287">INDIRECT("Tableau!$A$98")</f>
        <v>333</v>
      </c>
      <c r="B287" s="398" t="s">
        <v>453</v>
      </c>
      <c r="C287" s="400" t="str">
        <f t="array" ref="C287">INDIRECT("Tableau!$G$98")</f>
        <v>DEMA</v>
      </c>
      <c r="D287" s="400" t="str">
        <f t="shared" si="3"/>
        <v>OUT</v>
      </c>
      <c r="E287" s="401" t="str">
        <f t="array" ref="E287">INDIRECT("Tableau!$H$98")</f>
        <v/>
      </c>
    </row>
    <row r="288">
      <c r="A288" s="402">
        <f t="array" ref="A288">INDIRECT("Tableau!$A$99")</f>
        <v>334</v>
      </c>
      <c r="B288" s="398" t="s">
        <v>453</v>
      </c>
      <c r="C288" s="399" t="str">
        <f t="array" ref="C288">INDIRECT("Tableau!$G$99")</f>
        <v>Bloqué</v>
      </c>
      <c r="D288" s="400" t="str">
        <f t="shared" si="3"/>
        <v>OUT</v>
      </c>
      <c r="E288" s="401" t="str">
        <f t="array" ref="E288">INDIRECT("Tableau!$H$99")</f>
        <v/>
      </c>
    </row>
    <row r="289">
      <c r="A289" s="402">
        <f t="array" ref="A289">INDIRECT("Tableau!$A$100")</f>
        <v>335</v>
      </c>
      <c r="B289" s="398" t="s">
        <v>453</v>
      </c>
      <c r="C289" s="399" t="str">
        <f t="array" ref="C289">INDIRECT("Tableau!$G$100")</f>
        <v>Carbelle</v>
      </c>
      <c r="D289" s="400" t="str">
        <f t="shared" si="3"/>
        <v>OUT</v>
      </c>
      <c r="E289" s="401" t="str">
        <f t="array" ref="E289">INDIRECT("Tableau!$H$100")</f>
        <v/>
      </c>
    </row>
    <row r="290">
      <c r="A290" s="402">
        <f t="array" ref="A290">INDIRECT("Tableau!$A$101")</f>
        <v>336</v>
      </c>
      <c r="B290" s="398" t="s">
        <v>453</v>
      </c>
      <c r="C290" s="399" t="str">
        <f t="array" ref="C290">INDIRECT("Tableau!$G$101")</f>
        <v/>
      </c>
      <c r="D290" s="400" t="str">
        <f t="shared" si="3"/>
        <v>OUT</v>
      </c>
      <c r="E290" s="401" t="str">
        <f t="array" ref="E290">INDIRECT("Tableau!$H$101")</f>
        <v/>
      </c>
    </row>
    <row r="291">
      <c r="A291" s="402">
        <f t="array" ref="A291">INDIRECT("Tableau!$A$102")</f>
        <v>337</v>
      </c>
      <c r="B291" s="398" t="s">
        <v>453</v>
      </c>
      <c r="C291" s="399" t="str">
        <f t="array" ref="C291">INDIRECT("Tableau!$G$102")</f>
        <v>Carbelle</v>
      </c>
      <c r="D291" s="400" t="str">
        <f t="shared" si="3"/>
        <v>OUT</v>
      </c>
      <c r="E291" s="401" t="str">
        <f t="array" ref="E291">INDIRECT("Tableau!$H$102")</f>
        <v/>
      </c>
    </row>
    <row r="292">
      <c r="A292" s="402">
        <f t="array" ref="A292">INDIRECT("Tableau!$A$103")</f>
        <v>338</v>
      </c>
      <c r="B292" s="398" t="s">
        <v>453</v>
      </c>
      <c r="C292" s="399" t="str">
        <f t="array" ref="C292">INDIRECT("Tableau!$G$103")</f>
        <v/>
      </c>
      <c r="D292" s="400" t="str">
        <f t="shared" si="3"/>
        <v>OUT</v>
      </c>
      <c r="E292" s="401" t="str">
        <f t="array" ref="E292">INDIRECT("Tableau!$H$103")</f>
        <v/>
      </c>
    </row>
    <row r="293">
      <c r="A293" s="402">
        <f t="array" ref="A293">INDIRECT("Tableau!$A$104")</f>
        <v>339</v>
      </c>
      <c r="B293" s="398" t="s">
        <v>453</v>
      </c>
      <c r="C293" s="399" t="str">
        <f t="array" ref="C293">INDIRECT("Tableau!$G$104")</f>
        <v/>
      </c>
      <c r="D293" s="400" t="str">
        <f t="shared" si="3"/>
        <v>OUT</v>
      </c>
      <c r="E293" s="401" t="str">
        <f t="array" ref="E293">INDIRECT("Tableau!$H$104")</f>
        <v/>
      </c>
    </row>
    <row r="294">
      <c r="A294" s="402">
        <f t="array" ref="A294">INDIRECT("Tableau!$A$105")</f>
        <v>340</v>
      </c>
      <c r="B294" s="398" t="s">
        <v>453</v>
      </c>
      <c r="C294" s="400" t="str">
        <f t="array" ref="C294">INDIRECT("Tableau!$G$105")</f>
        <v/>
      </c>
      <c r="D294" s="400" t="str">
        <f t="shared" si="3"/>
        <v>OUT</v>
      </c>
      <c r="E294" s="401" t="str">
        <f t="array" ref="E294">INDIRECT("Tableau!$H$105")</f>
        <v/>
      </c>
    </row>
    <row r="295">
      <c r="A295" s="402">
        <f t="array" ref="A295">INDIRECT("Tableau!$A$106")</f>
        <v>341</v>
      </c>
      <c r="B295" s="398" t="s">
        <v>453</v>
      </c>
      <c r="C295" s="400" t="str">
        <f t="array" ref="C295">INDIRECT("Tableau!$G$106")</f>
        <v/>
      </c>
      <c r="D295" s="400" t="str">
        <f t="shared" si="3"/>
        <v>OUT</v>
      </c>
      <c r="E295" s="401" t="str">
        <f t="array" ref="E295">INDIRECT("Tableau!$H$106")</f>
        <v/>
      </c>
    </row>
    <row r="296">
      <c r="A296" s="402">
        <f t="array" ref="A296">INDIRECT("Tableau!$A$107")</f>
        <v>365</v>
      </c>
      <c r="B296" s="398" t="s">
        <v>453</v>
      </c>
      <c r="C296" s="400" t="str">
        <f t="array" ref="C296">INDIRECT("Tableau!$G$107")</f>
        <v>Carbelle</v>
      </c>
      <c r="D296" s="400" t="str">
        <f t="shared" si="3"/>
        <v>OUT</v>
      </c>
      <c r="E296" s="401" t="str">
        <f t="array" ref="E296">INDIRECT("Tableau!$H$107")</f>
        <v/>
      </c>
    </row>
    <row r="297">
      <c r="A297" s="402">
        <f t="array" ref="A297">INDIRECT("Tableau!$A$108")</f>
        <v>342</v>
      </c>
      <c r="B297" s="398" t="s">
        <v>453</v>
      </c>
      <c r="C297" s="400" t="str">
        <f t="array" ref="C297">INDIRECT("Tableau!$G$108")</f>
        <v/>
      </c>
      <c r="D297" s="400" t="str">
        <f t="shared" si="3"/>
        <v>OUT</v>
      </c>
      <c r="E297" s="401" t="str">
        <f t="array" ref="E297">INDIRECT("Tableau!$H$108")</f>
        <v/>
      </c>
    </row>
    <row r="298">
      <c r="A298" s="402">
        <f t="array" ref="A298">INDIRECT("Tableau!$A$109")</f>
        <v>343</v>
      </c>
      <c r="B298" s="398" t="s">
        <v>453</v>
      </c>
      <c r="C298" s="399" t="str">
        <f t="array" ref="C298">INDIRECT("Tableau!$G$109")</f>
        <v/>
      </c>
      <c r="D298" s="400" t="str">
        <f t="shared" si="3"/>
        <v>OUT</v>
      </c>
      <c r="E298" s="401" t="str">
        <f t="array" ref="E298">INDIRECT("Tableau!$H$109")</f>
        <v/>
      </c>
    </row>
    <row r="299">
      <c r="A299" s="402">
        <f t="array" ref="A299">INDIRECT("Tableau!$A$110")</f>
        <v>344</v>
      </c>
      <c r="B299" s="398" t="s">
        <v>453</v>
      </c>
      <c r="C299" s="399" t="str">
        <f t="array" ref="C299">INDIRECT("Tableau!$G$110")</f>
        <v>Usico</v>
      </c>
      <c r="D299" s="400" t="str">
        <f t="shared" si="3"/>
        <v>OUT</v>
      </c>
      <c r="E299" s="401" t="str">
        <f t="array" ref="E299">INDIRECT("Tableau!$H$110")</f>
        <v/>
      </c>
    </row>
    <row r="300">
      <c r="A300" s="402">
        <f t="array" ref="A300">INDIRECT("Tableau!$A$111")</f>
        <v>363</v>
      </c>
      <c r="B300" s="398" t="s">
        <v>453</v>
      </c>
      <c r="C300" s="399" t="str">
        <f t="array" ref="C300">INDIRECT("Tableau!$G$111")</f>
        <v/>
      </c>
      <c r="D300" s="400" t="str">
        <f t="shared" si="3"/>
        <v>OUT</v>
      </c>
      <c r="E300" s="401" t="str">
        <f t="array" ref="E300">INDIRECT("Tableau!$H$111")</f>
        <v/>
      </c>
    </row>
    <row r="301">
      <c r="A301" s="402">
        <f t="array" ref="A301">INDIRECT("Tableau!$A$112")</f>
        <v>345</v>
      </c>
      <c r="B301" s="398" t="s">
        <v>453</v>
      </c>
      <c r="C301" s="399" t="str">
        <f t="array" ref="C301">INDIRECT("Tableau!$G$112")</f>
        <v/>
      </c>
      <c r="D301" s="400" t="str">
        <f t="shared" si="3"/>
        <v>OUT</v>
      </c>
      <c r="E301" s="401" t="str">
        <f t="array" ref="E301">INDIRECT("Tableau!$H$112")</f>
        <v/>
      </c>
    </row>
    <row r="302">
      <c r="A302" s="402">
        <f t="array" ref="A302">INDIRECT("Tableau!$A$113")</f>
        <v>346</v>
      </c>
      <c r="B302" s="398" t="s">
        <v>453</v>
      </c>
      <c r="C302" s="399" t="str">
        <f t="array" ref="C302">INDIRECT("Tableau!$G$113")</f>
        <v/>
      </c>
      <c r="D302" s="400" t="str">
        <f t="shared" si="3"/>
        <v>OUT</v>
      </c>
      <c r="E302" s="401" t="str">
        <f t="array" ref="E302">INDIRECT("Tableau!$H$113")</f>
        <v/>
      </c>
    </row>
    <row r="303">
      <c r="A303" s="402">
        <f t="array" ref="A303">INDIRECT("Tableau!$A$114")</f>
        <v>359</v>
      </c>
      <c r="B303" s="398" t="s">
        <v>453</v>
      </c>
      <c r="C303" s="399" t="str">
        <f t="array" ref="C303">INDIRECT("Tableau!$G$114")</f>
        <v/>
      </c>
      <c r="D303" s="400" t="str">
        <f t="shared" si="3"/>
        <v>OUT</v>
      </c>
      <c r="E303" s="401" t="str">
        <f t="array" ref="E303">INDIRECT("Tableau!$H$114")</f>
        <v/>
      </c>
    </row>
    <row r="304">
      <c r="A304" s="402">
        <f t="array" ref="A304">INDIRECT("Tableau!$A$115")</f>
        <v>360</v>
      </c>
      <c r="B304" s="398" t="s">
        <v>453</v>
      </c>
      <c r="C304" s="399" t="str">
        <f t="array" ref="C304">INDIRECT("Tableau!$G$115")</f>
        <v/>
      </c>
      <c r="D304" s="400" t="str">
        <f t="shared" si="3"/>
        <v>OUT</v>
      </c>
      <c r="E304" s="401" t="str">
        <f t="array" ref="E304">INDIRECT("Tableau!$H$115")</f>
        <v/>
      </c>
    </row>
    <row r="305">
      <c r="A305" s="402">
        <f t="array" ref="A305">INDIRECT("Tableau!$A$116")</f>
        <v>361</v>
      </c>
      <c r="B305" s="398" t="s">
        <v>453</v>
      </c>
      <c r="C305" s="399" t="str">
        <f t="array" ref="C305">INDIRECT("Tableau!$G$116")</f>
        <v/>
      </c>
      <c r="D305" s="400" t="str">
        <f t="shared" si="3"/>
        <v>OUT</v>
      </c>
      <c r="E305" s="401" t="str">
        <f t="array" ref="E305">INDIRECT("Tableau!$H$116")</f>
        <v/>
      </c>
    </row>
    <row r="306">
      <c r="A306" s="397" t="str">
        <f t="array" ref="A306">INDIRECT("Tableau!$A$117")</f>
        <v/>
      </c>
      <c r="B306" s="398" t="s">
        <v>453</v>
      </c>
      <c r="C306" s="400" t="str">
        <f t="array" ref="C306">INDIRECT("Tableau!$G$117")</f>
        <v/>
      </c>
      <c r="D306" s="400" t="str">
        <f t="shared" si="3"/>
        <v>OUT</v>
      </c>
      <c r="E306" s="401" t="str">
        <f t="array" ref="E306">INDIRECT("Tableau!$H$117")</f>
        <v/>
      </c>
    </row>
    <row r="307">
      <c r="A307" s="402">
        <f t="array" ref="A307">INDIRECT("Tableau!$A$118")</f>
        <v>347</v>
      </c>
      <c r="B307" s="398" t="s">
        <v>453</v>
      </c>
      <c r="C307" s="400" t="str">
        <f t="array" ref="C307">INDIRECT("Tableau!$G$118")</f>
        <v>Batimoi</v>
      </c>
      <c r="D307" s="400" t="str">
        <f t="shared" si="3"/>
        <v>OUT</v>
      </c>
      <c r="E307" s="401" t="str">
        <f t="array" ref="E307">INDIRECT("Tableau!$H$118")</f>
        <v/>
      </c>
    </row>
    <row r="308">
      <c r="A308" s="402">
        <f t="array" ref="A308">INDIRECT("Tableau!$A$119")</f>
        <v>348</v>
      </c>
      <c r="B308" s="398" t="s">
        <v>453</v>
      </c>
      <c r="C308" s="399" t="str">
        <f t="array" ref="C308">INDIRECT("Tableau!$G$119")</f>
        <v/>
      </c>
      <c r="D308" s="400" t="str">
        <f t="shared" si="3"/>
        <v>OUT</v>
      </c>
      <c r="E308" s="401" t="str">
        <f t="array" ref="E308">INDIRECT("Tableau!$H$119")</f>
        <v>Batimoi</v>
      </c>
    </row>
    <row r="309">
      <c r="A309" s="402">
        <f t="array" ref="A309">INDIRECT("Tableau!$A$120")</f>
        <v>349</v>
      </c>
      <c r="B309" s="398" t="s">
        <v>453</v>
      </c>
      <c r="C309" s="400" t="str">
        <f t="array" ref="C309">INDIRECT("Tableau!$G$120")</f>
        <v>DEMA</v>
      </c>
      <c r="D309" s="400" t="str">
        <f t="shared" si="3"/>
        <v>OUT</v>
      </c>
      <c r="E309" s="401" t="str">
        <f t="array" ref="E309">INDIRECT("Tableau!$H$120")</f>
        <v/>
      </c>
    </row>
    <row r="310">
      <c r="A310" s="402">
        <f t="array" ref="A310">INDIRECT("Tableau!$A$121")</f>
        <v>350</v>
      </c>
      <c r="B310" s="398" t="s">
        <v>453</v>
      </c>
      <c r="C310" s="399" t="str">
        <f t="array" ref="C310">INDIRECT("Tableau!$G$121")</f>
        <v/>
      </c>
      <c r="D310" s="400" t="str">
        <f t="shared" si="3"/>
        <v>OUT</v>
      </c>
      <c r="E310" s="401" t="str">
        <f t="array" ref="E310">INDIRECT("Tableau!$H$121")</f>
        <v>Batimoi</v>
      </c>
    </row>
    <row r="311">
      <c r="A311" s="402">
        <f t="array" ref="A311">INDIRECT("Tableau!$A$122")</f>
        <v>351</v>
      </c>
      <c r="B311" s="398" t="s">
        <v>453</v>
      </c>
      <c r="C311" s="399" t="str">
        <f t="array" ref="C311">INDIRECT("Tableau!$G$122")</f>
        <v/>
      </c>
      <c r="D311" s="400" t="str">
        <f t="shared" si="3"/>
        <v>OUT</v>
      </c>
      <c r="E311" s="401" t="str">
        <f t="array" ref="E311">INDIRECT("Tableau!$H$122")</f>
        <v>Batimoi</v>
      </c>
    </row>
    <row r="312">
      <c r="A312" s="402">
        <f t="array" ref="A312">INDIRECT("Tableau!$A$123")</f>
        <v>352</v>
      </c>
      <c r="B312" s="398" t="s">
        <v>453</v>
      </c>
      <c r="C312" s="399" t="str">
        <f t="array" ref="C312">INDIRECT("Tableau!$G$123")</f>
        <v>DEMA</v>
      </c>
      <c r="D312" s="400" t="str">
        <f t="shared" si="3"/>
        <v>OUT</v>
      </c>
      <c r="E312" s="401" t="str">
        <f t="array" ref="E312">INDIRECT("Tableau!$H$123")</f>
        <v/>
      </c>
    </row>
    <row r="313">
      <c r="A313" s="402">
        <f t="array" ref="A313">INDIRECT("Tableau!$A$124")</f>
        <v>353</v>
      </c>
      <c r="B313" s="398" t="s">
        <v>453</v>
      </c>
      <c r="C313" s="399" t="str">
        <f t="array" ref="C313">INDIRECT("Tableau!$G$124")</f>
        <v/>
      </c>
      <c r="D313" s="400" t="str">
        <f t="shared" si="3"/>
        <v>OUT</v>
      </c>
      <c r="E313" s="401" t="str">
        <f t="array" ref="E313">INDIRECT("Tableau!$H$124")</f>
        <v/>
      </c>
    </row>
    <row r="314">
      <c r="A314" s="397" t="str">
        <f t="array" ref="A314">INDIRECT("Tableau!$A$125")</f>
        <v/>
      </c>
      <c r="B314" s="398" t="s">
        <v>453</v>
      </c>
      <c r="C314" s="399" t="str">
        <f t="array" ref="C314">INDIRECT("Tableau!$G$125")</f>
        <v/>
      </c>
      <c r="D314" s="400" t="str">
        <f t="shared" si="3"/>
        <v>OUT</v>
      </c>
      <c r="E314" s="401" t="str">
        <f t="array" ref="E314">INDIRECT("Tableau!$H$125")</f>
        <v/>
      </c>
    </row>
    <row r="315">
      <c r="A315" s="402">
        <f t="array" ref="A315">INDIRECT("Tableau!$A$126")</f>
        <v>354</v>
      </c>
      <c r="B315" s="398" t="s">
        <v>453</v>
      </c>
      <c r="C315" s="399" t="str">
        <f t="array" ref="C315">INDIRECT("Tableau!$G$126")</f>
        <v/>
      </c>
      <c r="D315" s="400" t="str">
        <f t="shared" si="3"/>
        <v>OUT</v>
      </c>
      <c r="E315" s="401" t="str">
        <f t="array" ref="E315">INDIRECT("Tableau!$H$126")</f>
        <v/>
      </c>
    </row>
    <row r="316">
      <c r="A316" s="404">
        <f t="array" ref="A316">INDIRECT("Tableau!$A$127")</f>
        <v>355</v>
      </c>
      <c r="B316" s="398" t="s">
        <v>453</v>
      </c>
      <c r="C316" s="399" t="str">
        <f t="array" ref="C316">INDIRECT("Tableau!$G$127")</f>
        <v/>
      </c>
      <c r="D316" s="400" t="str">
        <f t="shared" si="3"/>
        <v>OUT</v>
      </c>
      <c r="E316" s="401" t="str">
        <f t="array" ref="E316">INDIRECT("Tableau!$H$127")</f>
        <v/>
      </c>
    </row>
    <row r="317">
      <c r="A317" s="404">
        <f t="array" ref="A317">INDIRECT("Tableau!$A$128")</f>
        <v>356</v>
      </c>
      <c r="B317" s="398" t="s">
        <v>453</v>
      </c>
      <c r="C317" s="399" t="str">
        <f t="array" ref="C317">INDIRECT("Tableau!$G$128")</f>
        <v/>
      </c>
      <c r="D317" s="400" t="str">
        <f t="shared" si="3"/>
        <v>OUT</v>
      </c>
      <c r="E317" s="401" t="str">
        <f t="array" ref="E317">INDIRECT("Tableau!$H$128")</f>
        <v/>
      </c>
    </row>
    <row r="318">
      <c r="A318" s="404">
        <f t="array" ref="A318">INDIRECT("Tableau!$A$129")</f>
        <v>357</v>
      </c>
      <c r="B318" s="398" t="s">
        <v>453</v>
      </c>
      <c r="C318" s="399" t="str">
        <f t="array" ref="C318">INDIRECT("Tableau!$G$129")</f>
        <v/>
      </c>
      <c r="D318" s="400" t="str">
        <f t="shared" si="3"/>
        <v>OUT</v>
      </c>
      <c r="E318" s="401" t="str">
        <f t="array" ref="E318">INDIRECT("Tableau!$H$129")</f>
        <v/>
      </c>
    </row>
    <row r="319">
      <c r="A319" s="405" t="str">
        <f t="array" ref="A319">INDIRECT("Tableau!$A$130")</f>
        <v/>
      </c>
      <c r="B319" s="398" t="s">
        <v>453</v>
      </c>
      <c r="C319" s="399" t="str">
        <f t="array" ref="C319">INDIRECT("Tableau!$G$130")</f>
        <v/>
      </c>
      <c r="D319" s="400" t="str">
        <f t="shared" si="3"/>
        <v>OUT</v>
      </c>
      <c r="E319" s="401" t="str">
        <f t="array" ref="E319">INDIRECT("Tableau!$H$130")</f>
        <v/>
      </c>
    </row>
    <row r="320">
      <c r="A320" s="405" t="str">
        <f t="array" ref="A320">INDIRECT("Tableau!$A$131")</f>
        <v/>
      </c>
      <c r="B320" s="398" t="s">
        <v>453</v>
      </c>
      <c r="C320" s="399" t="str">
        <f t="array" ref="C320">INDIRECT("Tableau!$G$131")</f>
        <v/>
      </c>
      <c r="D320" s="400" t="str">
        <f t="shared" si="3"/>
        <v>OUT</v>
      </c>
      <c r="E320" s="401" t="str">
        <f t="array" ref="E320">INDIRECT("Tableau!$H$131")</f>
        <v/>
      </c>
    </row>
    <row r="321">
      <c r="A321" s="405" t="str">
        <f t="array" ref="A321">INDIRECT("Tableau!$A$132")</f>
        <v/>
      </c>
      <c r="B321" s="398" t="s">
        <v>453</v>
      </c>
      <c r="C321" s="399" t="str">
        <f t="array" ref="C321">INDIRECT("Tableau!$G$132")</f>
        <v/>
      </c>
      <c r="D321" s="400" t="str">
        <f t="shared" si="3"/>
        <v>OUT</v>
      </c>
      <c r="E321" s="401" t="str">
        <f t="array" ref="E321">INDIRECT("Tableau!$H$132")</f>
        <v/>
      </c>
    </row>
    <row r="322">
      <c r="A322" s="405" t="str">
        <f t="array" ref="A322">INDIRECT("Tableau!$A$133")</f>
        <v/>
      </c>
      <c r="B322" s="398" t="s">
        <v>453</v>
      </c>
      <c r="C322" s="399" t="str">
        <f t="array" ref="C322">INDIRECT("Tableau!$G$133")</f>
        <v/>
      </c>
      <c r="D322" s="400" t="str">
        <f t="shared" si="3"/>
        <v>OUT</v>
      </c>
      <c r="E322" s="401" t="str">
        <f t="array" ref="E322">INDIRECT("Tableau!$H$133")</f>
        <v/>
      </c>
    </row>
    <row r="323">
      <c r="A323" s="405" t="str">
        <f t="array" ref="A323">INDIRECT("Tableau!$A$134")</f>
        <v/>
      </c>
      <c r="B323" s="398" t="s">
        <v>453</v>
      </c>
      <c r="C323" s="399" t="str">
        <f t="array" ref="C323">INDIRECT("Tableau!$G$134")</f>
        <v/>
      </c>
      <c r="D323" s="400" t="str">
        <f t="shared" si="3"/>
        <v>OUT</v>
      </c>
      <c r="E323" s="401" t="str">
        <f t="array" ref="E323">INDIRECT("Tableau!$H$134")</f>
        <v/>
      </c>
    </row>
    <row r="324">
      <c r="A324" s="402">
        <f t="array" ref="A324">INDIRECT("Tableau!$A$135")</f>
        <v>401</v>
      </c>
      <c r="B324" s="398" t="s">
        <v>453</v>
      </c>
      <c r="C324" s="399" t="str">
        <f t="array" ref="C324">INDIRECT("Tableau!$G$135")</f>
        <v/>
      </c>
      <c r="D324" s="400" t="str">
        <f t="shared" si="3"/>
        <v>OUT</v>
      </c>
      <c r="E324" s="401" t="str">
        <f t="array" ref="E324">INDIRECT("Tableau!$H$135")</f>
        <v/>
      </c>
    </row>
    <row r="325">
      <c r="A325" s="402">
        <f t="array" ref="A325">INDIRECT("Tableau!$A$136")</f>
        <v>402</v>
      </c>
      <c r="B325" s="398" t="s">
        <v>453</v>
      </c>
      <c r="C325" s="399" t="str">
        <f t="array" ref="C325">INDIRECT("Tableau!$G$136")</f>
        <v>Carbelle</v>
      </c>
      <c r="D325" s="400" t="str">
        <f t="shared" si="3"/>
        <v>OUT</v>
      </c>
      <c r="E325" s="401" t="str">
        <f t="array" ref="E325">INDIRECT("Tableau!$H$136")</f>
        <v/>
      </c>
    </row>
    <row r="326">
      <c r="A326" s="402">
        <f t="array" ref="A326">INDIRECT("Tableau!$A$137")</f>
        <v>403</v>
      </c>
      <c r="B326" s="398" t="s">
        <v>453</v>
      </c>
      <c r="C326" s="399" t="str">
        <f t="array" ref="C326">INDIRECT("Tableau!$G$137")</f>
        <v/>
      </c>
      <c r="D326" s="400" t="str">
        <f t="shared" si="3"/>
        <v>OUT</v>
      </c>
      <c r="E326" s="401" t="str">
        <f t="array" ref="E326">INDIRECT("Tableau!$H$137")</f>
        <v/>
      </c>
    </row>
    <row r="327">
      <c r="A327" s="402">
        <f t="array" ref="A327">INDIRECT("Tableau!$A$138")</f>
        <v>404</v>
      </c>
      <c r="B327" s="398" t="s">
        <v>453</v>
      </c>
      <c r="C327" s="399" t="str">
        <f t="array" ref="C327">INDIRECT("Tableau!$G$138")</f>
        <v/>
      </c>
      <c r="D327" s="400" t="str">
        <f t="shared" si="3"/>
        <v>OUT</v>
      </c>
      <c r="E327" s="401" t="str">
        <f t="array" ref="E327">INDIRECT("Tableau!$H$138")</f>
        <v/>
      </c>
    </row>
    <row r="328">
      <c r="A328" s="402">
        <f t="array" ref="A328">INDIRECT("Tableau!$A$139")</f>
        <v>405</v>
      </c>
      <c r="B328" s="398" t="s">
        <v>453</v>
      </c>
      <c r="C328" s="400" t="str">
        <f t="array" ref="C328">INDIRECT("Tableau!$G$139")</f>
        <v/>
      </c>
      <c r="D328" s="400" t="str">
        <f t="shared" si="3"/>
        <v>OUT</v>
      </c>
      <c r="E328" s="401" t="str">
        <f t="array" ref="E328">INDIRECT("Tableau!$H$139")</f>
        <v/>
      </c>
    </row>
    <row r="329">
      <c r="A329" s="402">
        <f t="array" ref="A329">INDIRECT("Tableau!$A$140")</f>
        <v>406</v>
      </c>
      <c r="B329" s="398" t="s">
        <v>453</v>
      </c>
      <c r="C329" s="399" t="str">
        <f t="array" ref="C329">INDIRECT("Tableau!$G$140")</f>
        <v/>
      </c>
      <c r="D329" s="400" t="str">
        <f t="shared" si="3"/>
        <v>OUT</v>
      </c>
      <c r="E329" s="401" t="str">
        <f t="array" ref="E329">INDIRECT("Tableau!$H$140")</f>
        <v/>
      </c>
    </row>
    <row r="330">
      <c r="A330" s="404">
        <f t="array" ref="A330">INDIRECT("Tableau!$A$141")</f>
        <v>407</v>
      </c>
      <c r="B330" s="398" t="s">
        <v>453</v>
      </c>
      <c r="C330" s="399" t="str">
        <f t="array" ref="C330">INDIRECT("Tableau!$G$141")</f>
        <v/>
      </c>
      <c r="D330" s="400" t="str">
        <f t="shared" si="3"/>
        <v>OUT</v>
      </c>
      <c r="E330" s="401" t="str">
        <f t="array" ref="E330">INDIRECT("Tableau!$H$141")</f>
        <v/>
      </c>
    </row>
    <row r="331">
      <c r="A331" s="404">
        <f t="array" ref="A331">INDIRECT("Tableau!$A$142")</f>
        <v>408</v>
      </c>
      <c r="B331" s="398" t="s">
        <v>453</v>
      </c>
      <c r="C331" s="399" t="str">
        <f t="array" ref="C331">INDIRECT("Tableau!$G$142")</f>
        <v/>
      </c>
      <c r="D331" s="400" t="str">
        <f t="shared" si="3"/>
        <v>OUT</v>
      </c>
      <c r="E331" s="401" t="str">
        <f t="array" ref="E331">INDIRECT("Tableau!$H$142")</f>
        <v/>
      </c>
    </row>
    <row r="332">
      <c r="A332" s="404">
        <f t="array" ref="A332">INDIRECT("Tableau!$A$143")</f>
        <v>409</v>
      </c>
      <c r="B332" s="398" t="s">
        <v>453</v>
      </c>
      <c r="C332" s="399" t="str">
        <f t="array" ref="C332">INDIRECT("Tableau!$G$143")</f>
        <v/>
      </c>
      <c r="D332" s="400" t="str">
        <f t="shared" si="3"/>
        <v>OUT</v>
      </c>
      <c r="E332" s="401" t="str">
        <f t="array" ref="E332">INDIRECT("Tableau!$H$143")</f>
        <v/>
      </c>
    </row>
    <row r="333">
      <c r="A333" s="397">
        <f t="array" ref="A333">INDIRECT("Tableau!$A$144")</f>
        <v>415</v>
      </c>
      <c r="B333" s="398" t="s">
        <v>453</v>
      </c>
      <c r="C333" s="400" t="str">
        <f t="array" ref="C333">INDIRECT("Tableau!$G$144")</f>
        <v/>
      </c>
      <c r="D333" s="400" t="str">
        <f t="shared" si="3"/>
        <v>OUT</v>
      </c>
      <c r="E333" s="403" t="str">
        <f t="array" ref="E333">INDIRECT("Tableau!$H$144")</f>
        <v/>
      </c>
    </row>
    <row r="334">
      <c r="A334" s="397" t="str">
        <f t="array" ref="A334">INDIRECT("Tableau!$A$145")</f>
        <v/>
      </c>
      <c r="B334" s="398" t="s">
        <v>453</v>
      </c>
      <c r="C334" s="400" t="str">
        <f t="array" ref="C334">INDIRECT("Tableau!$G$145")</f>
        <v/>
      </c>
      <c r="D334" s="400" t="str">
        <f t="shared" si="3"/>
        <v>OUT</v>
      </c>
      <c r="E334" s="403" t="str">
        <f t="array" ref="E334">INDIRECT("Tableau!$H$145")</f>
        <v/>
      </c>
    </row>
    <row r="335">
      <c r="A335" s="397" t="str">
        <f t="array" ref="A335">INDIRECT("Tableau!$A$146")</f>
        <v/>
      </c>
      <c r="B335" s="398" t="s">
        <v>453</v>
      </c>
      <c r="C335" s="400" t="str">
        <f t="array" ref="C335">INDIRECT("Tableau!$G$146")</f>
        <v/>
      </c>
      <c r="D335" s="400" t="str">
        <f t="shared" si="3"/>
        <v>OUT</v>
      </c>
      <c r="E335" s="403" t="str">
        <f t="array" ref="E335">INDIRECT("Tableau!$H$146")</f>
        <v/>
      </c>
    </row>
    <row r="336">
      <c r="A336" s="397" t="str">
        <f t="array" ref="A336">INDIRECT("Tableau!$A$147")</f>
        <v/>
      </c>
      <c r="B336" s="398" t="s">
        <v>453</v>
      </c>
      <c r="C336" s="400" t="str">
        <f t="array" ref="C336">INDIRECT("Tableau!$G$147")</f>
        <v/>
      </c>
      <c r="D336" s="400" t="str">
        <f t="shared" si="3"/>
        <v>OUT</v>
      </c>
      <c r="E336" s="403" t="str">
        <f t="array" ref="E336">INDIRECT("Tableau!$H$147")</f>
        <v/>
      </c>
    </row>
    <row r="337">
      <c r="A337" s="397" t="str">
        <f t="array" ref="A337">INDIRECT("Tableau!$A$148")</f>
        <v/>
      </c>
      <c r="B337" s="398" t="s">
        <v>453</v>
      </c>
      <c r="C337" s="400" t="str">
        <f t="array" ref="C337">INDIRECT("Tableau!$G$148")</f>
        <v/>
      </c>
      <c r="D337" s="400" t="str">
        <f t="shared" si="3"/>
        <v>OUT</v>
      </c>
      <c r="E337" s="403" t="str">
        <f t="array" ref="E337">INDIRECT("Tableau!$H$148")</f>
        <v/>
      </c>
    </row>
    <row r="338">
      <c r="A338" s="397" t="str">
        <f t="array" ref="A338">INDIRECT("Tableau!$A$149")</f>
        <v/>
      </c>
      <c r="B338" s="398" t="s">
        <v>453</v>
      </c>
      <c r="C338" s="400" t="str">
        <f t="array" ref="C338">INDIRECT("Tableau!$G$149")</f>
        <v/>
      </c>
      <c r="D338" s="400" t="str">
        <f t="shared" si="3"/>
        <v>OUT</v>
      </c>
      <c r="E338" s="403" t="str">
        <f t="array" ref="E338">INDIRECT("Tableau!$H$149")</f>
        <v/>
      </c>
    </row>
    <row r="339">
      <c r="A339" s="397" t="str">
        <f t="array" ref="A339">INDIRECT("Tableau!$A$150")</f>
        <v/>
      </c>
      <c r="B339" s="398" t="s">
        <v>453</v>
      </c>
      <c r="C339" s="400" t="str">
        <f t="array" ref="C339">INDIRECT("Tableau!$G$150")</f>
        <v/>
      </c>
      <c r="D339" s="400" t="str">
        <f t="shared" si="3"/>
        <v>OUT</v>
      </c>
      <c r="E339" s="403" t="str">
        <f t="array" ref="E339">INDIRECT("Tableau!$H$150")</f>
        <v/>
      </c>
    </row>
    <row r="340">
      <c r="A340" s="397" t="str">
        <f t="array" ref="A340">INDIRECT("Tableau!$A$151")</f>
        <v/>
      </c>
      <c r="B340" s="398" t="s">
        <v>453</v>
      </c>
      <c r="C340" s="400" t="str">
        <f t="array" ref="C340">INDIRECT("Tableau!$G$151")</f>
        <v/>
      </c>
      <c r="D340" s="400" t="str">
        <f t="shared" si="3"/>
        <v>OUT</v>
      </c>
      <c r="E340" s="403" t="str">
        <f t="array" ref="E340">INDIRECT("Tableau!$H$151")</f>
        <v/>
      </c>
    </row>
    <row r="341">
      <c r="A341" s="397" t="str">
        <f t="array" ref="A341">INDIRECT("Tableau!$A$152")</f>
        <v/>
      </c>
      <c r="B341" s="398" t="s">
        <v>453</v>
      </c>
      <c r="C341" s="400" t="str">
        <f t="array" ref="C341">INDIRECT("Tableau!$G$152")</f>
        <v/>
      </c>
      <c r="D341" s="400" t="str">
        <f t="shared" si="3"/>
        <v>OUT</v>
      </c>
      <c r="E341" s="403" t="str">
        <f t="array" ref="E341">INDIRECT("Tableau!$H$152")</f>
        <v/>
      </c>
    </row>
    <row r="342">
      <c r="A342" s="397" t="str">
        <f t="array" ref="A342">INDIRECT("Tableau!$A$153")</f>
        <v/>
      </c>
      <c r="B342" s="398" t="s">
        <v>453</v>
      </c>
      <c r="C342" s="400" t="str">
        <f t="array" ref="C342">INDIRECT("Tableau!$G$153")</f>
        <v/>
      </c>
      <c r="D342" s="400" t="str">
        <f t="shared" si="3"/>
        <v>OUT</v>
      </c>
      <c r="E342" s="403" t="str">
        <f t="array" ref="E342">INDIRECT("Tableau!$H$153")</f>
        <v/>
      </c>
    </row>
    <row r="343">
      <c r="A343" s="402">
        <f t="array" ref="A343">INDIRECT("Tableau!$A$154")</f>
        <v>501</v>
      </c>
      <c r="B343" s="398" t="s">
        <v>453</v>
      </c>
      <c r="C343" s="400" t="str">
        <f t="array" ref="C343">INDIRECT("Tableau!$G$154")</f>
        <v>DPS</v>
      </c>
      <c r="D343" s="400" t="str">
        <f t="shared" si="3"/>
        <v>OUT</v>
      </c>
      <c r="E343" s="403" t="str">
        <f t="array" ref="E343">INDIRECT("Tableau!$H$154")</f>
        <v/>
      </c>
    </row>
    <row r="344">
      <c r="A344" s="402">
        <f t="array" ref="A344">INDIRECT("Tableau!$A$155")</f>
        <v>502</v>
      </c>
      <c r="B344" s="398" t="s">
        <v>453</v>
      </c>
      <c r="C344" s="400" t="str">
        <f t="array" ref="C344">INDIRECT("Tableau!$G$155")</f>
        <v>Carbelle</v>
      </c>
      <c r="D344" s="400" t="str">
        <f t="shared" si="3"/>
        <v>OUT</v>
      </c>
      <c r="E344" s="403" t="str">
        <f t="array" ref="E344">INDIRECT("Tableau!$H$155")</f>
        <v/>
      </c>
    </row>
    <row r="345">
      <c r="A345" s="397" t="str">
        <f t="array" ref="A345">INDIRECT("Tableau!$A$156")</f>
        <v/>
      </c>
      <c r="B345" s="398" t="s">
        <v>453</v>
      </c>
      <c r="C345" s="400" t="str">
        <f t="array" ref="C345">INDIRECT("Tableau!$G$156")</f>
        <v>Carbelle</v>
      </c>
      <c r="D345" s="400" t="str">
        <f t="shared" si="3"/>
        <v>OUT</v>
      </c>
      <c r="E345" s="403" t="str">
        <f t="array" ref="E345">INDIRECT("Tableau!$H$156")</f>
        <v/>
      </c>
    </row>
    <row r="346">
      <c r="A346" s="397" t="str">
        <f t="array" ref="A346">INDIRECT("Tableau!$A$157")</f>
        <v/>
      </c>
      <c r="B346" s="398" t="s">
        <v>453</v>
      </c>
      <c r="C346" s="400" t="str">
        <f t="array" ref="C346">INDIRECT("Tableau!$G$157")</f>
        <v>Carbelle</v>
      </c>
      <c r="D346" s="400" t="str">
        <f t="shared" si="3"/>
        <v>OUT</v>
      </c>
      <c r="E346" s="403" t="str">
        <f t="array" ref="E346">INDIRECT("Tableau!$H$157")</f>
        <v/>
      </c>
    </row>
    <row r="347">
      <c r="A347" s="402">
        <f t="array" ref="A347">INDIRECT("Tableau!$A$158")</f>
        <v>505</v>
      </c>
      <c r="B347" s="398" t="s">
        <v>453</v>
      </c>
      <c r="C347" s="400" t="str">
        <f t="array" ref="C347">INDIRECT("Tableau!$G$158")</f>
        <v>Carbelle</v>
      </c>
      <c r="D347" s="400" t="str">
        <f t="shared" si="3"/>
        <v>OUT</v>
      </c>
      <c r="E347" s="403" t="str">
        <f t="array" ref="E347">INDIRECT("Tableau!$H$158")</f>
        <v/>
      </c>
    </row>
    <row r="348">
      <c r="A348" s="402">
        <f t="array" ref="A348">INDIRECT("Tableau!$A$159")</f>
        <v>506</v>
      </c>
      <c r="B348" s="398" t="s">
        <v>453</v>
      </c>
      <c r="C348" s="400" t="str">
        <f t="array" ref="C348">INDIRECT("Tableau!$G$159")</f>
        <v>DPS</v>
      </c>
      <c r="D348" s="400" t="str">
        <f t="shared" si="3"/>
        <v>OUT</v>
      </c>
      <c r="E348" s="403" t="str">
        <f t="array" ref="E348">INDIRECT("Tableau!$H$159")</f>
        <v/>
      </c>
    </row>
    <row r="349">
      <c r="A349" s="402">
        <f t="array" ref="A349">INDIRECT("Tableau!$A$160")</f>
        <v>507</v>
      </c>
      <c r="B349" s="398" t="s">
        <v>453</v>
      </c>
      <c r="C349" s="400" t="str">
        <f t="array" ref="C349">INDIRECT("Tableau!$G$160")</f>
        <v/>
      </c>
      <c r="D349" s="400" t="str">
        <f t="shared" si="3"/>
        <v>OUT</v>
      </c>
      <c r="E349" s="403" t="str">
        <f t="array" ref="E349">INDIRECT("Tableau!$H$160")</f>
        <v/>
      </c>
    </row>
    <row r="350">
      <c r="A350" s="402">
        <f t="array" ref="A350">INDIRECT("Tableau!$A$161")</f>
        <v>508</v>
      </c>
      <c r="B350" s="398" t="s">
        <v>453</v>
      </c>
      <c r="C350" s="400" t="str">
        <f t="array" ref="C350">INDIRECT("Tableau!$G$161")</f>
        <v>DPS</v>
      </c>
      <c r="D350" s="400" t="str">
        <f t="shared" si="3"/>
        <v>OUT</v>
      </c>
      <c r="E350" s="403" t="str">
        <f t="array" ref="E350">INDIRECT("Tableau!$H$161")</f>
        <v/>
      </c>
    </row>
    <row r="351">
      <c r="A351" s="402">
        <f t="array" ref="A351">INDIRECT("Tableau!$A$162")</f>
        <v>509</v>
      </c>
      <c r="B351" s="398" t="s">
        <v>453</v>
      </c>
      <c r="C351" s="400" t="str">
        <f t="array" ref="C351">INDIRECT("Tableau!$G$162")</f>
        <v/>
      </c>
      <c r="D351" s="400" t="str">
        <f t="shared" si="3"/>
        <v>OUT</v>
      </c>
      <c r="E351" s="403" t="str">
        <f t="array" ref="E351">INDIRECT("Tableau!$H$162")</f>
        <v/>
      </c>
    </row>
    <row r="352">
      <c r="A352" s="397">
        <f t="array" ref="A352">INDIRECT("Tableau!$A$163")</f>
        <v>510</v>
      </c>
      <c r="B352" s="398" t="s">
        <v>453</v>
      </c>
      <c r="C352" s="400" t="str">
        <f t="array" ref="C352">INDIRECT("Tableau!$G$163")</f>
        <v/>
      </c>
      <c r="D352" s="400" t="str">
        <f t="shared" si="3"/>
        <v>OUT</v>
      </c>
      <c r="E352" s="403" t="str">
        <f t="array" ref="E352">INDIRECT("Tableau!$H$163")</f>
        <v/>
      </c>
    </row>
    <row r="353">
      <c r="A353" s="397" t="str">
        <f t="array" ref="A353">INDIRECT("Tableau!$A$164")</f>
        <v/>
      </c>
      <c r="B353" s="398" t="s">
        <v>453</v>
      </c>
      <c r="C353" s="400" t="str">
        <f t="array" ref="C353">INDIRECT("Tableau!$G$164")</f>
        <v/>
      </c>
      <c r="D353" s="400" t="str">
        <f t="shared" si="3"/>
        <v>OUT</v>
      </c>
      <c r="E353" s="403" t="str">
        <f t="array" ref="E353">INDIRECT("Tableau!$H$164")</f>
        <v/>
      </c>
    </row>
    <row r="354">
      <c r="A354" s="397" t="str">
        <f t="array" ref="A354">INDIRECT("Tableau!$A$165")</f>
        <v/>
      </c>
      <c r="B354" s="398" t="s">
        <v>453</v>
      </c>
      <c r="C354" s="400" t="str">
        <f t="array" ref="C354">INDIRECT("Tableau!$G$165")</f>
        <v/>
      </c>
      <c r="D354" s="400" t="str">
        <f t="shared" si="3"/>
        <v>OUT</v>
      </c>
      <c r="E354" s="403" t="str">
        <f t="array" ref="E354">INDIRECT("Tableau!$H$165")</f>
        <v/>
      </c>
    </row>
    <row r="355">
      <c r="A355" s="402">
        <f t="array" ref="A355">INDIRECT("Tableau!$A$166")</f>
        <v>527</v>
      </c>
      <c r="B355" s="398" t="s">
        <v>453</v>
      </c>
      <c r="C355" s="400" t="str">
        <f t="array" ref="C355">INDIRECT("Tableau!$G$166")</f>
        <v/>
      </c>
      <c r="D355" s="400" t="str">
        <f t="shared" si="3"/>
        <v>OUT</v>
      </c>
      <c r="E355" s="403" t="str">
        <f t="array" ref="E355">INDIRECT("Tableau!$H$166")</f>
        <v/>
      </c>
    </row>
    <row r="356">
      <c r="A356" s="402">
        <f t="array" ref="A356">INDIRECT("Tableau!$A$167")</f>
        <v>512</v>
      </c>
      <c r="B356" s="398" t="s">
        <v>453</v>
      </c>
      <c r="C356" s="400" t="str">
        <f t="array" ref="C356">INDIRECT("Tableau!$G$167")</f>
        <v/>
      </c>
      <c r="D356" s="400" t="str">
        <f t="shared" si="3"/>
        <v>OUT</v>
      </c>
      <c r="E356" s="403" t="str">
        <f t="array" ref="E356">INDIRECT("Tableau!$H$167")</f>
        <v/>
      </c>
    </row>
    <row r="357">
      <c r="A357" s="402">
        <f t="array" ref="A357">INDIRECT("Tableau!$A$168")</f>
        <v>513</v>
      </c>
      <c r="B357" s="398" t="s">
        <v>453</v>
      </c>
      <c r="C357" s="400" t="str">
        <f t="array" ref="C357">INDIRECT("Tableau!$G$168")</f>
        <v/>
      </c>
      <c r="D357" s="400" t="str">
        <f t="shared" si="3"/>
        <v>OUT</v>
      </c>
      <c r="E357" s="403" t="str">
        <f t="array" ref="E357">INDIRECT("Tableau!$H$168")</f>
        <v/>
      </c>
    </row>
    <row r="358">
      <c r="A358" s="402">
        <f t="array" ref="A358">INDIRECT("Tableau!$A$169")</f>
        <v>514</v>
      </c>
      <c r="B358" s="398" t="s">
        <v>453</v>
      </c>
      <c r="C358" s="400" t="str">
        <f t="array" ref="C358">INDIRECT("Tableau!$G$169")</f>
        <v/>
      </c>
      <c r="D358" s="400" t="str">
        <f t="shared" si="3"/>
        <v>OUT</v>
      </c>
      <c r="E358" s="403" t="str">
        <f t="array" ref="E358">INDIRECT("Tableau!$H$169")</f>
        <v/>
      </c>
    </row>
    <row r="359">
      <c r="A359" s="402">
        <f t="array" ref="A359">INDIRECT("Tableau!$A$170")</f>
        <v>515</v>
      </c>
      <c r="B359" s="398" t="s">
        <v>453</v>
      </c>
      <c r="C359" s="400" t="str">
        <f t="array" ref="C359">INDIRECT("Tableau!$G$170")</f>
        <v/>
      </c>
      <c r="D359" s="400" t="str">
        <f t="shared" si="3"/>
        <v>OUT</v>
      </c>
      <c r="E359" s="403" t="str">
        <f t="array" ref="E359">INDIRECT("Tableau!$H$170")</f>
        <v/>
      </c>
    </row>
    <row r="360">
      <c r="A360" s="402">
        <f t="array" ref="A360">INDIRECT("Tableau!$A$171")</f>
        <v>517</v>
      </c>
      <c r="B360" s="398" t="s">
        <v>453</v>
      </c>
      <c r="C360" s="400" t="str">
        <f t="array" ref="C360">INDIRECT("Tableau!$G$171")</f>
        <v/>
      </c>
      <c r="D360" s="400" t="str">
        <f t="shared" si="3"/>
        <v>OUT</v>
      </c>
      <c r="E360" s="403" t="str">
        <f t="array" ref="E360">INDIRECT("Tableau!$H$171")</f>
        <v/>
      </c>
    </row>
    <row r="361">
      <c r="A361" s="402">
        <f t="array" ref="A361">INDIRECT("Tableau!$A$172")</f>
        <v>518</v>
      </c>
      <c r="B361" s="398" t="s">
        <v>453</v>
      </c>
      <c r="C361" s="400" t="str">
        <f t="array" ref="C361">INDIRECT("Tableau!$G$172")</f>
        <v/>
      </c>
      <c r="D361" s="400" t="str">
        <f t="shared" si="3"/>
        <v>OUT</v>
      </c>
      <c r="E361" s="403" t="str">
        <f t="array" ref="E361">INDIRECT("Tableau!$H$172")</f>
        <v/>
      </c>
    </row>
    <row r="362">
      <c r="A362" s="397" t="str">
        <f t="array" ref="A362">INDIRECT("Tableau!$A$173")</f>
        <v/>
      </c>
      <c r="B362" s="398" t="s">
        <v>453</v>
      </c>
      <c r="C362" s="400" t="str">
        <f t="array" ref="C362">INDIRECT("Tableau!$G$173")</f>
        <v/>
      </c>
      <c r="D362" s="400" t="str">
        <f t="shared" si="3"/>
        <v>OUT</v>
      </c>
      <c r="E362" s="403" t="str">
        <f t="array" ref="E362">INDIRECT("Tableau!$H$173")</f>
        <v/>
      </c>
    </row>
    <row r="363">
      <c r="A363" s="402">
        <f t="array" ref="A363">INDIRECT("Tableau!$A$174")</f>
        <v>520</v>
      </c>
      <c r="B363" s="398" t="s">
        <v>453</v>
      </c>
      <c r="C363" s="400" t="str">
        <f t="array" ref="C363">INDIRECT("Tableau!$G$174")</f>
        <v/>
      </c>
      <c r="D363" s="400" t="str">
        <f t="shared" si="3"/>
        <v>OUT</v>
      </c>
      <c r="E363" s="403" t="str">
        <f t="array" ref="E363">INDIRECT("Tableau!$H$174")</f>
        <v/>
      </c>
    </row>
    <row r="364">
      <c r="A364" s="402">
        <f t="array" ref="A364">INDIRECT("Tableau!$A$175")</f>
        <v>521</v>
      </c>
      <c r="B364" s="398" t="s">
        <v>453</v>
      </c>
      <c r="C364" s="400" t="str">
        <f t="array" ref="C364">INDIRECT("Tableau!$G$175")</f>
        <v/>
      </c>
      <c r="D364" s="400" t="str">
        <f t="shared" si="3"/>
        <v>OUT</v>
      </c>
      <c r="E364" s="403" t="str">
        <f t="array" ref="E364">INDIRECT("Tableau!$H$175")</f>
        <v/>
      </c>
    </row>
    <row r="365">
      <c r="A365" s="402">
        <f t="array" ref="A365">INDIRECT("Tableau!$A$176")</f>
        <v>525</v>
      </c>
      <c r="B365" s="398" t="s">
        <v>453</v>
      </c>
      <c r="C365" s="400" t="str">
        <f t="array" ref="C365">INDIRECT("Tableau!$G$176")</f>
        <v/>
      </c>
      <c r="D365" s="400" t="str">
        <f t="shared" si="3"/>
        <v>OUT</v>
      </c>
      <c r="E365" s="403" t="str">
        <f t="array" ref="E365">INDIRECT("Tableau!$H$176")</f>
        <v>Batimoi</v>
      </c>
    </row>
    <row r="366">
      <c r="A366" s="402">
        <f t="array" ref="A366">INDIRECT("Tableau!$A$177")</f>
        <v>530</v>
      </c>
      <c r="B366" s="398" t="s">
        <v>453</v>
      </c>
      <c r="C366" s="400" t="str">
        <f t="array" ref="C366">INDIRECT("Tableau!$G$177")</f>
        <v/>
      </c>
      <c r="D366" s="400" t="str">
        <f t="shared" si="3"/>
        <v>OUT</v>
      </c>
      <c r="E366" s="403" t="str">
        <f t="array" ref="E366">INDIRECT("Tableau!$H$177")</f>
        <v/>
      </c>
    </row>
    <row r="367">
      <c r="A367" s="397" t="str">
        <f t="array" ref="A367">INDIRECT("Tableau!$A$178")</f>
        <v/>
      </c>
      <c r="B367" s="398" t="s">
        <v>453</v>
      </c>
      <c r="C367" s="400" t="str">
        <f t="array" ref="C367">INDIRECT("Tableau!$G$178")</f>
        <v/>
      </c>
      <c r="D367" s="400" t="str">
        <f t="shared" si="3"/>
        <v>OUT</v>
      </c>
      <c r="E367" s="403" t="str">
        <f t="array" ref="E367">INDIRECT("Tableau!$H$178")</f>
        <v/>
      </c>
    </row>
    <row r="368">
      <c r="A368" s="397" t="str">
        <f t="array" ref="A368">INDIRECT("Tableau!$A$179")</f>
        <v/>
      </c>
      <c r="B368" s="398" t="s">
        <v>453</v>
      </c>
      <c r="C368" s="400" t="str">
        <f t="array" ref="C368">INDIRECT("Tableau!$G$179")</f>
        <v/>
      </c>
      <c r="D368" s="400" t="str">
        <f t="shared" si="3"/>
        <v>OUT</v>
      </c>
      <c r="E368" s="403" t="str">
        <f t="array" ref="E368">INDIRECT("Tableau!$H$179")</f>
        <v/>
      </c>
    </row>
    <row r="369">
      <c r="A369" s="397" t="str">
        <f t="array" ref="A369">INDIRECT("Tableau!$A$180")</f>
        <v/>
      </c>
      <c r="B369" s="398" t="s">
        <v>453</v>
      </c>
      <c r="C369" s="400" t="str">
        <f t="array" ref="C369">INDIRECT("Tableau!$G$180")</f>
        <v/>
      </c>
      <c r="D369" s="400" t="str">
        <f t="shared" si="3"/>
        <v>OUT</v>
      </c>
      <c r="E369" s="403" t="str">
        <f t="array" ref="E369">INDIRECT("Tableau!$H$180")</f>
        <v/>
      </c>
    </row>
    <row r="370">
      <c r="A370" s="397" t="str">
        <f t="array" ref="A370">INDIRECT("Tableau!$A$181")</f>
        <v/>
      </c>
      <c r="B370" s="398" t="s">
        <v>453</v>
      </c>
      <c r="C370" s="400" t="str">
        <f t="array" ref="C370">INDIRECT("Tableau!$G$181")</f>
        <v/>
      </c>
      <c r="D370" s="400" t="str">
        <f t="shared" si="3"/>
        <v>OUT</v>
      </c>
      <c r="E370" s="403" t="str">
        <f t="array" ref="E370">INDIRECT("Tableau!$H$181")</f>
        <v/>
      </c>
    </row>
    <row r="371">
      <c r="A371" s="397" t="str">
        <f t="array" ref="A371">INDIRECT("Tableau!$A$182")</f>
        <v/>
      </c>
      <c r="B371" s="398" t="s">
        <v>453</v>
      </c>
      <c r="C371" s="400" t="str">
        <f t="array" ref="C371">INDIRECT("Tableau!$G$182")</f>
        <v/>
      </c>
      <c r="D371" s="400" t="str">
        <f t="shared" si="3"/>
        <v>OUT</v>
      </c>
      <c r="E371" s="403" t="str">
        <f t="array" ref="E371">INDIRECT("Tableau!$H$182")</f>
        <v/>
      </c>
    </row>
    <row r="372">
      <c r="A372" s="397" t="str">
        <f t="array" ref="A372">INDIRECT("Tableau!$A$183")</f>
        <v/>
      </c>
      <c r="B372" s="398" t="s">
        <v>453</v>
      </c>
      <c r="C372" s="400" t="str">
        <f t="array" ref="C372">INDIRECT("Tableau!$G$183")</f>
        <v/>
      </c>
      <c r="D372" s="400" t="str">
        <f t="shared" si="3"/>
        <v>OUT</v>
      </c>
      <c r="E372" s="403" t="str">
        <f t="array" ref="E372">INDIRECT("Tableau!$H$183")</f>
        <v/>
      </c>
    </row>
    <row r="373">
      <c r="A373" s="397" t="str">
        <f t="array" ref="A373">INDIRECT("Tableau!$A$184")</f>
        <v/>
      </c>
      <c r="B373" s="398" t="s">
        <v>453</v>
      </c>
      <c r="C373" s="400" t="str">
        <f t="array" ref="C373">INDIRECT("Tableau!$G$184")</f>
        <v/>
      </c>
      <c r="D373" s="400" t="str">
        <f t="shared" si="3"/>
        <v>OUT</v>
      </c>
      <c r="E373" s="403" t="str">
        <f t="array" ref="E373">INDIRECT("Tableau!$H$184")</f>
        <v/>
      </c>
    </row>
    <row r="374">
      <c r="A374" s="397" t="str">
        <f t="array" ref="A374">INDIRECT("Tableau!$A$185")</f>
        <v/>
      </c>
      <c r="B374" s="398" t="s">
        <v>453</v>
      </c>
      <c r="C374" s="400" t="str">
        <f t="array" ref="C374">INDIRECT("Tableau!$G$185")</f>
        <v/>
      </c>
      <c r="D374" s="400" t="str">
        <f t="shared" si="3"/>
        <v>OUT</v>
      </c>
      <c r="E374" s="403" t="str">
        <f t="array" ref="E374">INDIRECT("Tableau!$H$185")</f>
        <v/>
      </c>
    </row>
    <row r="375">
      <c r="A375" s="397" t="str">
        <f t="array" ref="A375">INDIRECT("Tableau!$A$186")</f>
        <v/>
      </c>
      <c r="B375" s="398" t="s">
        <v>453</v>
      </c>
      <c r="C375" s="400" t="str">
        <f t="array" ref="C375">INDIRECT("Tableau!$G$186")</f>
        <v/>
      </c>
      <c r="D375" s="400" t="str">
        <f t="shared" si="3"/>
        <v>OUT</v>
      </c>
      <c r="E375" s="403" t="str">
        <f t="array" ref="E375">INDIRECT("Tableau!$H$186")</f>
        <v/>
      </c>
    </row>
    <row r="376">
      <c r="A376" s="397" t="str">
        <f t="array" ref="A376">INDIRECT("Tableau!$A$187")</f>
        <v/>
      </c>
      <c r="B376" s="398" t="s">
        <v>453</v>
      </c>
      <c r="C376" s="400" t="str">
        <f t="array" ref="C376">INDIRECT("Tableau!$G$187")</f>
        <v/>
      </c>
      <c r="D376" s="400" t="str">
        <f t="shared" si="3"/>
        <v>OUT</v>
      </c>
      <c r="E376" s="403" t="str">
        <f t="array" ref="E376">INDIRECT("Tableau!$H$187")</f>
        <v/>
      </c>
    </row>
    <row r="377">
      <c r="A377" s="397" t="str">
        <f t="array" ref="A377">INDIRECT("Tableau!$A$188")</f>
        <v/>
      </c>
      <c r="B377" s="398" t="s">
        <v>453</v>
      </c>
      <c r="C377" s="400" t="str">
        <f t="array" ref="C377">INDIRECT("Tableau!$G$188")</f>
        <v/>
      </c>
      <c r="D377" s="400" t="str">
        <f t="shared" si="3"/>
        <v>OUT</v>
      </c>
      <c r="E377" s="403" t="str">
        <f t="array" ref="E377">INDIRECT("Tableau!$H$188")</f>
        <v/>
      </c>
    </row>
    <row r="378">
      <c r="A378" s="397" t="str">
        <f t="array" ref="A378">INDIRECT("Tableau!$A$189")</f>
        <v/>
      </c>
      <c r="B378" s="398" t="s">
        <v>453</v>
      </c>
      <c r="C378" s="400" t="str">
        <f t="array" ref="C378">INDIRECT("Tableau!$G$189")</f>
        <v/>
      </c>
      <c r="D378" s="400" t="str">
        <f t="shared" si="3"/>
        <v>OUT</v>
      </c>
      <c r="E378" s="403" t="str">
        <f t="array" ref="E378">INDIRECT("Tableau!$H$189")</f>
        <v/>
      </c>
    </row>
    <row r="379">
      <c r="A379" s="397" t="str">
        <f t="array" ref="A379">INDIRECT("Tableau!$A$190")</f>
        <v/>
      </c>
      <c r="B379" s="398" t="s">
        <v>453</v>
      </c>
      <c r="C379" s="400" t="str">
        <f t="array" ref="C379">INDIRECT("Tableau!$G$190")</f>
        <v/>
      </c>
      <c r="D379" s="400" t="str">
        <f t="shared" si="3"/>
        <v>OUT</v>
      </c>
      <c r="E379" s="403" t="str">
        <f t="array" ref="E379">INDIRECT("Tableau!$H$190")</f>
        <v/>
      </c>
    </row>
    <row r="380">
      <c r="A380" s="397" t="str">
        <f t="array" ref="A380">INDIRECT("Tableau!$A$2")</f>
        <v/>
      </c>
      <c r="B380" s="398" t="s">
        <v>461</v>
      </c>
      <c r="C380" s="400" t="str">
        <f t="array" ref="C380">INDIRECT("Tableau!$I$2")</f>
        <v/>
      </c>
      <c r="D380" s="400" t="str">
        <f t="shared" ref="D380:D568" si="4">INDIRECT("Tableau!$J$1")</f>
        <v>IN</v>
      </c>
      <c r="E380" s="403" t="str">
        <f t="array" ref="E380">INDIRECT("Tableau!$J$2")</f>
        <v/>
      </c>
    </row>
    <row r="381">
      <c r="A381" s="402">
        <f t="array" ref="A381">INDIRECT("Tableau!$A$3")</f>
        <v>102</v>
      </c>
      <c r="B381" s="398" t="s">
        <v>461</v>
      </c>
      <c r="C381" s="400" t="str">
        <f t="array" ref="C381">INDIRECT("Tableau!$I$3")</f>
        <v/>
      </c>
      <c r="D381" s="400" t="str">
        <f t="shared" si="4"/>
        <v>IN</v>
      </c>
      <c r="E381" s="403" t="str">
        <f t="array" ref="E381">INDIRECT("Tableau!$J$3")</f>
        <v>Cond Salon</v>
      </c>
    </row>
    <row r="382">
      <c r="A382" s="397" t="str">
        <f t="array" ref="A382">INDIRECT("Tableau!$A$4")</f>
        <v/>
      </c>
      <c r="B382" s="398" t="s">
        <v>461</v>
      </c>
      <c r="C382" s="400" t="str">
        <f t="array" ref="C382">INDIRECT("Tableau!$I$4")</f>
        <v/>
      </c>
      <c r="D382" s="400" t="str">
        <f t="shared" si="4"/>
        <v>IN</v>
      </c>
      <c r="E382" s="403" t="str">
        <f t="array" ref="E382">INDIRECT("Tableau!$J$4")</f>
        <v/>
      </c>
    </row>
    <row r="383">
      <c r="A383" s="402">
        <f t="array" ref="A383">INDIRECT("Tableau!$A$5")</f>
        <v>104</v>
      </c>
      <c r="B383" s="398" t="s">
        <v>461</v>
      </c>
      <c r="C383" s="400" t="str">
        <f t="array" ref="C383">INDIRECT("Tableau!$I$5")</f>
        <v/>
      </c>
      <c r="D383" s="400" t="str">
        <f t="shared" si="4"/>
        <v>IN</v>
      </c>
      <c r="E383" s="403" t="str">
        <f t="array" ref="E383">INDIRECT("Tableau!$J$5")</f>
        <v>Cond Salon</v>
      </c>
    </row>
    <row r="384">
      <c r="A384" s="402">
        <f t="array" ref="A384">INDIRECT("Tableau!$A$6")</f>
        <v>105</v>
      </c>
      <c r="B384" s="398" t="s">
        <v>461</v>
      </c>
      <c r="C384" s="400" t="str">
        <f t="array" ref="C384">INDIRECT("Tableau!$I$6")</f>
        <v/>
      </c>
      <c r="D384" s="400" t="str">
        <f t="shared" si="4"/>
        <v>IN</v>
      </c>
      <c r="E384" s="403" t="str">
        <f t="array" ref="E384">INDIRECT("Tableau!$J$6")</f>
        <v>Cond Salon</v>
      </c>
    </row>
    <row r="385">
      <c r="A385" s="402">
        <f t="array" ref="A385">INDIRECT("Tableau!$A$7")</f>
        <v>106</v>
      </c>
      <c r="B385" s="398" t="s">
        <v>461</v>
      </c>
      <c r="C385" s="400" t="str">
        <f t="array" ref="C385">INDIRECT("Tableau!$I$7")</f>
        <v/>
      </c>
      <c r="D385" s="400" t="str">
        <f t="shared" si="4"/>
        <v>IN</v>
      </c>
      <c r="E385" s="403" t="str">
        <f t="array" ref="E385">INDIRECT("Tableau!$J$7")</f>
        <v/>
      </c>
    </row>
    <row r="386">
      <c r="A386" s="402">
        <f t="array" ref="A386">INDIRECT("Tableau!$A$8")</f>
        <v>107</v>
      </c>
      <c r="B386" s="398" t="s">
        <v>461</v>
      </c>
      <c r="C386" s="400" t="str">
        <f t="array" ref="C386">INDIRECT("Tableau!$I$8")</f>
        <v/>
      </c>
      <c r="D386" s="400" t="str">
        <f t="shared" si="4"/>
        <v>IN</v>
      </c>
      <c r="E386" s="403" t="str">
        <f t="array" ref="E386">INDIRECT("Tableau!$J$8")</f>
        <v>Cond Salon</v>
      </c>
    </row>
    <row r="387">
      <c r="A387" s="397">
        <f t="array" ref="A387">INDIRECT("Tableau!$A$9")</f>
        <v>108</v>
      </c>
      <c r="B387" s="398" t="s">
        <v>461</v>
      </c>
      <c r="C387" s="400" t="str">
        <f t="array" ref="C387">INDIRECT("Tableau!$I$9")</f>
        <v/>
      </c>
      <c r="D387" s="400" t="str">
        <f t="shared" si="4"/>
        <v>IN</v>
      </c>
      <c r="E387" s="403" t="str">
        <f t="array" ref="E387">INDIRECT("Tableau!$J$9")</f>
        <v/>
      </c>
    </row>
    <row r="388">
      <c r="A388" s="402">
        <f t="array" ref="A388">INDIRECT("Tableau!$A$10")</f>
        <v>109</v>
      </c>
      <c r="B388" s="398" t="s">
        <v>461</v>
      </c>
      <c r="C388" s="400" t="str">
        <f t="array" ref="C388">INDIRECT("Tableau!$I$10")</f>
        <v/>
      </c>
      <c r="D388" s="400" t="str">
        <f t="shared" si="4"/>
        <v>IN</v>
      </c>
      <c r="E388" s="403" t="str">
        <f t="array" ref="E388">INDIRECT("Tableau!$J$10")</f>
        <v>Cond Salon</v>
      </c>
    </row>
    <row r="389">
      <c r="A389" s="402">
        <f t="array" ref="A389">INDIRECT("Tableau!$A$11")</f>
        <v>110</v>
      </c>
      <c r="B389" s="398" t="s">
        <v>461</v>
      </c>
      <c r="C389" s="400" t="str">
        <f t="array" ref="C389">INDIRECT("Tableau!$I$11")</f>
        <v/>
      </c>
      <c r="D389" s="400" t="str">
        <f t="shared" si="4"/>
        <v>IN</v>
      </c>
      <c r="E389" s="403" t="str">
        <f t="array" ref="E389">INDIRECT("Tableau!$J$11")</f>
        <v/>
      </c>
    </row>
    <row r="390">
      <c r="A390" s="402">
        <f t="array" ref="A390">INDIRECT("Tableau!$A$12")</f>
        <v>111</v>
      </c>
      <c r="B390" s="398" t="s">
        <v>461</v>
      </c>
      <c r="C390" s="400" t="str">
        <f t="array" ref="C390">INDIRECT("Tableau!$I$12")</f>
        <v/>
      </c>
      <c r="D390" s="400" t="str">
        <f t="shared" si="4"/>
        <v>IN</v>
      </c>
      <c r="E390" s="403" t="str">
        <f t="array" ref="E390">INDIRECT("Tableau!$J$12")</f>
        <v/>
      </c>
    </row>
    <row r="391">
      <c r="A391" s="402">
        <f t="array" ref="A391">INDIRECT("Tableau!$A$13")</f>
        <v>112</v>
      </c>
      <c r="B391" s="398" t="s">
        <v>461</v>
      </c>
      <c r="C391" s="400" t="str">
        <f t="array" ref="C391">INDIRECT("Tableau!$I$13")</f>
        <v/>
      </c>
      <c r="D391" s="400" t="str">
        <f t="shared" si="4"/>
        <v>IN</v>
      </c>
      <c r="E391" s="403" t="str">
        <f t="array" ref="E391">INDIRECT("Tableau!$J$13")</f>
        <v/>
      </c>
    </row>
    <row r="392">
      <c r="A392" s="402">
        <f t="array" ref="A392">INDIRECT("Tableau!$A$14")</f>
        <v>113</v>
      </c>
      <c r="B392" s="398" t="s">
        <v>461</v>
      </c>
      <c r="C392" s="400" t="str">
        <f t="array" ref="C392">INDIRECT("Tableau!$I$14")</f>
        <v/>
      </c>
      <c r="D392" s="400" t="str">
        <f t="shared" si="4"/>
        <v>IN</v>
      </c>
      <c r="E392" s="403" t="str">
        <f t="array" ref="E392">INDIRECT("Tableau!$J$14")</f>
        <v>Cond Salon</v>
      </c>
    </row>
    <row r="393">
      <c r="A393" s="397">
        <f t="array" ref="A393">INDIRECT("Tableau!$A$15")</f>
        <v>114</v>
      </c>
      <c r="B393" s="398" t="s">
        <v>461</v>
      </c>
      <c r="C393" s="400" t="str">
        <f t="array" ref="C393">INDIRECT("Tableau!$I$15")</f>
        <v/>
      </c>
      <c r="D393" s="400" t="str">
        <f t="shared" si="4"/>
        <v>IN</v>
      </c>
      <c r="E393" s="403" t="str">
        <f t="array" ref="E393">INDIRECT("Tableau!$J$15")</f>
        <v/>
      </c>
    </row>
    <row r="394">
      <c r="A394" s="397" t="str">
        <f t="array" ref="A394">INDIRECT("Tableau!$A$16")</f>
        <v/>
      </c>
      <c r="B394" s="398" t="s">
        <v>461</v>
      </c>
      <c r="C394" s="400" t="str">
        <f t="array" ref="C394">INDIRECT("Tableau!$I$16")</f>
        <v/>
      </c>
      <c r="D394" s="400" t="str">
        <f t="shared" si="4"/>
        <v>IN</v>
      </c>
      <c r="E394" s="403" t="str">
        <f t="array" ref="E394">INDIRECT("Tableau!$J$16")</f>
        <v/>
      </c>
    </row>
    <row r="395">
      <c r="A395" s="397" t="str">
        <f t="array" ref="A395">INDIRECT("Tableau!$A$17")</f>
        <v/>
      </c>
      <c r="B395" s="398" t="s">
        <v>461</v>
      </c>
      <c r="C395" s="400" t="str">
        <f t="array" ref="C395">INDIRECT("Tableau!$I$17")</f>
        <v/>
      </c>
      <c r="D395" s="400" t="str">
        <f t="shared" si="4"/>
        <v>IN</v>
      </c>
      <c r="E395" s="403" t="str">
        <f t="array" ref="E395">INDIRECT("Tableau!$J$17")</f>
        <v/>
      </c>
    </row>
    <row r="396">
      <c r="A396" s="397" t="str">
        <f t="array" ref="A396">INDIRECT("Tableau!$A$18")</f>
        <v/>
      </c>
      <c r="B396" s="398" t="s">
        <v>461</v>
      </c>
      <c r="C396" s="400" t="str">
        <f t="array" ref="C396">INDIRECT("Tableau!$I$18")</f>
        <v/>
      </c>
      <c r="D396" s="400" t="str">
        <f t="shared" si="4"/>
        <v>IN</v>
      </c>
      <c r="E396" s="403" t="str">
        <f t="array" ref="E396">INDIRECT("Tableau!$J$18")</f>
        <v/>
      </c>
    </row>
    <row r="397">
      <c r="A397" s="397" t="str">
        <f t="array" ref="A397">INDIRECT("Tableau!$A$19")</f>
        <v/>
      </c>
      <c r="B397" s="398" t="s">
        <v>461</v>
      </c>
      <c r="C397" s="400" t="str">
        <f t="array" ref="C397">INDIRECT("Tableau!$I$19")</f>
        <v/>
      </c>
      <c r="D397" s="400" t="str">
        <f t="shared" si="4"/>
        <v>IN</v>
      </c>
      <c r="E397" s="403" t="str">
        <f t="array" ref="E397">INDIRECT("Tableau!$J$19")</f>
        <v/>
      </c>
    </row>
    <row r="398">
      <c r="A398" s="397" t="str">
        <f t="array" ref="A398">INDIRECT("Tableau!$A$20")</f>
        <v/>
      </c>
      <c r="B398" s="398" t="s">
        <v>461</v>
      </c>
      <c r="C398" s="400" t="str">
        <f t="array" ref="C398">INDIRECT("Tableau!$I$20")</f>
        <v/>
      </c>
      <c r="D398" s="400" t="str">
        <f t="shared" si="4"/>
        <v>IN</v>
      </c>
      <c r="E398" s="403" t="str">
        <f t="array" ref="E398">INDIRECT("Tableau!$J$20")</f>
        <v/>
      </c>
    </row>
    <row r="399">
      <c r="A399" s="397" t="str">
        <f t="array" ref="A399">INDIRECT("Tableau!$A$21")</f>
        <v/>
      </c>
      <c r="B399" s="398" t="s">
        <v>461</v>
      </c>
      <c r="C399" s="400" t="str">
        <f t="array" ref="C399">INDIRECT("Tableau!$I$21")</f>
        <v/>
      </c>
      <c r="D399" s="400" t="str">
        <f t="shared" si="4"/>
        <v>IN</v>
      </c>
      <c r="E399" s="403" t="str">
        <f t="array" ref="E399">INDIRECT("Tableau!$J$21")</f>
        <v/>
      </c>
    </row>
    <row r="400">
      <c r="A400" s="397" t="str">
        <f t="array" ref="A400">INDIRECT("Tableau!$A$22")</f>
        <v/>
      </c>
      <c r="B400" s="398" t="s">
        <v>461</v>
      </c>
      <c r="C400" s="400" t="str">
        <f t="array" ref="C400">INDIRECT("Tableau!$I$22")</f>
        <v/>
      </c>
      <c r="D400" s="400" t="str">
        <f t="shared" si="4"/>
        <v>IN</v>
      </c>
      <c r="E400" s="403" t="str">
        <f t="array" ref="E400">INDIRECT("Tableau!$J$22")</f>
        <v/>
      </c>
    </row>
    <row r="401">
      <c r="A401" s="397" t="str">
        <f t="array" ref="A401">INDIRECT("Tableau!$A$23")</f>
        <v/>
      </c>
      <c r="B401" s="398" t="s">
        <v>461</v>
      </c>
      <c r="C401" s="400" t="str">
        <f t="array" ref="C401">INDIRECT("Tableau!$I$23")</f>
        <v/>
      </c>
      <c r="D401" s="400" t="str">
        <f t="shared" si="4"/>
        <v>IN</v>
      </c>
      <c r="E401" s="403" t="str">
        <f t="array" ref="E401">INDIRECT("Tableau!$J$23")</f>
        <v/>
      </c>
    </row>
    <row r="402">
      <c r="A402" s="397" t="str">
        <f t="array" ref="A402">INDIRECT("Tableau!$A$24")</f>
        <v/>
      </c>
      <c r="B402" s="398" t="s">
        <v>461</v>
      </c>
      <c r="C402" s="400" t="str">
        <f t="array" ref="C402">INDIRECT("Tableau!$I$24")</f>
        <v/>
      </c>
      <c r="D402" s="400" t="str">
        <f t="shared" si="4"/>
        <v>IN</v>
      </c>
      <c r="E402" s="403" t="str">
        <f t="array" ref="E402">INDIRECT("Tableau!$J$24")</f>
        <v/>
      </c>
    </row>
    <row r="403">
      <c r="A403" s="397" t="str">
        <f t="array" ref="A403">INDIRECT("Tableau!$A$25")</f>
        <v/>
      </c>
      <c r="B403" s="398" t="s">
        <v>461</v>
      </c>
      <c r="C403" s="400" t="str">
        <f t="array" ref="C403">INDIRECT("Tableau!$I$25")</f>
        <v/>
      </c>
      <c r="D403" s="400" t="str">
        <f t="shared" si="4"/>
        <v>IN</v>
      </c>
      <c r="E403" s="403" t="str">
        <f t="array" ref="E403">INDIRECT("Tableau!$J$25")</f>
        <v/>
      </c>
    </row>
    <row r="404">
      <c r="A404" s="402">
        <f t="array" ref="A404">INDIRECT("Tableau!$A$26")</f>
        <v>201</v>
      </c>
      <c r="B404" s="398" t="s">
        <v>461</v>
      </c>
      <c r="C404" s="400" t="str">
        <f t="array" ref="C404">INDIRECT("Tableau!$I$26")</f>
        <v/>
      </c>
      <c r="D404" s="400" t="str">
        <f t="shared" si="4"/>
        <v>IN</v>
      </c>
      <c r="E404" s="403" t="str">
        <f t="array" ref="E404">INDIRECT("Tableau!$J$26")</f>
        <v/>
      </c>
    </row>
    <row r="405">
      <c r="A405" s="402">
        <f t="array" ref="A405">INDIRECT("Tableau!$A$27")</f>
        <v>202</v>
      </c>
      <c r="B405" s="398" t="s">
        <v>461</v>
      </c>
      <c r="C405" s="400" t="str">
        <f t="array" ref="C405">INDIRECT("Tableau!$I$27")</f>
        <v/>
      </c>
      <c r="D405" s="400" t="str">
        <f t="shared" si="4"/>
        <v>IN</v>
      </c>
      <c r="E405" s="403" t="str">
        <f t="array" ref="E405">INDIRECT("Tableau!$J$27")</f>
        <v/>
      </c>
    </row>
    <row r="406">
      <c r="A406" s="402">
        <f t="array" ref="A406">INDIRECT("Tableau!$A$28")</f>
        <v>203</v>
      </c>
      <c r="B406" s="398" t="s">
        <v>461</v>
      </c>
      <c r="C406" s="400" t="str">
        <f t="array" ref="C406">INDIRECT("Tableau!$I$28")</f>
        <v>Carbelle</v>
      </c>
      <c r="D406" s="400" t="str">
        <f t="shared" si="4"/>
        <v>IN</v>
      </c>
      <c r="E406" s="403" t="str">
        <f t="array" ref="E406">INDIRECT("Tableau!$J$28")</f>
        <v/>
      </c>
    </row>
    <row r="407">
      <c r="A407" s="402">
        <f t="array" ref="A407">INDIRECT("Tableau!$A$29")</f>
        <v>204</v>
      </c>
      <c r="B407" s="398" t="s">
        <v>461</v>
      </c>
      <c r="C407" s="400" t="str">
        <f t="array" ref="C407">INDIRECT("Tableau!$I$29")</f>
        <v>Carbelle</v>
      </c>
      <c r="D407" s="400" t="str">
        <f t="shared" si="4"/>
        <v>IN</v>
      </c>
      <c r="E407" s="403" t="str">
        <f t="array" ref="E407">INDIRECT("Tableau!$J$29")</f>
        <v/>
      </c>
    </row>
    <row r="408">
      <c r="A408" s="402">
        <f t="array" ref="A408">INDIRECT("Tableau!$A$30")</f>
        <v>205</v>
      </c>
      <c r="B408" s="398" t="s">
        <v>461</v>
      </c>
      <c r="C408" s="400" t="str">
        <f t="array" ref="C408">INDIRECT("Tableau!$I$30")</f>
        <v>Carbelle</v>
      </c>
      <c r="D408" s="400" t="str">
        <f t="shared" si="4"/>
        <v>IN</v>
      </c>
      <c r="E408" s="403" t="str">
        <f t="array" ref="E408">INDIRECT("Tableau!$J$30")</f>
        <v/>
      </c>
    </row>
    <row r="409">
      <c r="A409" s="402">
        <f t="array" ref="A409">INDIRECT("Tableau!$A$31")</f>
        <v>206</v>
      </c>
      <c r="B409" s="398" t="s">
        <v>461</v>
      </c>
      <c r="C409" s="400" t="str">
        <f t="array" ref="C409">INDIRECT("Tableau!$I$31")</f>
        <v>Carbelle</v>
      </c>
      <c r="D409" s="400" t="str">
        <f t="shared" si="4"/>
        <v>IN</v>
      </c>
      <c r="E409" s="403" t="str">
        <f t="array" ref="E409">INDIRECT("Tableau!$J$31")</f>
        <v/>
      </c>
    </row>
    <row r="410">
      <c r="A410" s="402">
        <f t="array" ref="A410">INDIRECT("Tableau!$A$32")</f>
        <v>207</v>
      </c>
      <c r="B410" s="398" t="s">
        <v>461</v>
      </c>
      <c r="C410" s="400" t="str">
        <f t="array" ref="C410">INDIRECT("Tableau!$I$32")</f>
        <v>Carbelle</v>
      </c>
      <c r="D410" s="400" t="str">
        <f t="shared" si="4"/>
        <v>IN</v>
      </c>
      <c r="E410" s="403" t="str">
        <f t="array" ref="E410">INDIRECT("Tableau!$J$32")</f>
        <v/>
      </c>
    </row>
    <row r="411">
      <c r="A411" s="402">
        <f t="array" ref="A411">INDIRECT("Tableau!$A$33")</f>
        <v>208</v>
      </c>
      <c r="B411" s="398" t="s">
        <v>461</v>
      </c>
      <c r="C411" s="400" t="str">
        <f t="array" ref="C411">INDIRECT("Tableau!$I$33")</f>
        <v>Carbelle</v>
      </c>
      <c r="D411" s="400" t="str">
        <f t="shared" si="4"/>
        <v>IN</v>
      </c>
      <c r="E411" s="403" t="str">
        <f t="array" ref="E411">INDIRECT("Tableau!$J$33")</f>
        <v/>
      </c>
    </row>
    <row r="412">
      <c r="A412" s="402">
        <f t="array" ref="A412">INDIRECT("Tableau!$A$34")</f>
        <v>209</v>
      </c>
      <c r="B412" s="398" t="s">
        <v>461</v>
      </c>
      <c r="C412" s="400" t="str">
        <f t="array" ref="C412">INDIRECT("Tableau!$I$34")</f>
        <v>Carbelle</v>
      </c>
      <c r="D412" s="400" t="str">
        <f t="shared" si="4"/>
        <v>IN</v>
      </c>
      <c r="E412" s="403" t="str">
        <f t="array" ref="E412">INDIRECT("Tableau!$J$34")</f>
        <v/>
      </c>
    </row>
    <row r="413">
      <c r="A413" s="402">
        <f t="array" ref="A413">INDIRECT("Tableau!$A$35")</f>
        <v>210</v>
      </c>
      <c r="B413" s="398" t="s">
        <v>461</v>
      </c>
      <c r="C413" s="400" t="str">
        <f t="array" ref="C413">INDIRECT("Tableau!$I$35")</f>
        <v>Carbelle</v>
      </c>
      <c r="D413" s="400" t="str">
        <f t="shared" si="4"/>
        <v>IN</v>
      </c>
      <c r="E413" s="403" t="str">
        <f t="array" ref="E413">INDIRECT("Tableau!$J$35")</f>
        <v/>
      </c>
    </row>
    <row r="414">
      <c r="A414" s="402">
        <f t="array" ref="A414">INDIRECT("Tableau!$A$36")</f>
        <v>211</v>
      </c>
      <c r="B414" s="398" t="s">
        <v>461</v>
      </c>
      <c r="C414" s="400" t="str">
        <f t="array" ref="C414">INDIRECT("Tableau!$I$36")</f>
        <v>Carbelle</v>
      </c>
      <c r="D414" s="400" t="str">
        <f t="shared" si="4"/>
        <v>IN</v>
      </c>
      <c r="E414" s="403" t="str">
        <f t="array" ref="E414">INDIRECT("Tableau!$J$36")</f>
        <v/>
      </c>
    </row>
    <row r="415">
      <c r="A415" s="402">
        <f t="array" ref="A415">INDIRECT("Tableau!$A$37")</f>
        <v>212</v>
      </c>
      <c r="B415" s="398" t="s">
        <v>461</v>
      </c>
      <c r="C415" s="400" t="str">
        <f t="array" ref="C415">INDIRECT("Tableau!$I$37")</f>
        <v/>
      </c>
      <c r="D415" s="400" t="str">
        <f t="shared" si="4"/>
        <v>IN</v>
      </c>
      <c r="E415" s="403" t="str">
        <f t="array" ref="E415">INDIRECT("Tableau!$J$37")</f>
        <v/>
      </c>
    </row>
    <row r="416">
      <c r="A416" s="402">
        <f t="array" ref="A416">INDIRECT("Tableau!$A$38")</f>
        <v>213</v>
      </c>
      <c r="B416" s="398" t="s">
        <v>461</v>
      </c>
      <c r="C416" s="400" t="str">
        <f t="array" ref="C416">INDIRECT("Tableau!$I$38")</f>
        <v/>
      </c>
      <c r="D416" s="400" t="str">
        <f t="shared" si="4"/>
        <v>IN</v>
      </c>
      <c r="E416" s="403" t="str">
        <f t="array" ref="E416">INDIRECT("Tableau!$J$38")</f>
        <v/>
      </c>
    </row>
    <row r="417">
      <c r="A417" s="402">
        <f t="array" ref="A417">INDIRECT("Tableau!$A$39")</f>
        <v>214</v>
      </c>
      <c r="B417" s="398" t="s">
        <v>461</v>
      </c>
      <c r="C417" s="400" t="str">
        <f t="array" ref="C417">INDIRECT("Tableau!$I$39")</f>
        <v/>
      </c>
      <c r="D417" s="400" t="str">
        <f t="shared" si="4"/>
        <v>IN</v>
      </c>
      <c r="E417" s="403" t="str">
        <f t="array" ref="E417">INDIRECT("Tableau!$J$39")</f>
        <v/>
      </c>
    </row>
    <row r="418">
      <c r="A418" s="402">
        <f t="array" ref="A418">INDIRECT("Tableau!$A$40")</f>
        <v>215</v>
      </c>
      <c r="B418" s="398" t="s">
        <v>461</v>
      </c>
      <c r="C418" s="400" t="str">
        <f t="array" ref="C418">INDIRECT("Tableau!$I$40")</f>
        <v/>
      </c>
      <c r="D418" s="400" t="str">
        <f t="shared" si="4"/>
        <v>IN</v>
      </c>
      <c r="E418" s="403" t="str">
        <f t="array" ref="E418">INDIRECT("Tableau!$J$40")</f>
        <v/>
      </c>
    </row>
    <row r="419">
      <c r="A419" s="402">
        <f t="array" ref="A419">INDIRECT("Tableau!$A$41")</f>
        <v>216</v>
      </c>
      <c r="B419" s="398" t="s">
        <v>461</v>
      </c>
      <c r="C419" s="400" t="str">
        <f t="array" ref="C419">INDIRECT("Tableau!$I$41")</f>
        <v/>
      </c>
      <c r="D419" s="400" t="str">
        <f t="shared" si="4"/>
        <v>IN</v>
      </c>
      <c r="E419" s="403" t="str">
        <f t="array" ref="E419">INDIRECT("Tableau!$J$41")</f>
        <v/>
      </c>
    </row>
    <row r="420">
      <c r="A420" s="402">
        <f t="array" ref="A420">INDIRECT("Tableau!$A$42")</f>
        <v>227</v>
      </c>
      <c r="B420" s="398" t="s">
        <v>461</v>
      </c>
      <c r="C420" s="400" t="str">
        <f t="array" ref="C420">INDIRECT("Tableau!$I$42")</f>
        <v/>
      </c>
      <c r="D420" s="400" t="str">
        <f t="shared" si="4"/>
        <v>IN</v>
      </c>
      <c r="E420" s="403" t="str">
        <f t="array" ref="E420">INDIRECT("Tableau!$J$42")</f>
        <v/>
      </c>
    </row>
    <row r="421">
      <c r="A421" s="402">
        <f t="array" ref="A421">INDIRECT("Tableau!$A$43")</f>
        <v>217</v>
      </c>
      <c r="B421" s="398" t="s">
        <v>461</v>
      </c>
      <c r="C421" s="400" t="str">
        <f t="array" ref="C421">INDIRECT("Tableau!$I$43")</f>
        <v/>
      </c>
      <c r="D421" s="400" t="str">
        <f t="shared" si="4"/>
        <v>IN</v>
      </c>
      <c r="E421" s="403" t="str">
        <f t="array" ref="E421">INDIRECT("Tableau!$J$43")</f>
        <v/>
      </c>
    </row>
    <row r="422">
      <c r="A422" s="402">
        <f t="array" ref="A422">INDIRECT("Tableau!$A$44")</f>
        <v>218</v>
      </c>
      <c r="B422" s="398" t="s">
        <v>461</v>
      </c>
      <c r="C422" s="400" t="str">
        <f t="array" ref="C422">INDIRECT("Tableau!$I$44")</f>
        <v/>
      </c>
      <c r="D422" s="400" t="str">
        <f t="shared" si="4"/>
        <v>IN</v>
      </c>
      <c r="E422" s="403" t="str">
        <f t="array" ref="E422">INDIRECT("Tableau!$J$44")</f>
        <v/>
      </c>
    </row>
    <row r="423">
      <c r="A423" s="397" t="str">
        <f t="array" ref="A423">INDIRECT("Tableau!$A$45")</f>
        <v/>
      </c>
      <c r="B423" s="398" t="s">
        <v>461</v>
      </c>
      <c r="C423" s="400" t="str">
        <f t="array" ref="C423">INDIRECT("Tableau!$I$45")</f>
        <v/>
      </c>
      <c r="D423" s="400" t="str">
        <f t="shared" si="4"/>
        <v>IN</v>
      </c>
      <c r="E423" s="403" t="str">
        <f t="array" ref="E423">INDIRECT("Tableau!$J$45")</f>
        <v/>
      </c>
    </row>
    <row r="424">
      <c r="A424" s="402">
        <f t="array" ref="A424">INDIRECT("Tableau!$A$46")</f>
        <v>220</v>
      </c>
      <c r="B424" s="398" t="s">
        <v>461</v>
      </c>
      <c r="C424" s="400" t="str">
        <f t="array" ref="C424">INDIRECT("Tableau!$I$46")</f>
        <v/>
      </c>
      <c r="D424" s="400" t="str">
        <f t="shared" si="4"/>
        <v>IN</v>
      </c>
      <c r="E424" s="403" t="str">
        <f t="array" ref="E424">INDIRECT("Tableau!$J$46")</f>
        <v/>
      </c>
    </row>
    <row r="425">
      <c r="A425" s="402">
        <f t="array" ref="A425">INDIRECT("Tableau!$A$47")</f>
        <v>221</v>
      </c>
      <c r="B425" s="398" t="s">
        <v>461</v>
      </c>
      <c r="C425" s="400" t="str">
        <f t="array" ref="C425">INDIRECT("Tableau!$I$47")</f>
        <v/>
      </c>
      <c r="D425" s="400" t="str">
        <f t="shared" si="4"/>
        <v>IN</v>
      </c>
      <c r="E425" s="403" t="str">
        <f t="array" ref="E425">INDIRECT("Tableau!$J$47")</f>
        <v/>
      </c>
    </row>
    <row r="426">
      <c r="A426" s="402">
        <f t="array" ref="A426">INDIRECT("Tableau!$A$48")</f>
        <v>226</v>
      </c>
      <c r="B426" s="398" t="s">
        <v>461</v>
      </c>
      <c r="C426" s="400" t="str">
        <f t="array" ref="C426">INDIRECT("Tableau!$I$48")</f>
        <v/>
      </c>
      <c r="D426" s="400" t="str">
        <f t="shared" si="4"/>
        <v>IN</v>
      </c>
      <c r="E426" s="403" t="str">
        <f t="array" ref="E426">INDIRECT("Tableau!$J$48")</f>
        <v/>
      </c>
    </row>
    <row r="427">
      <c r="A427" s="402">
        <f t="array" ref="A427">INDIRECT("Tableau!$A$49")</f>
        <v>222</v>
      </c>
      <c r="B427" s="398" t="s">
        <v>461</v>
      </c>
      <c r="C427" s="400" t="str">
        <f t="array" ref="C427">INDIRECT("Tableau!$I$49")</f>
        <v/>
      </c>
      <c r="D427" s="400" t="str">
        <f t="shared" si="4"/>
        <v>IN</v>
      </c>
      <c r="E427" s="403" t="str">
        <f t="array" ref="E427">INDIRECT("Tableau!$J$49")</f>
        <v/>
      </c>
    </row>
    <row r="428">
      <c r="A428" s="402">
        <f t="array" ref="A428">INDIRECT("Tableau!$A$50")</f>
        <v>224</v>
      </c>
      <c r="B428" s="398" t="s">
        <v>461</v>
      </c>
      <c r="C428" s="400" t="str">
        <f t="array" ref="C428">INDIRECT("Tableau!$I$50")</f>
        <v/>
      </c>
      <c r="D428" s="400" t="str">
        <f t="shared" si="4"/>
        <v>IN</v>
      </c>
      <c r="E428" s="403" t="str">
        <f t="array" ref="E428">INDIRECT("Tableau!$J$50")</f>
        <v/>
      </c>
    </row>
    <row r="429">
      <c r="A429" s="397">
        <f t="array" ref="A429">INDIRECT("Tableau!$A$51")</f>
        <v>223</v>
      </c>
      <c r="B429" s="398" t="s">
        <v>461</v>
      </c>
      <c r="C429" s="400" t="str">
        <f t="array" ref="C429">INDIRECT("Tableau!$I$51")</f>
        <v/>
      </c>
      <c r="D429" s="400" t="str">
        <f t="shared" si="4"/>
        <v>IN</v>
      </c>
      <c r="E429" s="403" t="str">
        <f t="array" ref="E429">INDIRECT("Tableau!$J$51")</f>
        <v/>
      </c>
    </row>
    <row r="430">
      <c r="A430" s="402">
        <f t="array" ref="A430">INDIRECT("Tableau!$A$52")</f>
        <v>225</v>
      </c>
      <c r="B430" s="398" t="s">
        <v>461</v>
      </c>
      <c r="C430" s="400" t="str">
        <f t="array" ref="C430">INDIRECT("Tableau!$I$52")</f>
        <v/>
      </c>
      <c r="D430" s="400" t="str">
        <f t="shared" si="4"/>
        <v>IN</v>
      </c>
      <c r="E430" s="403" t="str">
        <f t="array" ref="E430">INDIRECT("Tableau!$J$52")</f>
        <v/>
      </c>
    </row>
    <row r="431">
      <c r="A431" s="402">
        <f t="array" ref="A431">INDIRECT("Tableau!$A$53")</f>
        <v>230</v>
      </c>
      <c r="B431" s="398" t="s">
        <v>461</v>
      </c>
      <c r="C431" s="400" t="str">
        <f t="array" ref="C431">INDIRECT("Tableau!$I$53")</f>
        <v/>
      </c>
      <c r="D431" s="400" t="str">
        <f t="shared" si="4"/>
        <v>IN</v>
      </c>
      <c r="E431" s="403" t="str">
        <f t="array" ref="E431">INDIRECT("Tableau!$J$53")</f>
        <v/>
      </c>
    </row>
    <row r="432">
      <c r="A432" s="397">
        <f t="array" ref="A432">INDIRECT("Tableau!$A$54")</f>
        <v>231</v>
      </c>
      <c r="B432" s="398" t="s">
        <v>461</v>
      </c>
      <c r="C432" s="400" t="str">
        <f t="array" ref="C432">INDIRECT("Tableau!$I$54")</f>
        <v/>
      </c>
      <c r="D432" s="400" t="str">
        <f t="shared" si="4"/>
        <v>IN</v>
      </c>
      <c r="E432" s="403" t="str">
        <f t="array" ref="E432">INDIRECT("Tableau!$J$54")</f>
        <v/>
      </c>
    </row>
    <row r="433">
      <c r="A433" s="397" t="str">
        <f t="array" ref="A433">INDIRECT("Tableau!$A$55")</f>
        <v/>
      </c>
      <c r="B433" s="398" t="s">
        <v>461</v>
      </c>
      <c r="C433" s="400" t="str">
        <f t="array" ref="C433">INDIRECT("Tableau!$I$55")</f>
        <v/>
      </c>
      <c r="D433" s="400" t="str">
        <f t="shared" si="4"/>
        <v>IN</v>
      </c>
      <c r="E433" s="403" t="str">
        <f t="array" ref="E433">INDIRECT("Tableau!$J$55")</f>
        <v/>
      </c>
    </row>
    <row r="434">
      <c r="A434" s="397" t="str">
        <f t="array" ref="A434">INDIRECT("Tableau!$A$56")</f>
        <v/>
      </c>
      <c r="B434" s="398" t="s">
        <v>461</v>
      </c>
      <c r="C434" s="400" t="str">
        <f t="array" ref="C434">INDIRECT("Tableau!$I$56")</f>
        <v/>
      </c>
      <c r="D434" s="400" t="str">
        <f t="shared" si="4"/>
        <v>IN</v>
      </c>
      <c r="E434" s="403" t="str">
        <f t="array" ref="E434">INDIRECT("Tableau!$J$56")</f>
        <v/>
      </c>
    </row>
    <row r="435">
      <c r="A435" s="397" t="str">
        <f t="array" ref="A435">INDIRECT("Tableau!$A$57")</f>
        <v/>
      </c>
      <c r="B435" s="398" t="s">
        <v>461</v>
      </c>
      <c r="C435" s="400" t="str">
        <f t="array" ref="C435">INDIRECT("Tableau!$I$57")</f>
        <v/>
      </c>
      <c r="D435" s="400" t="str">
        <f t="shared" si="4"/>
        <v>IN</v>
      </c>
      <c r="E435" s="403" t="str">
        <f t="array" ref="E435">INDIRECT("Tableau!$J$57")</f>
        <v/>
      </c>
    </row>
    <row r="436">
      <c r="A436" s="397" t="str">
        <f t="array" ref="A436">INDIRECT("Tableau!$A$58")</f>
        <v/>
      </c>
      <c r="B436" s="398" t="s">
        <v>461</v>
      </c>
      <c r="C436" s="400" t="str">
        <f t="array" ref="C436">INDIRECT("Tableau!$I$58")</f>
        <v/>
      </c>
      <c r="D436" s="400" t="str">
        <f t="shared" si="4"/>
        <v>IN</v>
      </c>
      <c r="E436" s="403" t="str">
        <f t="array" ref="E436">INDIRECT("Tableau!$J$58")</f>
        <v/>
      </c>
    </row>
    <row r="437">
      <c r="A437" s="397" t="str">
        <f t="array" ref="A437">INDIRECT("Tableau!$A$59")</f>
        <v/>
      </c>
      <c r="B437" s="398" t="s">
        <v>461</v>
      </c>
      <c r="C437" s="400" t="str">
        <f t="array" ref="C437">INDIRECT("Tableau!$I$59")</f>
        <v/>
      </c>
      <c r="D437" s="400" t="str">
        <f t="shared" si="4"/>
        <v>IN</v>
      </c>
      <c r="E437" s="403" t="str">
        <f t="array" ref="E437">INDIRECT("Tableau!$J$59")</f>
        <v/>
      </c>
    </row>
    <row r="438">
      <c r="A438" s="397" t="str">
        <f t="array" ref="A438">INDIRECT("Tableau!$A$60")</f>
        <v/>
      </c>
      <c r="B438" s="398" t="s">
        <v>461</v>
      </c>
      <c r="C438" s="400" t="str">
        <f t="array" ref="C438">INDIRECT("Tableau!$I$60")</f>
        <v/>
      </c>
      <c r="D438" s="400" t="str">
        <f t="shared" si="4"/>
        <v>IN</v>
      </c>
      <c r="E438" s="403" t="str">
        <f t="array" ref="E438">INDIRECT("Tableau!$J$60")</f>
        <v/>
      </c>
    </row>
    <row r="439">
      <c r="A439" s="397" t="str">
        <f t="array" ref="A439">INDIRECT("Tableau!$A$61")</f>
        <v/>
      </c>
      <c r="B439" s="398" t="s">
        <v>461</v>
      </c>
      <c r="C439" s="400" t="str">
        <f t="array" ref="C439">INDIRECT("Tableau!$I$61")</f>
        <v/>
      </c>
      <c r="D439" s="400" t="str">
        <f t="shared" si="4"/>
        <v>IN</v>
      </c>
      <c r="E439" s="403" t="str">
        <f t="array" ref="E439">INDIRECT("Tableau!$J$61")</f>
        <v/>
      </c>
    </row>
    <row r="440">
      <c r="A440" s="397" t="str">
        <f t="array" ref="A440">INDIRECT("Tableau!$A$62")</f>
        <v/>
      </c>
      <c r="B440" s="398" t="s">
        <v>461</v>
      </c>
      <c r="C440" s="400" t="str">
        <f t="array" ref="C440">INDIRECT("Tableau!$I$62")</f>
        <v/>
      </c>
      <c r="D440" s="400" t="str">
        <f t="shared" si="4"/>
        <v>IN</v>
      </c>
      <c r="E440" s="403" t="str">
        <f t="array" ref="E440">INDIRECT("Tableau!$J$62")</f>
        <v/>
      </c>
    </row>
    <row r="441">
      <c r="A441" s="397" t="str">
        <f t="array" ref="A441">INDIRECT("Tableau!$A$63")</f>
        <v/>
      </c>
      <c r="B441" s="398" t="s">
        <v>461</v>
      </c>
      <c r="C441" s="400" t="str">
        <f t="array" ref="C441">INDIRECT("Tableau!$I$63")</f>
        <v/>
      </c>
      <c r="D441" s="400" t="str">
        <f t="shared" si="4"/>
        <v>IN</v>
      </c>
      <c r="E441" s="403" t="str">
        <f t="array" ref="E441">INDIRECT("Tableau!$J$63")</f>
        <v/>
      </c>
    </row>
    <row r="442">
      <c r="A442" s="397" t="str">
        <f t="array" ref="A442">INDIRECT("Tableau!$A$64")</f>
        <v/>
      </c>
      <c r="B442" s="398" t="s">
        <v>461</v>
      </c>
      <c r="C442" s="400" t="str">
        <f t="array" ref="C442">INDIRECT("Tableau!$I$64")</f>
        <v/>
      </c>
      <c r="D442" s="400" t="str">
        <f t="shared" si="4"/>
        <v>IN</v>
      </c>
      <c r="E442" s="403" t="str">
        <f t="array" ref="E442">INDIRECT("Tableau!$J$64")</f>
        <v/>
      </c>
    </row>
    <row r="443">
      <c r="A443" s="402">
        <f t="array" ref="A443">INDIRECT("Tableau!$A$65")</f>
        <v>301</v>
      </c>
      <c r="B443" s="398" t="s">
        <v>461</v>
      </c>
      <c r="C443" s="400" t="str">
        <f t="array" ref="C443">INDIRECT("Tableau!$I$65")</f>
        <v>Carbelle</v>
      </c>
      <c r="D443" s="400" t="str">
        <f t="shared" si="4"/>
        <v>IN</v>
      </c>
      <c r="E443" s="403" t="str">
        <f t="array" ref="E443">INDIRECT("Tableau!$J$65")</f>
        <v/>
      </c>
    </row>
    <row r="444">
      <c r="A444" s="397" t="str">
        <f t="array" ref="A444">INDIRECT("Tableau!$A$66")</f>
        <v/>
      </c>
      <c r="B444" s="398" t="s">
        <v>461</v>
      </c>
      <c r="C444" s="400" t="str">
        <f t="array" ref="C444">INDIRECT("Tableau!$I$66")</f>
        <v>Carbelle</v>
      </c>
      <c r="D444" s="400" t="str">
        <f t="shared" si="4"/>
        <v>IN</v>
      </c>
      <c r="E444" s="403" t="str">
        <f t="array" ref="E444">INDIRECT("Tableau!$J$66")</f>
        <v/>
      </c>
    </row>
    <row r="445">
      <c r="A445" s="402">
        <f t="array" ref="A445">INDIRECT("Tableau!$A$67")</f>
        <v>303</v>
      </c>
      <c r="B445" s="398" t="s">
        <v>461</v>
      </c>
      <c r="C445" s="400" t="str">
        <f t="array" ref="C445">INDIRECT("Tableau!$I$67")</f>
        <v>Carbelle</v>
      </c>
      <c r="D445" s="400" t="str">
        <f t="shared" si="4"/>
        <v>IN</v>
      </c>
      <c r="E445" s="403" t="str">
        <f t="array" ref="E445">INDIRECT("Tableau!$J$67")</f>
        <v/>
      </c>
    </row>
    <row r="446">
      <c r="A446" s="402">
        <f t="array" ref="A446">INDIRECT("Tableau!$A$68")</f>
        <v>304</v>
      </c>
      <c r="B446" s="398" t="s">
        <v>461</v>
      </c>
      <c r="C446" s="400" t="str">
        <f t="array" ref="C446">INDIRECT("Tableau!$I$68")</f>
        <v>Carbelle</v>
      </c>
      <c r="D446" s="400" t="str">
        <f t="shared" si="4"/>
        <v>IN</v>
      </c>
      <c r="E446" s="403" t="str">
        <f t="array" ref="E446">INDIRECT("Tableau!$J$68")</f>
        <v/>
      </c>
    </row>
    <row r="447">
      <c r="A447" s="402">
        <f t="array" ref="A447">INDIRECT("Tableau!$A$69")</f>
        <v>305</v>
      </c>
      <c r="B447" s="398" t="s">
        <v>461</v>
      </c>
      <c r="C447" s="400" t="str">
        <f t="array" ref="C447">INDIRECT("Tableau!$I$69")</f>
        <v/>
      </c>
      <c r="D447" s="400" t="str">
        <f t="shared" si="4"/>
        <v>IN</v>
      </c>
      <c r="E447" s="403" t="str">
        <f t="array" ref="E447">INDIRECT("Tableau!$J$69")</f>
        <v/>
      </c>
    </row>
    <row r="448">
      <c r="A448" s="402">
        <f t="array" ref="A448">INDIRECT("Tableau!$A$70")</f>
        <v>306</v>
      </c>
      <c r="B448" s="398" t="s">
        <v>461</v>
      </c>
      <c r="C448" s="400" t="str">
        <f t="array" ref="C448">INDIRECT("Tableau!$I$70")</f>
        <v/>
      </c>
      <c r="D448" s="400" t="str">
        <f t="shared" si="4"/>
        <v>IN</v>
      </c>
      <c r="E448" s="403" t="str">
        <f t="array" ref="E448">INDIRECT("Tableau!$J$70")</f>
        <v/>
      </c>
    </row>
    <row r="449">
      <c r="A449" s="402">
        <f t="array" ref="A449">INDIRECT("Tableau!$A$71")</f>
        <v>307</v>
      </c>
      <c r="B449" s="398" t="s">
        <v>461</v>
      </c>
      <c r="C449" s="400" t="str">
        <f t="array" ref="C449">INDIRECT("Tableau!$I$71")</f>
        <v/>
      </c>
      <c r="D449" s="400" t="str">
        <f t="shared" si="4"/>
        <v>IN</v>
      </c>
      <c r="E449" s="403" t="str">
        <f t="array" ref="E449">INDIRECT("Tableau!$J$71")</f>
        <v/>
      </c>
    </row>
    <row r="450">
      <c r="A450" s="397">
        <f t="array" ref="A450">INDIRECT("Tableau!$A$72")</f>
        <v>367</v>
      </c>
      <c r="B450" s="398" t="s">
        <v>461</v>
      </c>
      <c r="C450" s="400" t="str">
        <f t="array" ref="C450">INDIRECT("Tableau!$I$72")</f>
        <v/>
      </c>
      <c r="D450" s="400" t="str">
        <f t="shared" si="4"/>
        <v>IN</v>
      </c>
      <c r="E450" s="403" t="str">
        <f t="array" ref="E450">INDIRECT("Tableau!$J$72")</f>
        <v/>
      </c>
    </row>
    <row r="451">
      <c r="A451" s="402">
        <f t="array" ref="A451">INDIRECT("Tableau!$A$73")</f>
        <v>308</v>
      </c>
      <c r="B451" s="398" t="s">
        <v>461</v>
      </c>
      <c r="C451" s="400" t="str">
        <f t="array" ref="C451">INDIRECT("Tableau!$I$73")</f>
        <v/>
      </c>
      <c r="D451" s="400" t="str">
        <f t="shared" si="4"/>
        <v>IN</v>
      </c>
      <c r="E451" s="403" t="str">
        <f t="array" ref="E451">INDIRECT("Tableau!$J$73")</f>
        <v/>
      </c>
    </row>
    <row r="452">
      <c r="A452" s="397">
        <f t="array" ref="A452">INDIRECT("Tableau!$A$74")</f>
        <v>319</v>
      </c>
      <c r="B452" s="398" t="s">
        <v>461</v>
      </c>
      <c r="C452" s="400" t="str">
        <f t="array" ref="C452">INDIRECT("Tableau!$I$74")</f>
        <v/>
      </c>
      <c r="D452" s="400" t="str">
        <f t="shared" si="4"/>
        <v>IN</v>
      </c>
      <c r="E452" s="403" t="str">
        <f t="array" ref="E452">INDIRECT("Tableau!$J$74")</f>
        <v/>
      </c>
    </row>
    <row r="453">
      <c r="A453" s="402">
        <f t="array" ref="A453">INDIRECT("Tableau!$A$75")</f>
        <v>309</v>
      </c>
      <c r="B453" s="398" t="s">
        <v>461</v>
      </c>
      <c r="C453" s="400" t="str">
        <f t="array" ref="C453">INDIRECT("Tableau!$I$75")</f>
        <v/>
      </c>
      <c r="D453" s="400" t="str">
        <f t="shared" si="4"/>
        <v>IN</v>
      </c>
      <c r="E453" s="403" t="str">
        <f t="array" ref="E453">INDIRECT("Tableau!$J$75")</f>
        <v/>
      </c>
    </row>
    <row r="454">
      <c r="A454" s="402">
        <f t="array" ref="A454">INDIRECT("Tableau!$A$76")</f>
        <v>310</v>
      </c>
      <c r="B454" s="398" t="s">
        <v>461</v>
      </c>
      <c r="C454" s="400" t="str">
        <f t="array" ref="C454">INDIRECT("Tableau!$I$76")</f>
        <v/>
      </c>
      <c r="D454" s="400" t="str">
        <f t="shared" si="4"/>
        <v>IN</v>
      </c>
      <c r="E454" s="403" t="str">
        <f t="array" ref="E454">INDIRECT("Tableau!$J$76")</f>
        <v/>
      </c>
    </row>
    <row r="455">
      <c r="A455" s="402">
        <f t="array" ref="A455">INDIRECT("Tableau!$A$77")</f>
        <v>311</v>
      </c>
      <c r="B455" s="398" t="s">
        <v>461</v>
      </c>
      <c r="C455" s="400" t="str">
        <f t="array" ref="C455">INDIRECT("Tableau!$I$77")</f>
        <v/>
      </c>
      <c r="D455" s="400" t="str">
        <f t="shared" si="4"/>
        <v>IN</v>
      </c>
      <c r="E455" s="403" t="str">
        <f t="array" ref="E455">INDIRECT("Tableau!$J$77")</f>
        <v/>
      </c>
    </row>
    <row r="456">
      <c r="A456" s="402">
        <f t="array" ref="A456">INDIRECT("Tableau!$A$78")</f>
        <v>312</v>
      </c>
      <c r="B456" s="398" t="s">
        <v>461</v>
      </c>
      <c r="C456" s="400" t="str">
        <f t="array" ref="C456">INDIRECT("Tableau!$I$78")</f>
        <v/>
      </c>
      <c r="D456" s="400" t="str">
        <f t="shared" si="4"/>
        <v>IN</v>
      </c>
      <c r="E456" s="403" t="str">
        <f t="array" ref="E456">INDIRECT("Tableau!$J$78")</f>
        <v/>
      </c>
    </row>
    <row r="457">
      <c r="A457" s="402">
        <f t="array" ref="A457">INDIRECT("Tableau!$A$79")</f>
        <v>313</v>
      </c>
      <c r="B457" s="398" t="s">
        <v>461</v>
      </c>
      <c r="C457" s="400" t="str">
        <f t="array" ref="C457">INDIRECT("Tableau!$I$79")</f>
        <v/>
      </c>
      <c r="D457" s="400" t="str">
        <f t="shared" si="4"/>
        <v>IN</v>
      </c>
      <c r="E457" s="403" t="str">
        <f t="array" ref="E457">INDIRECT("Tableau!$J$79")</f>
        <v/>
      </c>
    </row>
    <row r="458">
      <c r="A458" s="402">
        <f t="array" ref="A458">INDIRECT("Tableau!$A$80")</f>
        <v>314</v>
      </c>
      <c r="B458" s="398" t="s">
        <v>461</v>
      </c>
      <c r="C458" s="400" t="str">
        <f t="array" ref="C458">INDIRECT("Tableau!$I$80")</f>
        <v/>
      </c>
      <c r="D458" s="400" t="str">
        <f t="shared" si="4"/>
        <v>IN</v>
      </c>
      <c r="E458" s="403" t="str">
        <f t="array" ref="E458">INDIRECT("Tableau!$J$80")</f>
        <v/>
      </c>
    </row>
    <row r="459">
      <c r="A459" s="402">
        <f t="array" ref="A459">INDIRECT("Tableau!$A$81")</f>
        <v>315</v>
      </c>
      <c r="B459" s="398" t="s">
        <v>461</v>
      </c>
      <c r="C459" s="400" t="str">
        <f t="array" ref="C459">INDIRECT("Tableau!$I$81")</f>
        <v/>
      </c>
      <c r="D459" s="400" t="str">
        <f t="shared" si="4"/>
        <v>IN</v>
      </c>
      <c r="E459" s="403" t="str">
        <f t="array" ref="E459">INDIRECT("Tableau!$J$81")</f>
        <v/>
      </c>
    </row>
    <row r="460">
      <c r="A460" s="402">
        <f t="array" ref="A460">INDIRECT("Tableau!$A$82")</f>
        <v>316</v>
      </c>
      <c r="B460" s="398" t="s">
        <v>461</v>
      </c>
      <c r="C460" s="400" t="str">
        <f t="array" ref="C460">INDIRECT("Tableau!$I$82")</f>
        <v/>
      </c>
      <c r="D460" s="400" t="str">
        <f t="shared" si="4"/>
        <v>IN</v>
      </c>
      <c r="E460" s="403" t="str">
        <f t="array" ref="E460">INDIRECT("Tableau!$J$82")</f>
        <v/>
      </c>
    </row>
    <row r="461">
      <c r="A461" s="402">
        <f t="array" ref="A461">INDIRECT("Tableau!$A$83")</f>
        <v>317</v>
      </c>
      <c r="B461" s="398" t="s">
        <v>461</v>
      </c>
      <c r="C461" s="400" t="str">
        <f t="array" ref="C461">INDIRECT("Tableau!$I$83")</f>
        <v/>
      </c>
      <c r="D461" s="400" t="str">
        <f t="shared" si="4"/>
        <v>IN</v>
      </c>
      <c r="E461" s="403" t="str">
        <f t="array" ref="E461">INDIRECT("Tableau!$J$83")</f>
        <v/>
      </c>
    </row>
    <row r="462">
      <c r="A462" s="402">
        <f t="array" ref="A462">INDIRECT("Tableau!$A$84")</f>
        <v>318</v>
      </c>
      <c r="B462" s="398" t="s">
        <v>461</v>
      </c>
      <c r="C462" s="400" t="str">
        <f t="array" ref="C462">INDIRECT("Tableau!$I$84")</f>
        <v/>
      </c>
      <c r="D462" s="400" t="str">
        <f t="shared" si="4"/>
        <v>IN</v>
      </c>
      <c r="E462" s="403" t="str">
        <f t="array" ref="E462">INDIRECT("Tableau!$J$84")</f>
        <v/>
      </c>
    </row>
    <row r="463">
      <c r="A463" s="402">
        <f t="array" ref="A463">INDIRECT("Tableau!$A$85")</f>
        <v>320</v>
      </c>
      <c r="B463" s="398" t="s">
        <v>461</v>
      </c>
      <c r="C463" s="400" t="str">
        <f t="array" ref="C463">INDIRECT("Tableau!$I$85")</f>
        <v/>
      </c>
      <c r="D463" s="400" t="str">
        <f t="shared" si="4"/>
        <v>IN</v>
      </c>
      <c r="E463" s="403" t="str">
        <f t="array" ref="E463">INDIRECT("Tableau!$J$85")</f>
        <v/>
      </c>
    </row>
    <row r="464">
      <c r="A464" s="402">
        <f t="array" ref="A464">INDIRECT("Tableau!$A$86")</f>
        <v>321</v>
      </c>
      <c r="B464" s="398" t="s">
        <v>461</v>
      </c>
      <c r="C464" s="400" t="str">
        <f t="array" ref="C464">INDIRECT("Tableau!$I$86")</f>
        <v/>
      </c>
      <c r="D464" s="400" t="str">
        <f t="shared" si="4"/>
        <v>IN</v>
      </c>
      <c r="E464" s="403" t="str">
        <f t="array" ref="E464">INDIRECT("Tableau!$J$86")</f>
        <v/>
      </c>
    </row>
    <row r="465">
      <c r="A465" s="397" t="str">
        <f t="array" ref="A465">INDIRECT("Tableau!$A$87")</f>
        <v/>
      </c>
      <c r="B465" s="398" t="s">
        <v>461</v>
      </c>
      <c r="C465" s="400" t="str">
        <f t="array" ref="C465">INDIRECT("Tableau!$I$87")</f>
        <v/>
      </c>
      <c r="D465" s="400" t="str">
        <f t="shared" si="4"/>
        <v>IN</v>
      </c>
      <c r="E465" s="403" t="str">
        <f t="array" ref="E465">INDIRECT("Tableau!$J$87")</f>
        <v/>
      </c>
    </row>
    <row r="466">
      <c r="A466" s="402">
        <f t="array" ref="A466">INDIRECT("Tableau!$A$88")</f>
        <v>323</v>
      </c>
      <c r="B466" s="398" t="s">
        <v>461</v>
      </c>
      <c r="C466" s="400" t="str">
        <f t="array" ref="C466">INDIRECT("Tableau!$I$88")</f>
        <v/>
      </c>
      <c r="D466" s="400" t="str">
        <f t="shared" si="4"/>
        <v>IN</v>
      </c>
      <c r="E466" s="403" t="str">
        <f t="array" ref="E466">INDIRECT("Tableau!$J$88")</f>
        <v/>
      </c>
    </row>
    <row r="467">
      <c r="A467" s="402">
        <f t="array" ref="A467">INDIRECT("Tableau!$A$89")</f>
        <v>324</v>
      </c>
      <c r="B467" s="398" t="s">
        <v>461</v>
      </c>
      <c r="C467" s="400" t="str">
        <f t="array" ref="C467">INDIRECT("Tableau!$I$89")</f>
        <v/>
      </c>
      <c r="D467" s="400" t="str">
        <f t="shared" si="4"/>
        <v>IN</v>
      </c>
      <c r="E467" s="403" t="str">
        <f t="array" ref="E467">INDIRECT("Tableau!$J$89")</f>
        <v>Cond Salon</v>
      </c>
    </row>
    <row r="468">
      <c r="A468" s="402">
        <f t="array" ref="A468">INDIRECT("Tableau!$A$90")</f>
        <v>325</v>
      </c>
      <c r="B468" s="398" t="s">
        <v>461</v>
      </c>
      <c r="C468" s="400" t="str">
        <f t="array" ref="C468">INDIRECT("Tableau!$I$90")</f>
        <v/>
      </c>
      <c r="D468" s="400" t="str">
        <f t="shared" si="4"/>
        <v>IN</v>
      </c>
      <c r="E468" s="403" t="str">
        <f t="array" ref="E468">INDIRECT("Tableau!$J$90")</f>
        <v/>
      </c>
    </row>
    <row r="469">
      <c r="A469" s="402">
        <f t="array" ref="A469">INDIRECT("Tableau!$A$91")</f>
        <v>326</v>
      </c>
      <c r="B469" s="398" t="s">
        <v>461</v>
      </c>
      <c r="C469" s="400" t="str">
        <f t="array" ref="C469">INDIRECT("Tableau!$I$91")</f>
        <v/>
      </c>
      <c r="D469" s="400" t="str">
        <f t="shared" si="4"/>
        <v>IN</v>
      </c>
      <c r="E469" s="403" t="str">
        <f t="array" ref="E469">INDIRECT("Tableau!$J$91")</f>
        <v/>
      </c>
    </row>
    <row r="470">
      <c r="A470" s="402">
        <f t="array" ref="A470">INDIRECT("Tableau!$A$92")</f>
        <v>327</v>
      </c>
      <c r="B470" s="398" t="s">
        <v>461</v>
      </c>
      <c r="C470" s="400" t="str">
        <f t="array" ref="C470">INDIRECT("Tableau!$I$92")</f>
        <v/>
      </c>
      <c r="D470" s="400" t="str">
        <f t="shared" si="4"/>
        <v>IN</v>
      </c>
      <c r="E470" s="403" t="str">
        <f t="array" ref="E470">INDIRECT("Tableau!$J$92")</f>
        <v/>
      </c>
    </row>
    <row r="471">
      <c r="A471" s="402">
        <f t="array" ref="A471">INDIRECT("Tableau!$A$93")</f>
        <v>328</v>
      </c>
      <c r="B471" s="398" t="s">
        <v>461</v>
      </c>
      <c r="C471" s="400" t="str">
        <f t="array" ref="C471">INDIRECT("Tableau!$I$93")</f>
        <v/>
      </c>
      <c r="D471" s="400" t="str">
        <f t="shared" si="4"/>
        <v>IN</v>
      </c>
      <c r="E471" s="403" t="str">
        <f t="array" ref="E471">INDIRECT("Tableau!$J$93")</f>
        <v/>
      </c>
    </row>
    <row r="472">
      <c r="A472" s="402">
        <f t="array" ref="A472">INDIRECT("Tableau!$A$94")</f>
        <v>329</v>
      </c>
      <c r="B472" s="398" t="s">
        <v>461</v>
      </c>
      <c r="C472" s="400" t="str">
        <f t="array" ref="C472">INDIRECT("Tableau!$I$94")</f>
        <v/>
      </c>
      <c r="D472" s="400" t="str">
        <f t="shared" si="4"/>
        <v>IN</v>
      </c>
      <c r="E472" s="403" t="str">
        <f t="array" ref="E472">INDIRECT("Tableau!$J$94")</f>
        <v/>
      </c>
    </row>
    <row r="473">
      <c r="A473" s="402">
        <f t="array" ref="A473">INDIRECT("Tableau!$A$95")</f>
        <v>330</v>
      </c>
      <c r="B473" s="398" t="s">
        <v>461</v>
      </c>
      <c r="C473" s="400" t="str">
        <f t="array" ref="C473">INDIRECT("Tableau!$I$95")</f>
        <v/>
      </c>
      <c r="D473" s="400" t="str">
        <f t="shared" si="4"/>
        <v>IN</v>
      </c>
      <c r="E473" s="403" t="str">
        <f t="array" ref="E473">INDIRECT("Tableau!$J$95")</f>
        <v/>
      </c>
    </row>
    <row r="474">
      <c r="A474" s="402">
        <f t="array" ref="A474">INDIRECT("Tableau!$A$96")</f>
        <v>331</v>
      </c>
      <c r="B474" s="398" t="s">
        <v>461</v>
      </c>
      <c r="C474" s="400" t="str">
        <f t="array" ref="C474">INDIRECT("Tableau!$I$96")</f>
        <v>Carbelle</v>
      </c>
      <c r="D474" s="400" t="str">
        <f t="shared" si="4"/>
        <v>IN</v>
      </c>
      <c r="E474" s="403" t="str">
        <f t="array" ref="E474">INDIRECT("Tableau!$J$96")</f>
        <v/>
      </c>
    </row>
    <row r="475">
      <c r="A475" s="402">
        <f t="array" ref="A475">INDIRECT("Tableau!$A$97")</f>
        <v>332</v>
      </c>
      <c r="B475" s="398" t="s">
        <v>461</v>
      </c>
      <c r="C475" s="400" t="str">
        <f t="array" ref="C475">INDIRECT("Tableau!$I$97")</f>
        <v>Carbelle</v>
      </c>
      <c r="D475" s="400" t="str">
        <f t="shared" si="4"/>
        <v>IN</v>
      </c>
      <c r="E475" s="403" t="str">
        <f t="array" ref="E475">INDIRECT("Tableau!$J$97")</f>
        <v/>
      </c>
    </row>
    <row r="476">
      <c r="A476" s="402">
        <f t="array" ref="A476">INDIRECT("Tableau!$A$98")</f>
        <v>333</v>
      </c>
      <c r="B476" s="398" t="s">
        <v>461</v>
      </c>
      <c r="C476" s="400" t="str">
        <f t="array" ref="C476">INDIRECT("Tableau!$I$98")</f>
        <v/>
      </c>
      <c r="D476" s="400" t="str">
        <f t="shared" si="4"/>
        <v>IN</v>
      </c>
      <c r="E476" s="403" t="str">
        <f t="array" ref="E476">INDIRECT("Tableau!$J$98")</f>
        <v/>
      </c>
    </row>
    <row r="477">
      <c r="A477" s="402">
        <f t="array" ref="A477">INDIRECT("Tableau!$A$99")</f>
        <v>334</v>
      </c>
      <c r="B477" s="398" t="s">
        <v>461</v>
      </c>
      <c r="C477" s="400" t="str">
        <f t="array" ref="C477">INDIRECT("Tableau!$I$99")</f>
        <v/>
      </c>
      <c r="D477" s="400" t="str">
        <f t="shared" si="4"/>
        <v>IN</v>
      </c>
      <c r="E477" s="403" t="str">
        <f t="array" ref="E477">INDIRECT("Tableau!$J$99")</f>
        <v/>
      </c>
    </row>
    <row r="478">
      <c r="A478" s="402">
        <f t="array" ref="A478">INDIRECT("Tableau!$A$100")</f>
        <v>335</v>
      </c>
      <c r="B478" s="398" t="s">
        <v>461</v>
      </c>
      <c r="C478" s="400" t="str">
        <f t="array" ref="C478">INDIRECT("Tableau!$I$100")</f>
        <v>Carbelle</v>
      </c>
      <c r="D478" s="400" t="str">
        <f t="shared" si="4"/>
        <v>IN</v>
      </c>
      <c r="E478" s="403" t="str">
        <f t="array" ref="E478">INDIRECT("Tableau!$J$100")</f>
        <v/>
      </c>
    </row>
    <row r="479">
      <c r="A479" s="402">
        <f t="array" ref="A479">INDIRECT("Tableau!$A$101")</f>
        <v>336</v>
      </c>
      <c r="B479" s="398" t="s">
        <v>461</v>
      </c>
      <c r="C479" s="400" t="str">
        <f t="array" ref="C479">INDIRECT("Tableau!$I$101")</f>
        <v/>
      </c>
      <c r="D479" s="400" t="str">
        <f t="shared" si="4"/>
        <v>IN</v>
      </c>
      <c r="E479" s="403" t="str">
        <f t="array" ref="E479">INDIRECT("Tableau!$J$101")</f>
        <v/>
      </c>
    </row>
    <row r="480">
      <c r="A480" s="402">
        <f t="array" ref="A480">INDIRECT("Tableau!$A$102")</f>
        <v>337</v>
      </c>
      <c r="B480" s="398" t="s">
        <v>461</v>
      </c>
      <c r="C480" s="400" t="str">
        <f t="array" ref="C480">INDIRECT("Tableau!$I$102")</f>
        <v/>
      </c>
      <c r="D480" s="400" t="str">
        <f t="shared" si="4"/>
        <v>IN</v>
      </c>
      <c r="E480" s="403" t="str">
        <f t="array" ref="E480">INDIRECT("Tableau!$J$102")</f>
        <v>Cond Salon</v>
      </c>
    </row>
    <row r="481">
      <c r="A481" s="402">
        <f t="array" ref="A481">INDIRECT("Tableau!$A$103")</f>
        <v>338</v>
      </c>
      <c r="B481" s="398" t="s">
        <v>461</v>
      </c>
      <c r="C481" s="400" t="str">
        <f t="array" ref="C481">INDIRECT("Tableau!$I$103")</f>
        <v>Immo Toma </v>
      </c>
      <c r="D481" s="400" t="str">
        <f t="shared" si="4"/>
        <v>IN</v>
      </c>
      <c r="E481" s="403" t="str">
        <f t="array" ref="E481">INDIRECT("Tableau!$J$103")</f>
        <v/>
      </c>
    </row>
    <row r="482">
      <c r="A482" s="402">
        <f t="array" ref="A482">INDIRECT("Tableau!$A$104")</f>
        <v>339</v>
      </c>
      <c r="B482" s="398" t="s">
        <v>461</v>
      </c>
      <c r="C482" s="400" t="str">
        <f t="array" ref="C482">INDIRECT("Tableau!$I$104")</f>
        <v/>
      </c>
      <c r="D482" s="400" t="str">
        <f t="shared" si="4"/>
        <v>IN</v>
      </c>
      <c r="E482" s="403" t="str">
        <f t="array" ref="E482">INDIRECT("Tableau!$J$104")</f>
        <v/>
      </c>
    </row>
    <row r="483">
      <c r="A483" s="402">
        <f t="array" ref="A483">INDIRECT("Tableau!$A$105")</f>
        <v>340</v>
      </c>
      <c r="B483" s="398" t="s">
        <v>461</v>
      </c>
      <c r="C483" s="400" t="str">
        <f t="array" ref="C483">INDIRECT("Tableau!$I$105")</f>
        <v>Carbelle</v>
      </c>
      <c r="D483" s="400" t="str">
        <f t="shared" si="4"/>
        <v>IN</v>
      </c>
      <c r="E483" s="403" t="str">
        <f t="array" ref="E483">INDIRECT("Tableau!$J$105")</f>
        <v/>
      </c>
    </row>
    <row r="484">
      <c r="A484" s="402">
        <f t="array" ref="A484">INDIRECT("Tableau!$A$106")</f>
        <v>341</v>
      </c>
      <c r="B484" s="398" t="s">
        <v>461</v>
      </c>
      <c r="C484" s="400" t="str">
        <f t="array" ref="C484">INDIRECT("Tableau!$I$106")</f>
        <v>Carbelle</v>
      </c>
      <c r="D484" s="400" t="str">
        <f t="shared" si="4"/>
        <v>IN</v>
      </c>
      <c r="E484" s="403" t="str">
        <f t="array" ref="E484">INDIRECT("Tableau!$J$106")</f>
        <v/>
      </c>
    </row>
    <row r="485">
      <c r="A485" s="402">
        <f t="array" ref="A485">INDIRECT("Tableau!$A$107")</f>
        <v>365</v>
      </c>
      <c r="B485" s="398" t="s">
        <v>461</v>
      </c>
      <c r="C485" s="400" t="str">
        <f t="array" ref="C485">INDIRECT("Tableau!$I$107")</f>
        <v/>
      </c>
      <c r="D485" s="400" t="str">
        <f t="shared" si="4"/>
        <v>IN</v>
      </c>
      <c r="E485" s="403" t="str">
        <f t="array" ref="E485">INDIRECT("Tableau!$J$107")</f>
        <v/>
      </c>
    </row>
    <row r="486">
      <c r="A486" s="402">
        <f t="array" ref="A486">INDIRECT("Tableau!$A$108")</f>
        <v>342</v>
      </c>
      <c r="B486" s="398" t="s">
        <v>461</v>
      </c>
      <c r="C486" s="400" t="str">
        <f t="array" ref="C486">INDIRECT("Tableau!$I$108")</f>
        <v>Carbelle</v>
      </c>
      <c r="D486" s="400" t="str">
        <f t="shared" si="4"/>
        <v>IN</v>
      </c>
      <c r="E486" s="403" t="str">
        <f t="array" ref="E486">INDIRECT("Tableau!$J$108")</f>
        <v/>
      </c>
    </row>
    <row r="487">
      <c r="A487" s="402">
        <f t="array" ref="A487">INDIRECT("Tableau!$A$109")</f>
        <v>343</v>
      </c>
      <c r="B487" s="398" t="s">
        <v>461</v>
      </c>
      <c r="C487" s="400" t="str">
        <f t="array" ref="C487">INDIRECT("Tableau!$I$109")</f>
        <v>DPS</v>
      </c>
      <c r="D487" s="400" t="str">
        <f t="shared" si="4"/>
        <v>IN</v>
      </c>
      <c r="E487" s="403" t="str">
        <f t="array" ref="E487">INDIRECT("Tableau!$J$109")</f>
        <v/>
      </c>
    </row>
    <row r="488">
      <c r="A488" s="402">
        <f t="array" ref="A488">INDIRECT("Tableau!$A$110")</f>
        <v>344</v>
      </c>
      <c r="B488" s="398" t="s">
        <v>461</v>
      </c>
      <c r="C488" s="400" t="str">
        <f t="array" ref="C488">INDIRECT("Tableau!$I$110")</f>
        <v/>
      </c>
      <c r="D488" s="400" t="str">
        <f t="shared" si="4"/>
        <v>IN</v>
      </c>
      <c r="E488" s="403" t="str">
        <f t="array" ref="E488">INDIRECT("Tableau!$J$110")</f>
        <v>Cond Salon</v>
      </c>
    </row>
    <row r="489">
      <c r="A489" s="402">
        <f t="array" ref="A489">INDIRECT("Tableau!$A$111")</f>
        <v>363</v>
      </c>
      <c r="B489" s="398" t="s">
        <v>461</v>
      </c>
      <c r="C489" s="400" t="str">
        <f t="array" ref="C489">INDIRECT("Tableau!$I$111")</f>
        <v/>
      </c>
      <c r="D489" s="400" t="str">
        <f t="shared" si="4"/>
        <v>IN</v>
      </c>
      <c r="E489" s="403" t="str">
        <f t="array" ref="E489">INDIRECT("Tableau!$J$111")</f>
        <v/>
      </c>
    </row>
    <row r="490">
      <c r="A490" s="402">
        <f t="array" ref="A490">INDIRECT("Tableau!$A$112")</f>
        <v>345</v>
      </c>
      <c r="B490" s="398" t="s">
        <v>461</v>
      </c>
      <c r="C490" s="400" t="str">
        <f t="array" ref="C490">INDIRECT("Tableau!$I$112")</f>
        <v/>
      </c>
      <c r="D490" s="400" t="str">
        <f t="shared" si="4"/>
        <v>IN</v>
      </c>
      <c r="E490" s="403" t="str">
        <f t="array" ref="E490">INDIRECT("Tableau!$J$112")</f>
        <v/>
      </c>
    </row>
    <row r="491">
      <c r="A491" s="402">
        <f t="array" ref="A491">INDIRECT("Tableau!$A$113")</f>
        <v>346</v>
      </c>
      <c r="B491" s="398" t="s">
        <v>461</v>
      </c>
      <c r="C491" s="400" t="str">
        <f t="array" ref="C491">INDIRECT("Tableau!$I$113")</f>
        <v/>
      </c>
      <c r="D491" s="400" t="str">
        <f t="shared" si="4"/>
        <v>IN</v>
      </c>
      <c r="E491" s="403" t="str">
        <f t="array" ref="E491">INDIRECT("Tableau!$J$113")</f>
        <v/>
      </c>
    </row>
    <row r="492">
      <c r="A492" s="402">
        <f t="array" ref="A492">INDIRECT("Tableau!$A$114")</f>
        <v>359</v>
      </c>
      <c r="B492" s="398" t="s">
        <v>461</v>
      </c>
      <c r="C492" s="400" t="str">
        <f t="array" ref="C492">INDIRECT("Tableau!$I$114")</f>
        <v/>
      </c>
      <c r="D492" s="400" t="str">
        <f t="shared" si="4"/>
        <v>IN</v>
      </c>
      <c r="E492" s="403" t="str">
        <f t="array" ref="E492">INDIRECT("Tableau!$J$114")</f>
        <v/>
      </c>
    </row>
    <row r="493">
      <c r="A493" s="402">
        <f t="array" ref="A493">INDIRECT("Tableau!$A$115")</f>
        <v>360</v>
      </c>
      <c r="B493" s="398" t="s">
        <v>461</v>
      </c>
      <c r="C493" s="400" t="str">
        <f t="array" ref="C493">INDIRECT("Tableau!$I$115")</f>
        <v/>
      </c>
      <c r="D493" s="400" t="str">
        <f t="shared" si="4"/>
        <v>IN</v>
      </c>
      <c r="E493" s="403" t="str">
        <f t="array" ref="E493">INDIRECT("Tableau!$J$115")</f>
        <v/>
      </c>
    </row>
    <row r="494">
      <c r="A494" s="402">
        <f t="array" ref="A494">INDIRECT("Tableau!$A$116")</f>
        <v>361</v>
      </c>
      <c r="B494" s="398" t="s">
        <v>461</v>
      </c>
      <c r="C494" s="400" t="str">
        <f t="array" ref="C494">INDIRECT("Tableau!$I$116")</f>
        <v/>
      </c>
      <c r="D494" s="400" t="str">
        <f t="shared" si="4"/>
        <v>IN</v>
      </c>
      <c r="E494" s="403" t="str">
        <f t="array" ref="E494">INDIRECT("Tableau!$J$116")</f>
        <v/>
      </c>
    </row>
    <row r="495">
      <c r="A495" s="397" t="str">
        <f t="array" ref="A495">INDIRECT("Tableau!$A$117")</f>
        <v/>
      </c>
      <c r="B495" s="398" t="s">
        <v>461</v>
      </c>
      <c r="C495" s="400" t="str">
        <f t="array" ref="C495">INDIRECT("Tableau!$I$117")</f>
        <v/>
      </c>
      <c r="D495" s="400" t="str">
        <f t="shared" si="4"/>
        <v>IN</v>
      </c>
      <c r="E495" s="403" t="str">
        <f t="array" ref="E495">INDIRECT("Tableau!$J$117")</f>
        <v/>
      </c>
    </row>
    <row r="496">
      <c r="A496" s="402">
        <f t="array" ref="A496">INDIRECT("Tableau!$A$118")</f>
        <v>347</v>
      </c>
      <c r="B496" s="398" t="s">
        <v>461</v>
      </c>
      <c r="C496" s="400" t="str">
        <f t="array" ref="C496">INDIRECT("Tableau!$I$118")</f>
        <v>BP Martelange</v>
      </c>
      <c r="D496" s="400" t="str">
        <f t="shared" si="4"/>
        <v>IN</v>
      </c>
      <c r="E496" s="403" t="str">
        <f t="array" ref="E496">INDIRECT("Tableau!$J$118")</f>
        <v/>
      </c>
    </row>
    <row r="497">
      <c r="A497" s="402">
        <f t="array" ref="A497">INDIRECT("Tableau!$A$119")</f>
        <v>348</v>
      </c>
      <c r="B497" s="398" t="s">
        <v>461</v>
      </c>
      <c r="C497" s="400" t="str">
        <f t="array" ref="C497">INDIRECT("Tableau!$I$119")</f>
        <v>Carbelle</v>
      </c>
      <c r="D497" s="400" t="str">
        <f t="shared" si="4"/>
        <v>IN</v>
      </c>
      <c r="E497" s="403" t="str">
        <f t="array" ref="E497">INDIRECT("Tableau!$J$119")</f>
        <v/>
      </c>
    </row>
    <row r="498">
      <c r="A498" s="402">
        <f t="array" ref="A498">INDIRECT("Tableau!$A$120")</f>
        <v>349</v>
      </c>
      <c r="B498" s="398" t="s">
        <v>461</v>
      </c>
      <c r="C498" s="400" t="str">
        <f t="array" ref="C498">INDIRECT("Tableau!$I$120")</f>
        <v>Carbelle</v>
      </c>
      <c r="D498" s="400" t="str">
        <f t="shared" si="4"/>
        <v>IN</v>
      </c>
      <c r="E498" s="403" t="str">
        <f t="array" ref="E498">INDIRECT("Tableau!$J$120")</f>
        <v/>
      </c>
    </row>
    <row r="499">
      <c r="A499" s="402">
        <f t="array" ref="A499">INDIRECT("Tableau!$A$121")</f>
        <v>350</v>
      </c>
      <c r="B499" s="398" t="s">
        <v>461</v>
      </c>
      <c r="C499" s="400" t="str">
        <f t="array" ref="C499">INDIRECT("Tableau!$I$121")</f>
        <v>Carbelle</v>
      </c>
      <c r="D499" s="400" t="str">
        <f t="shared" si="4"/>
        <v>IN</v>
      </c>
      <c r="E499" s="403" t="str">
        <f t="array" ref="E499">INDIRECT("Tableau!$J$121")</f>
        <v/>
      </c>
    </row>
    <row r="500">
      <c r="A500" s="402">
        <f t="array" ref="A500">INDIRECT("Tableau!$A$122")</f>
        <v>351</v>
      </c>
      <c r="B500" s="398" t="s">
        <v>461</v>
      </c>
      <c r="C500" s="400" t="str">
        <f t="array" ref="C500">INDIRECT("Tableau!$I$122")</f>
        <v>Carbelle</v>
      </c>
      <c r="D500" s="400" t="str">
        <f t="shared" si="4"/>
        <v>IN</v>
      </c>
      <c r="E500" s="403" t="str">
        <f t="array" ref="E500">INDIRECT("Tableau!$J$122")</f>
        <v/>
      </c>
    </row>
    <row r="501">
      <c r="A501" s="402">
        <f t="array" ref="A501">INDIRECT("Tableau!$A$123")</f>
        <v>352</v>
      </c>
      <c r="B501" s="398" t="s">
        <v>461</v>
      </c>
      <c r="C501" s="400" t="str">
        <f t="array" ref="C501">INDIRECT("Tableau!$I$123")</f>
        <v/>
      </c>
      <c r="D501" s="400" t="str">
        <f t="shared" si="4"/>
        <v>IN</v>
      </c>
      <c r="E501" s="403" t="str">
        <f t="array" ref="E501">INDIRECT("Tableau!$J$123")</f>
        <v/>
      </c>
    </row>
    <row r="502">
      <c r="A502" s="402">
        <f t="array" ref="A502">INDIRECT("Tableau!$A$124")</f>
        <v>353</v>
      </c>
      <c r="B502" s="398" t="s">
        <v>461</v>
      </c>
      <c r="C502" s="400" t="str">
        <f t="array" ref="C502">INDIRECT("Tableau!$I$124")</f>
        <v/>
      </c>
      <c r="D502" s="400" t="str">
        <f t="shared" si="4"/>
        <v>IN</v>
      </c>
      <c r="E502" s="403" t="str">
        <f t="array" ref="E502">INDIRECT("Tableau!$J$124")</f>
        <v/>
      </c>
    </row>
    <row r="503">
      <c r="A503" s="397" t="str">
        <f t="array" ref="A503">INDIRECT("Tableau!$A$125")</f>
        <v/>
      </c>
      <c r="B503" s="398" t="s">
        <v>461</v>
      </c>
      <c r="C503" s="400" t="str">
        <f t="array" ref="C503">INDIRECT("Tableau!$I$125")</f>
        <v/>
      </c>
      <c r="D503" s="400" t="str">
        <f t="shared" si="4"/>
        <v>IN</v>
      </c>
      <c r="E503" s="403" t="str">
        <f t="array" ref="E503">INDIRECT("Tableau!$J$125")</f>
        <v/>
      </c>
    </row>
    <row r="504">
      <c r="A504" s="402">
        <f t="array" ref="A504">INDIRECT("Tableau!$A$126")</f>
        <v>354</v>
      </c>
      <c r="B504" s="398" t="s">
        <v>461</v>
      </c>
      <c r="C504" s="400" t="str">
        <f t="array" ref="C504">INDIRECT("Tableau!$I$126")</f>
        <v>Immo Toma </v>
      </c>
      <c r="D504" s="400" t="str">
        <f t="shared" si="4"/>
        <v>IN</v>
      </c>
      <c r="E504" s="403" t="str">
        <f t="array" ref="E504">INDIRECT("Tableau!$J$126")</f>
        <v/>
      </c>
    </row>
    <row r="505">
      <c r="A505" s="402">
        <f t="array" ref="A505">INDIRECT("Tableau!$A$127")</f>
        <v>355</v>
      </c>
      <c r="B505" s="398" t="s">
        <v>461</v>
      </c>
      <c r="C505" s="400" t="str">
        <f t="array" ref="C505">INDIRECT("Tableau!$I$127")</f>
        <v/>
      </c>
      <c r="D505" s="400" t="str">
        <f t="shared" si="4"/>
        <v>IN</v>
      </c>
      <c r="E505" s="403" t="str">
        <f t="array" ref="E505">INDIRECT("Tableau!$J$127")</f>
        <v/>
      </c>
    </row>
    <row r="506">
      <c r="A506" s="402">
        <f t="array" ref="A506">INDIRECT("Tableau!$A$128")</f>
        <v>356</v>
      </c>
      <c r="B506" s="398" t="s">
        <v>461</v>
      </c>
      <c r="C506" s="400" t="str">
        <f t="array" ref="C506">INDIRECT("Tableau!$I$128")</f>
        <v>Immo Toma </v>
      </c>
      <c r="D506" s="400" t="str">
        <f t="shared" si="4"/>
        <v>IN</v>
      </c>
      <c r="E506" s="403" t="str">
        <f t="array" ref="E506">INDIRECT("Tableau!$J$128")</f>
        <v/>
      </c>
    </row>
    <row r="507">
      <c r="A507" s="402">
        <f t="array" ref="A507">INDIRECT("Tableau!$A$129")</f>
        <v>357</v>
      </c>
      <c r="B507" s="398" t="s">
        <v>461</v>
      </c>
      <c r="C507" s="400" t="str">
        <f t="array" ref="C507">INDIRECT("Tableau!$I$129")</f>
        <v/>
      </c>
      <c r="D507" s="400" t="str">
        <f t="shared" si="4"/>
        <v>IN</v>
      </c>
      <c r="E507" s="403" t="str">
        <f t="array" ref="E507">INDIRECT("Tableau!$J$129")</f>
        <v/>
      </c>
    </row>
    <row r="508">
      <c r="A508" s="397" t="str">
        <f t="array" ref="A508">INDIRECT("Tableau!$A$130")</f>
        <v/>
      </c>
      <c r="B508" s="398" t="s">
        <v>461</v>
      </c>
      <c r="C508" s="400" t="str">
        <f t="array" ref="C508">INDIRECT("Tableau!$I$130")</f>
        <v/>
      </c>
      <c r="D508" s="400" t="str">
        <f t="shared" si="4"/>
        <v>IN</v>
      </c>
      <c r="E508" s="403" t="str">
        <f t="array" ref="E508">INDIRECT("Tableau!$J$130")</f>
        <v/>
      </c>
    </row>
    <row r="509">
      <c r="A509" s="397" t="str">
        <f t="array" ref="A509">INDIRECT("Tableau!$A$131")</f>
        <v/>
      </c>
      <c r="B509" s="398" t="s">
        <v>461</v>
      </c>
      <c r="C509" s="400" t="str">
        <f t="array" ref="C509">INDIRECT("Tableau!$I$131")</f>
        <v/>
      </c>
      <c r="D509" s="400" t="str">
        <f t="shared" si="4"/>
        <v>IN</v>
      </c>
      <c r="E509" s="403" t="str">
        <f t="array" ref="E509">INDIRECT("Tableau!$J$131")</f>
        <v/>
      </c>
    </row>
    <row r="510">
      <c r="A510" s="397" t="str">
        <f t="array" ref="A510">INDIRECT("Tableau!$A$132")</f>
        <v/>
      </c>
      <c r="B510" s="398" t="s">
        <v>461</v>
      </c>
      <c r="C510" s="400" t="str">
        <f t="array" ref="C510">INDIRECT("Tableau!$I$132")</f>
        <v/>
      </c>
      <c r="D510" s="400" t="str">
        <f t="shared" si="4"/>
        <v>IN</v>
      </c>
      <c r="E510" s="403" t="str">
        <f t="array" ref="E510">INDIRECT("Tableau!$J$132")</f>
        <v/>
      </c>
    </row>
    <row r="511">
      <c r="A511" s="397" t="str">
        <f t="array" ref="A511">INDIRECT("Tableau!$A$133")</f>
        <v/>
      </c>
      <c r="B511" s="398" t="s">
        <v>461</v>
      </c>
      <c r="C511" s="400" t="str">
        <f t="array" ref="C511">INDIRECT("Tableau!$I$133")</f>
        <v/>
      </c>
      <c r="D511" s="400" t="str">
        <f t="shared" si="4"/>
        <v>IN</v>
      </c>
      <c r="E511" s="403" t="str">
        <f t="array" ref="E511">INDIRECT("Tableau!$J$133")</f>
        <v/>
      </c>
    </row>
    <row r="512">
      <c r="A512" s="397" t="str">
        <f t="array" ref="A512">INDIRECT("Tableau!$A$134")</f>
        <v/>
      </c>
      <c r="B512" s="398" t="s">
        <v>461</v>
      </c>
      <c r="C512" s="400" t="str">
        <f t="array" ref="C512">INDIRECT("Tableau!$I$134")</f>
        <v/>
      </c>
      <c r="D512" s="400" t="str">
        <f t="shared" si="4"/>
        <v>IN</v>
      </c>
      <c r="E512" s="403" t="str">
        <f t="array" ref="E512">INDIRECT("Tableau!$J$134")</f>
        <v/>
      </c>
    </row>
    <row r="513">
      <c r="A513" s="402">
        <f t="array" ref="A513">INDIRECT("Tableau!$A$135")</f>
        <v>401</v>
      </c>
      <c r="B513" s="398" t="s">
        <v>461</v>
      </c>
      <c r="C513" s="400" t="str">
        <f t="array" ref="C513">INDIRECT("Tableau!$I$135")</f>
        <v>Carbelle</v>
      </c>
      <c r="D513" s="400" t="str">
        <f t="shared" si="4"/>
        <v>IN</v>
      </c>
      <c r="E513" s="403" t="str">
        <f t="array" ref="E513">INDIRECT("Tableau!$J$135")</f>
        <v/>
      </c>
    </row>
    <row r="514">
      <c r="A514" s="402">
        <f t="array" ref="A514">INDIRECT("Tableau!$A$136")</f>
        <v>402</v>
      </c>
      <c r="B514" s="398" t="s">
        <v>461</v>
      </c>
      <c r="C514" s="400" t="str">
        <f t="array" ref="C514">INDIRECT("Tableau!$I$136")</f>
        <v>Carbelle</v>
      </c>
      <c r="D514" s="400" t="str">
        <f t="shared" si="4"/>
        <v>IN</v>
      </c>
      <c r="E514" s="403" t="str">
        <f t="array" ref="E514">INDIRECT("Tableau!$J$136")</f>
        <v/>
      </c>
    </row>
    <row r="515">
      <c r="A515" s="402">
        <f t="array" ref="A515">INDIRECT("Tableau!$A$137")</f>
        <v>403</v>
      </c>
      <c r="B515" s="398" t="s">
        <v>461</v>
      </c>
      <c r="C515" s="400" t="str">
        <f t="array" ref="C515">INDIRECT("Tableau!$I$137")</f>
        <v>Carbelle</v>
      </c>
      <c r="D515" s="400" t="str">
        <f t="shared" si="4"/>
        <v>IN</v>
      </c>
      <c r="E515" s="403" t="str">
        <f t="array" ref="E515">INDIRECT("Tableau!$J$137")</f>
        <v/>
      </c>
    </row>
    <row r="516">
      <c r="A516" s="402">
        <f t="array" ref="A516">INDIRECT("Tableau!$A$138")</f>
        <v>404</v>
      </c>
      <c r="B516" s="398" t="s">
        <v>461</v>
      </c>
      <c r="C516" s="400" t="str">
        <f t="array" ref="C516">INDIRECT("Tableau!$I$138")</f>
        <v>Immo Toma </v>
      </c>
      <c r="D516" s="400" t="str">
        <f t="shared" si="4"/>
        <v>IN</v>
      </c>
      <c r="E516" s="403" t="str">
        <f t="array" ref="E516">INDIRECT("Tableau!$J$138")</f>
        <v/>
      </c>
    </row>
    <row r="517">
      <c r="A517" s="402">
        <f t="array" ref="A517">INDIRECT("Tableau!$A$139")</f>
        <v>405</v>
      </c>
      <c r="B517" s="398" t="s">
        <v>461</v>
      </c>
      <c r="C517" s="400" t="str">
        <f t="array" ref="C517">INDIRECT("Tableau!$I$139")</f>
        <v/>
      </c>
      <c r="D517" s="400" t="str">
        <f t="shared" si="4"/>
        <v>IN</v>
      </c>
      <c r="E517" s="403" t="str">
        <f t="array" ref="E517">INDIRECT("Tableau!$J$139")</f>
        <v/>
      </c>
    </row>
    <row r="518">
      <c r="A518" s="402">
        <f t="array" ref="A518">INDIRECT("Tableau!$A$140")</f>
        <v>406</v>
      </c>
      <c r="B518" s="398" t="s">
        <v>461</v>
      </c>
      <c r="C518" s="400" t="str">
        <f t="array" ref="C518">INDIRECT("Tableau!$I$140")</f>
        <v/>
      </c>
      <c r="D518" s="400" t="str">
        <f t="shared" si="4"/>
        <v>IN</v>
      </c>
      <c r="E518" s="403" t="str">
        <f t="array" ref="E518">INDIRECT("Tableau!$J$140")</f>
        <v/>
      </c>
    </row>
    <row r="519">
      <c r="A519" s="402">
        <f t="array" ref="A519">INDIRECT("Tableau!$A$141")</f>
        <v>407</v>
      </c>
      <c r="B519" s="398" t="s">
        <v>461</v>
      </c>
      <c r="C519" s="400" t="str">
        <f t="array" ref="C519">INDIRECT("Tableau!$I$141")</f>
        <v>Carbelle</v>
      </c>
      <c r="D519" s="400" t="str">
        <f t="shared" si="4"/>
        <v>IN</v>
      </c>
      <c r="E519" s="403" t="str">
        <f t="array" ref="E519">INDIRECT("Tableau!$J$141")</f>
        <v/>
      </c>
    </row>
    <row r="520">
      <c r="A520" s="402">
        <f t="array" ref="A520">INDIRECT("Tableau!$A$142")</f>
        <v>408</v>
      </c>
      <c r="B520" s="398" t="s">
        <v>461</v>
      </c>
      <c r="C520" s="400" t="str">
        <f t="array" ref="C520">INDIRECT("Tableau!$I$142")</f>
        <v>Carbelle</v>
      </c>
      <c r="D520" s="400" t="str">
        <f t="shared" si="4"/>
        <v>IN</v>
      </c>
      <c r="E520" s="403" t="str">
        <f t="array" ref="E520">INDIRECT("Tableau!$J$142")</f>
        <v/>
      </c>
    </row>
    <row r="521">
      <c r="A521" s="402">
        <f t="array" ref="A521">INDIRECT("Tableau!$A$143")</f>
        <v>409</v>
      </c>
      <c r="B521" s="398" t="s">
        <v>461</v>
      </c>
      <c r="C521" s="400" t="str">
        <f t="array" ref="C521">INDIRECT("Tableau!$I$143")</f>
        <v/>
      </c>
      <c r="D521" s="400" t="str">
        <f t="shared" si="4"/>
        <v>IN</v>
      </c>
      <c r="E521" s="403" t="str">
        <f t="array" ref="E521">INDIRECT("Tableau!$J$143")</f>
        <v>Cond Salon</v>
      </c>
    </row>
    <row r="522">
      <c r="A522" s="397">
        <f t="array" ref="A522">INDIRECT("Tableau!$A$144")</f>
        <v>415</v>
      </c>
      <c r="B522" s="398" t="s">
        <v>461</v>
      </c>
      <c r="C522" s="400" t="str">
        <f t="array" ref="C522">INDIRECT("Tableau!$I$144")</f>
        <v>Carbelle</v>
      </c>
      <c r="D522" s="400" t="str">
        <f t="shared" si="4"/>
        <v>IN</v>
      </c>
      <c r="E522" s="403" t="str">
        <f t="array" ref="E522">INDIRECT("Tableau!$J$144")</f>
        <v/>
      </c>
    </row>
    <row r="523">
      <c r="A523" s="397" t="str">
        <f t="array" ref="A523">INDIRECT("Tableau!$A$145")</f>
        <v/>
      </c>
      <c r="B523" s="398" t="s">
        <v>461</v>
      </c>
      <c r="C523" s="400" t="str">
        <f t="array" ref="C523">INDIRECT("Tableau!$I$145")</f>
        <v/>
      </c>
      <c r="D523" s="400" t="str">
        <f t="shared" si="4"/>
        <v>IN</v>
      </c>
      <c r="E523" s="403" t="str">
        <f t="array" ref="E523">INDIRECT("Tableau!$J$145")</f>
        <v/>
      </c>
    </row>
    <row r="524">
      <c r="A524" s="397" t="str">
        <f t="array" ref="A524">INDIRECT("Tableau!$A$146")</f>
        <v/>
      </c>
      <c r="B524" s="398" t="s">
        <v>461</v>
      </c>
      <c r="C524" s="400" t="str">
        <f t="array" ref="C524">INDIRECT("Tableau!$I$146")</f>
        <v/>
      </c>
      <c r="D524" s="400" t="str">
        <f t="shared" si="4"/>
        <v>IN</v>
      </c>
      <c r="E524" s="403" t="str">
        <f t="array" ref="E524">INDIRECT("Tableau!$J$146")</f>
        <v/>
      </c>
    </row>
    <row r="525">
      <c r="A525" s="397" t="str">
        <f t="array" ref="A525">INDIRECT("Tableau!$A$147")</f>
        <v/>
      </c>
      <c r="B525" s="398" t="s">
        <v>461</v>
      </c>
      <c r="C525" s="400" t="str">
        <f t="array" ref="C525">INDIRECT("Tableau!$I$147")</f>
        <v/>
      </c>
      <c r="D525" s="400" t="str">
        <f t="shared" si="4"/>
        <v>IN</v>
      </c>
      <c r="E525" s="403" t="str">
        <f t="array" ref="E525">INDIRECT("Tableau!$J$147")</f>
        <v/>
      </c>
    </row>
    <row r="526">
      <c r="A526" s="397" t="str">
        <f t="array" ref="A526">INDIRECT("Tableau!$A$148")</f>
        <v/>
      </c>
      <c r="B526" s="398" t="s">
        <v>461</v>
      </c>
      <c r="C526" s="400" t="str">
        <f t="array" ref="C526">INDIRECT("Tableau!$I$148")</f>
        <v/>
      </c>
      <c r="D526" s="400" t="str">
        <f t="shared" si="4"/>
        <v>IN</v>
      </c>
      <c r="E526" s="403" t="str">
        <f t="array" ref="E526">INDIRECT("Tableau!$J$148")</f>
        <v/>
      </c>
    </row>
    <row r="527">
      <c r="A527" s="397" t="str">
        <f t="array" ref="A527">INDIRECT("Tableau!$A$149")</f>
        <v/>
      </c>
      <c r="B527" s="398" t="s">
        <v>461</v>
      </c>
      <c r="C527" s="400" t="str">
        <f t="array" ref="C527">INDIRECT("Tableau!$I$149")</f>
        <v/>
      </c>
      <c r="D527" s="400" t="str">
        <f t="shared" si="4"/>
        <v>IN</v>
      </c>
      <c r="E527" s="403" t="str">
        <f t="array" ref="E527">INDIRECT("Tableau!$J$149")</f>
        <v/>
      </c>
    </row>
    <row r="528">
      <c r="A528" s="397" t="str">
        <f t="array" ref="A528">INDIRECT("Tableau!$A$150")</f>
        <v/>
      </c>
      <c r="B528" s="398" t="s">
        <v>461</v>
      </c>
      <c r="C528" s="400" t="str">
        <f t="array" ref="C528">INDIRECT("Tableau!$I$150")</f>
        <v/>
      </c>
      <c r="D528" s="400" t="str">
        <f t="shared" si="4"/>
        <v>IN</v>
      </c>
      <c r="E528" s="403" t="str">
        <f t="array" ref="E528">INDIRECT("Tableau!$J$150")</f>
        <v/>
      </c>
    </row>
    <row r="529">
      <c r="A529" s="397" t="str">
        <f t="array" ref="A529">INDIRECT("Tableau!$A$151")</f>
        <v/>
      </c>
      <c r="B529" s="398" t="s">
        <v>461</v>
      </c>
      <c r="C529" s="400" t="str">
        <f t="array" ref="C529">INDIRECT("Tableau!$I$151")</f>
        <v/>
      </c>
      <c r="D529" s="400" t="str">
        <f t="shared" si="4"/>
        <v>IN</v>
      </c>
      <c r="E529" s="403" t="str">
        <f t="array" ref="E529">INDIRECT("Tableau!$J$151")</f>
        <v/>
      </c>
    </row>
    <row r="530">
      <c r="A530" s="397" t="str">
        <f t="array" ref="A530">INDIRECT("Tableau!$A$152")</f>
        <v/>
      </c>
      <c r="B530" s="398" t="s">
        <v>461</v>
      </c>
      <c r="C530" s="400" t="str">
        <f t="array" ref="C530">INDIRECT("Tableau!$I$152")</f>
        <v/>
      </c>
      <c r="D530" s="400" t="str">
        <f t="shared" si="4"/>
        <v>IN</v>
      </c>
      <c r="E530" s="403" t="str">
        <f t="array" ref="E530">INDIRECT("Tableau!$J$152")</f>
        <v/>
      </c>
    </row>
    <row r="531">
      <c r="A531" s="397" t="str">
        <f t="array" ref="A531">INDIRECT("Tableau!$A$153")</f>
        <v/>
      </c>
      <c r="B531" s="398" t="s">
        <v>461</v>
      </c>
      <c r="C531" s="400" t="str">
        <f t="array" ref="C531">INDIRECT("Tableau!$I$153")</f>
        <v/>
      </c>
      <c r="D531" s="400" t="str">
        <f t="shared" si="4"/>
        <v>IN</v>
      </c>
      <c r="E531" s="403" t="str">
        <f t="array" ref="E531">INDIRECT("Tableau!$J$153")</f>
        <v/>
      </c>
    </row>
    <row r="532">
      <c r="A532" s="402">
        <f t="array" ref="A532">INDIRECT("Tableau!$A$154")</f>
        <v>501</v>
      </c>
      <c r="B532" s="398" t="s">
        <v>461</v>
      </c>
      <c r="C532" s="400" t="str">
        <f t="array" ref="C532">INDIRECT("Tableau!$I$154")</f>
        <v/>
      </c>
      <c r="D532" s="400" t="str">
        <f t="shared" si="4"/>
        <v>IN</v>
      </c>
      <c r="E532" s="403" t="str">
        <f t="array" ref="E532">INDIRECT("Tableau!$J$154")</f>
        <v/>
      </c>
    </row>
    <row r="533">
      <c r="A533" s="402">
        <f t="array" ref="A533">INDIRECT("Tableau!$A$155")</f>
        <v>502</v>
      </c>
      <c r="B533" s="398" t="s">
        <v>461</v>
      </c>
      <c r="C533" s="400" t="str">
        <f t="array" ref="C533">INDIRECT("Tableau!$I$155")</f>
        <v>DPS</v>
      </c>
      <c r="D533" s="400" t="str">
        <f t="shared" si="4"/>
        <v>IN</v>
      </c>
      <c r="E533" s="403" t="str">
        <f t="array" ref="E533">INDIRECT("Tableau!$J$155")</f>
        <v/>
      </c>
    </row>
    <row r="534">
      <c r="A534" s="397" t="str">
        <f t="array" ref="A534">INDIRECT("Tableau!$A$156")</f>
        <v/>
      </c>
      <c r="B534" s="398" t="s">
        <v>461</v>
      </c>
      <c r="C534" s="400" t="str">
        <f t="array" ref="C534">INDIRECT("Tableau!$I$156")</f>
        <v>DPS</v>
      </c>
      <c r="D534" s="400" t="str">
        <f t="shared" si="4"/>
        <v>IN</v>
      </c>
      <c r="E534" s="403" t="str">
        <f t="array" ref="E534">INDIRECT("Tableau!$J$156")</f>
        <v/>
      </c>
    </row>
    <row r="535">
      <c r="A535" s="397" t="str">
        <f t="array" ref="A535">INDIRECT("Tableau!$A$157")</f>
        <v/>
      </c>
      <c r="B535" s="398" t="s">
        <v>461</v>
      </c>
      <c r="C535" s="400" t="str">
        <f t="array" ref="C535">INDIRECT("Tableau!$I$157")</f>
        <v>DPS</v>
      </c>
      <c r="D535" s="400" t="str">
        <f t="shared" si="4"/>
        <v>IN</v>
      </c>
      <c r="E535" s="403" t="str">
        <f t="array" ref="E535">INDIRECT("Tableau!$J$157")</f>
        <v/>
      </c>
    </row>
    <row r="536">
      <c r="A536" s="402">
        <f t="array" ref="A536">INDIRECT("Tableau!$A$158")</f>
        <v>505</v>
      </c>
      <c r="B536" s="398" t="s">
        <v>461</v>
      </c>
      <c r="C536" s="400" t="str">
        <f t="array" ref="C536">INDIRECT("Tableau!$I$158")</f>
        <v>DPS</v>
      </c>
      <c r="D536" s="400" t="str">
        <f t="shared" si="4"/>
        <v>IN</v>
      </c>
      <c r="E536" s="403" t="str">
        <f t="array" ref="E536">INDIRECT("Tableau!$J$158")</f>
        <v/>
      </c>
    </row>
    <row r="537">
      <c r="A537" s="402">
        <f t="array" ref="A537">INDIRECT("Tableau!$A$159")</f>
        <v>506</v>
      </c>
      <c r="B537" s="398" t="s">
        <v>461</v>
      </c>
      <c r="C537" s="400" t="str">
        <f t="array" ref="C537">INDIRECT("Tableau!$I$159")</f>
        <v/>
      </c>
      <c r="D537" s="400" t="str">
        <f t="shared" si="4"/>
        <v>IN</v>
      </c>
      <c r="E537" s="403" t="str">
        <f t="array" ref="E537">INDIRECT("Tableau!$J$159")</f>
        <v/>
      </c>
    </row>
    <row r="538">
      <c r="A538" s="402">
        <f t="array" ref="A538">INDIRECT("Tableau!$A$160")</f>
        <v>507</v>
      </c>
      <c r="B538" s="398" t="s">
        <v>461</v>
      </c>
      <c r="C538" s="400" t="str">
        <f t="array" ref="C538">INDIRECT("Tableau!$I$160")</f>
        <v>DPS</v>
      </c>
      <c r="D538" s="400" t="str">
        <f t="shared" si="4"/>
        <v>IN</v>
      </c>
      <c r="E538" s="403" t="str">
        <f t="array" ref="E538">INDIRECT("Tableau!$J$160")</f>
        <v/>
      </c>
    </row>
    <row r="539">
      <c r="A539" s="402">
        <f t="array" ref="A539">INDIRECT("Tableau!$A$161")</f>
        <v>508</v>
      </c>
      <c r="B539" s="398" t="s">
        <v>461</v>
      </c>
      <c r="C539" s="400" t="str">
        <f t="array" ref="C539">INDIRECT("Tableau!$I$161")</f>
        <v/>
      </c>
      <c r="D539" s="400" t="str">
        <f t="shared" si="4"/>
        <v>IN</v>
      </c>
      <c r="E539" s="403" t="str">
        <f t="array" ref="E539">INDIRECT("Tableau!$J$161")</f>
        <v/>
      </c>
    </row>
    <row r="540">
      <c r="A540" s="402">
        <f t="array" ref="A540">INDIRECT("Tableau!$A$162")</f>
        <v>509</v>
      </c>
      <c r="B540" s="398" t="s">
        <v>461</v>
      </c>
      <c r="C540" s="400" t="str">
        <f t="array" ref="C540">INDIRECT("Tableau!$I$162")</f>
        <v/>
      </c>
      <c r="D540" s="400" t="str">
        <f t="shared" si="4"/>
        <v>IN</v>
      </c>
      <c r="E540" s="403" t="str">
        <f t="array" ref="E540">INDIRECT("Tableau!$J$162")</f>
        <v/>
      </c>
    </row>
    <row r="541">
      <c r="A541" s="397">
        <f t="array" ref="A541">INDIRECT("Tableau!$A$163")</f>
        <v>510</v>
      </c>
      <c r="B541" s="398" t="s">
        <v>461</v>
      </c>
      <c r="C541" s="400" t="str">
        <f t="array" ref="C541">INDIRECT("Tableau!$I$163")</f>
        <v>DPS</v>
      </c>
      <c r="D541" s="400" t="str">
        <f t="shared" si="4"/>
        <v>IN</v>
      </c>
      <c r="E541" s="403" t="str">
        <f t="array" ref="E541">INDIRECT("Tableau!$J$163")</f>
        <v/>
      </c>
    </row>
    <row r="542">
      <c r="A542" s="397" t="str">
        <f t="array" ref="A542">INDIRECT("Tableau!$A$164")</f>
        <v/>
      </c>
      <c r="B542" s="398" t="s">
        <v>461</v>
      </c>
      <c r="C542" s="400" t="str">
        <f t="array" ref="C542">INDIRECT("Tableau!$I$164")</f>
        <v/>
      </c>
      <c r="D542" s="400" t="str">
        <f t="shared" si="4"/>
        <v>IN</v>
      </c>
      <c r="E542" s="403" t="str">
        <f t="array" ref="E542">INDIRECT("Tableau!$J$164")</f>
        <v/>
      </c>
    </row>
    <row r="543">
      <c r="A543" s="397" t="str">
        <f t="array" ref="A543">INDIRECT("Tableau!$A$165")</f>
        <v/>
      </c>
      <c r="B543" s="398" t="s">
        <v>461</v>
      </c>
      <c r="C543" s="400" t="str">
        <f t="array" ref="C543">INDIRECT("Tableau!$I$165")</f>
        <v/>
      </c>
      <c r="D543" s="400" t="str">
        <f t="shared" si="4"/>
        <v>IN</v>
      </c>
      <c r="E543" s="403" t="str">
        <f t="array" ref="E543">INDIRECT("Tableau!$J$165")</f>
        <v/>
      </c>
    </row>
    <row r="544">
      <c r="A544" s="402">
        <f t="array" ref="A544">INDIRECT("Tableau!$A$166")</f>
        <v>527</v>
      </c>
      <c r="B544" s="398" t="s">
        <v>461</v>
      </c>
      <c r="C544" s="400" t="str">
        <f t="array" ref="C544">INDIRECT("Tableau!$I$166")</f>
        <v/>
      </c>
      <c r="D544" s="400" t="str">
        <f t="shared" si="4"/>
        <v>IN</v>
      </c>
      <c r="E544" s="403" t="str">
        <f t="array" ref="E544">INDIRECT("Tableau!$J$166")</f>
        <v/>
      </c>
    </row>
    <row r="545">
      <c r="A545" s="402">
        <f t="array" ref="A545">INDIRECT("Tableau!$A$167")</f>
        <v>512</v>
      </c>
      <c r="B545" s="398" t="s">
        <v>461</v>
      </c>
      <c r="C545" s="400" t="str">
        <f t="array" ref="C545">INDIRECT("Tableau!$I$167")</f>
        <v>DPS</v>
      </c>
      <c r="D545" s="400" t="str">
        <f t="shared" si="4"/>
        <v>IN</v>
      </c>
      <c r="E545" s="403" t="str">
        <f t="array" ref="E545">INDIRECT("Tableau!$J$167")</f>
        <v/>
      </c>
    </row>
    <row r="546">
      <c r="A546" s="402">
        <f t="array" ref="A546">INDIRECT("Tableau!$A$168")</f>
        <v>513</v>
      </c>
      <c r="B546" s="398" t="s">
        <v>461</v>
      </c>
      <c r="C546" s="400" t="str">
        <f t="array" ref="C546">INDIRECT("Tableau!$I$168")</f>
        <v/>
      </c>
      <c r="D546" s="400" t="str">
        <f t="shared" si="4"/>
        <v>IN</v>
      </c>
      <c r="E546" s="403" t="str">
        <f t="array" ref="E546">INDIRECT("Tableau!$J$168")</f>
        <v/>
      </c>
    </row>
    <row r="547">
      <c r="A547" s="402">
        <f t="array" ref="A547">INDIRECT("Tableau!$A$169")</f>
        <v>514</v>
      </c>
      <c r="B547" s="398" t="s">
        <v>461</v>
      </c>
      <c r="C547" s="400" t="str">
        <f t="array" ref="C547">INDIRECT("Tableau!$I$169")</f>
        <v/>
      </c>
      <c r="D547" s="400" t="str">
        <f t="shared" si="4"/>
        <v>IN</v>
      </c>
      <c r="E547" s="403" t="str">
        <f t="array" ref="E547">INDIRECT("Tableau!$J$169")</f>
        <v/>
      </c>
    </row>
    <row r="548">
      <c r="A548" s="402">
        <f t="array" ref="A548">INDIRECT("Tableau!$A$170")</f>
        <v>515</v>
      </c>
      <c r="B548" s="398" t="s">
        <v>461</v>
      </c>
      <c r="C548" s="400" t="str">
        <f t="array" ref="C548">INDIRECT("Tableau!$I$170")</f>
        <v/>
      </c>
      <c r="D548" s="400" t="str">
        <f t="shared" si="4"/>
        <v>IN</v>
      </c>
      <c r="E548" s="403" t="str">
        <f t="array" ref="E548">INDIRECT("Tableau!$J$170")</f>
        <v/>
      </c>
    </row>
    <row r="549">
      <c r="A549" s="402">
        <f t="array" ref="A549">INDIRECT("Tableau!$A$171")</f>
        <v>517</v>
      </c>
      <c r="B549" s="398" t="s">
        <v>461</v>
      </c>
      <c r="C549" s="400" t="str">
        <f t="array" ref="C549">INDIRECT("Tableau!$I$171")</f>
        <v/>
      </c>
      <c r="D549" s="400" t="str">
        <f t="shared" si="4"/>
        <v>IN</v>
      </c>
      <c r="E549" s="403" t="str">
        <f t="array" ref="E549">INDIRECT("Tableau!$J$171")</f>
        <v/>
      </c>
    </row>
    <row r="550">
      <c r="A550" s="402">
        <f t="array" ref="A550">INDIRECT("Tableau!$A$172")</f>
        <v>518</v>
      </c>
      <c r="B550" s="398" t="s">
        <v>461</v>
      </c>
      <c r="C550" s="400" t="str">
        <f t="array" ref="C550">INDIRECT("Tableau!$I$172")</f>
        <v/>
      </c>
      <c r="D550" s="400" t="str">
        <f t="shared" si="4"/>
        <v>IN</v>
      </c>
      <c r="E550" s="403" t="str">
        <f t="array" ref="E550">INDIRECT("Tableau!$J$172")</f>
        <v/>
      </c>
    </row>
    <row r="551">
      <c r="A551" s="397" t="str">
        <f t="array" ref="A551">INDIRECT("Tableau!$A$173")</f>
        <v/>
      </c>
      <c r="B551" s="398" t="s">
        <v>461</v>
      </c>
      <c r="C551" s="400" t="str">
        <f t="array" ref="C551">INDIRECT("Tableau!$I$173")</f>
        <v/>
      </c>
      <c r="D551" s="400" t="str">
        <f t="shared" si="4"/>
        <v>IN</v>
      </c>
      <c r="E551" s="403" t="str">
        <f t="array" ref="E551">INDIRECT("Tableau!$J$173")</f>
        <v/>
      </c>
    </row>
    <row r="552">
      <c r="A552" s="402">
        <f t="array" ref="A552">INDIRECT("Tableau!$A$174")</f>
        <v>520</v>
      </c>
      <c r="B552" s="398" t="s">
        <v>461</v>
      </c>
      <c r="C552" s="400" t="str">
        <f t="array" ref="C552">INDIRECT("Tableau!$I$174")</f>
        <v/>
      </c>
      <c r="D552" s="400" t="str">
        <f t="shared" si="4"/>
        <v>IN</v>
      </c>
      <c r="E552" s="403" t="str">
        <f t="array" ref="E552">INDIRECT("Tableau!$J$174")</f>
        <v/>
      </c>
    </row>
    <row r="553">
      <c r="A553" s="402">
        <f t="array" ref="A553">INDIRECT("Tableau!$A$175")</f>
        <v>521</v>
      </c>
      <c r="B553" s="398" t="s">
        <v>461</v>
      </c>
      <c r="C553" s="400" t="str">
        <f t="array" ref="C553">INDIRECT("Tableau!$I$175")</f>
        <v/>
      </c>
      <c r="D553" s="400" t="str">
        <f t="shared" si="4"/>
        <v>IN</v>
      </c>
      <c r="E553" s="403" t="str">
        <f t="array" ref="E553">INDIRECT("Tableau!$J$175")</f>
        <v/>
      </c>
    </row>
    <row r="554">
      <c r="A554" s="402">
        <f t="array" ref="A554">INDIRECT("Tableau!$A$176")</f>
        <v>525</v>
      </c>
      <c r="B554" s="398" t="s">
        <v>461</v>
      </c>
      <c r="C554" s="400" t="str">
        <f t="array" ref="C554">INDIRECT("Tableau!$I$176")</f>
        <v/>
      </c>
      <c r="D554" s="400" t="str">
        <f t="shared" si="4"/>
        <v>IN</v>
      </c>
      <c r="E554" s="403" t="str">
        <f t="array" ref="E554">INDIRECT("Tableau!$J$176")</f>
        <v/>
      </c>
    </row>
    <row r="555">
      <c r="A555" s="402">
        <f t="array" ref="A555">INDIRECT("Tableau!$A$177")</f>
        <v>530</v>
      </c>
      <c r="B555" s="398" t="s">
        <v>461</v>
      </c>
      <c r="C555" s="400" t="str">
        <f t="array" ref="C555">INDIRECT("Tableau!$I$177")</f>
        <v>DPS</v>
      </c>
      <c r="D555" s="400" t="str">
        <f t="shared" si="4"/>
        <v>IN</v>
      </c>
      <c r="E555" s="403" t="str">
        <f t="array" ref="E555">INDIRECT("Tableau!$J$177")</f>
        <v/>
      </c>
    </row>
    <row r="556">
      <c r="A556" s="397" t="str">
        <f t="array" ref="A556">INDIRECT("Tableau!$A$178")</f>
        <v/>
      </c>
      <c r="B556" s="398" t="s">
        <v>461</v>
      </c>
      <c r="C556" s="400" t="str">
        <f t="array" ref="C556">INDIRECT("Tableau!$I$178")</f>
        <v/>
      </c>
      <c r="D556" s="400" t="str">
        <f t="shared" si="4"/>
        <v>IN</v>
      </c>
      <c r="E556" s="403" t="str">
        <f t="array" ref="E556">INDIRECT("Tableau!$J$178")</f>
        <v/>
      </c>
    </row>
    <row r="557">
      <c r="A557" s="397" t="str">
        <f t="array" ref="A557">INDIRECT("Tableau!$A$179")</f>
        <v/>
      </c>
      <c r="B557" s="398" t="s">
        <v>461</v>
      </c>
      <c r="C557" s="400" t="str">
        <f t="array" ref="C557">INDIRECT("Tableau!$I$179")</f>
        <v/>
      </c>
      <c r="D557" s="400" t="str">
        <f t="shared" si="4"/>
        <v>IN</v>
      </c>
      <c r="E557" s="403" t="str">
        <f t="array" ref="E557">INDIRECT("Tableau!$J$179")</f>
        <v/>
      </c>
    </row>
    <row r="558">
      <c r="A558" s="397" t="str">
        <f t="array" ref="A558">INDIRECT("Tableau!$A$180")</f>
        <v/>
      </c>
      <c r="B558" s="398" t="s">
        <v>461</v>
      </c>
      <c r="C558" s="400" t="str">
        <f t="array" ref="C558">INDIRECT("Tableau!$I$180")</f>
        <v/>
      </c>
      <c r="D558" s="400" t="str">
        <f t="shared" si="4"/>
        <v>IN</v>
      </c>
      <c r="E558" s="403" t="str">
        <f t="array" ref="E558">INDIRECT("Tableau!$J$180")</f>
        <v/>
      </c>
    </row>
    <row r="559">
      <c r="A559" s="397" t="str">
        <f t="array" ref="A559">INDIRECT("Tableau!$A$181")</f>
        <v/>
      </c>
      <c r="B559" s="398" t="s">
        <v>461</v>
      </c>
      <c r="C559" s="400" t="str">
        <f t="array" ref="C559">INDIRECT("Tableau!$I$181")</f>
        <v/>
      </c>
      <c r="D559" s="400" t="str">
        <f t="shared" si="4"/>
        <v>IN</v>
      </c>
      <c r="E559" s="403" t="str">
        <f t="array" ref="E559">INDIRECT("Tableau!$J$181")</f>
        <v/>
      </c>
    </row>
    <row r="560">
      <c r="A560" s="397" t="str">
        <f t="array" ref="A560">INDIRECT("Tableau!$A$182")</f>
        <v/>
      </c>
      <c r="B560" s="398" t="s">
        <v>461</v>
      </c>
      <c r="C560" s="400" t="str">
        <f t="array" ref="C560">INDIRECT("Tableau!$I$182")</f>
        <v/>
      </c>
      <c r="D560" s="400" t="str">
        <f t="shared" si="4"/>
        <v>IN</v>
      </c>
      <c r="E560" s="403" t="str">
        <f t="array" ref="E560">INDIRECT("Tableau!$J$182")</f>
        <v/>
      </c>
    </row>
    <row r="561">
      <c r="A561" s="397" t="str">
        <f t="array" ref="A561">INDIRECT("Tableau!$A$183")</f>
        <v/>
      </c>
      <c r="B561" s="398" t="s">
        <v>461</v>
      </c>
      <c r="C561" s="400" t="str">
        <f t="array" ref="C561">INDIRECT("Tableau!$I$183")</f>
        <v/>
      </c>
      <c r="D561" s="400" t="str">
        <f t="shared" si="4"/>
        <v>IN</v>
      </c>
      <c r="E561" s="403" t="str">
        <f t="array" ref="E561">INDIRECT("Tableau!$J$183")</f>
        <v/>
      </c>
    </row>
    <row r="562">
      <c r="A562" s="397" t="str">
        <f t="array" ref="A562">INDIRECT("Tableau!$A$184")</f>
        <v/>
      </c>
      <c r="B562" s="398" t="s">
        <v>461</v>
      </c>
      <c r="C562" s="400" t="str">
        <f t="array" ref="C562">INDIRECT("Tableau!$I$184")</f>
        <v/>
      </c>
      <c r="D562" s="400" t="str">
        <f t="shared" si="4"/>
        <v>IN</v>
      </c>
      <c r="E562" s="403" t="str">
        <f t="array" ref="E562">INDIRECT("Tableau!$J$184")</f>
        <v/>
      </c>
    </row>
    <row r="563">
      <c r="A563" s="397" t="str">
        <f t="array" ref="A563">INDIRECT("Tableau!$A$185")</f>
        <v/>
      </c>
      <c r="B563" s="398" t="s">
        <v>461</v>
      </c>
      <c r="C563" s="400" t="str">
        <f t="array" ref="C563">INDIRECT("Tableau!$I$185")</f>
        <v/>
      </c>
      <c r="D563" s="400" t="str">
        <f t="shared" si="4"/>
        <v>IN</v>
      </c>
      <c r="E563" s="403" t="str">
        <f t="array" ref="E563">INDIRECT("Tableau!$J$185")</f>
        <v/>
      </c>
    </row>
    <row r="564">
      <c r="A564" s="397" t="str">
        <f t="array" ref="A564">INDIRECT("Tableau!$A$186")</f>
        <v/>
      </c>
      <c r="B564" s="398" t="s">
        <v>461</v>
      </c>
      <c r="C564" s="400" t="str">
        <f t="array" ref="C564">INDIRECT("Tableau!$I$186")</f>
        <v/>
      </c>
      <c r="D564" s="400" t="str">
        <f t="shared" si="4"/>
        <v>IN</v>
      </c>
      <c r="E564" s="403" t="str">
        <f t="array" ref="E564">INDIRECT("Tableau!$J$186")</f>
        <v/>
      </c>
    </row>
    <row r="565">
      <c r="A565" s="397" t="str">
        <f t="array" ref="A565">INDIRECT("Tableau!$A$187")</f>
        <v/>
      </c>
      <c r="B565" s="398" t="s">
        <v>461</v>
      </c>
      <c r="C565" s="400" t="str">
        <f t="array" ref="C565">INDIRECT("Tableau!$I$187")</f>
        <v/>
      </c>
      <c r="D565" s="400" t="str">
        <f t="shared" si="4"/>
        <v>IN</v>
      </c>
      <c r="E565" s="403" t="str">
        <f t="array" ref="E565">INDIRECT("Tableau!$J$187")</f>
        <v/>
      </c>
    </row>
    <row r="566">
      <c r="A566" s="397" t="str">
        <f t="array" ref="A566">INDIRECT("Tableau!$A$188")</f>
        <v/>
      </c>
      <c r="B566" s="398" t="s">
        <v>461</v>
      </c>
      <c r="C566" s="400" t="str">
        <f t="array" ref="C566">INDIRECT("Tableau!$I$188")</f>
        <v/>
      </c>
      <c r="D566" s="400" t="str">
        <f t="shared" si="4"/>
        <v>IN</v>
      </c>
      <c r="E566" s="403" t="str">
        <f t="array" ref="E566">INDIRECT("Tableau!$J$188")</f>
        <v/>
      </c>
    </row>
    <row r="567">
      <c r="A567" s="397" t="str">
        <f t="array" ref="A567">INDIRECT("Tableau!$A$189")</f>
        <v/>
      </c>
      <c r="B567" s="398" t="s">
        <v>461</v>
      </c>
      <c r="C567" s="400" t="str">
        <f t="array" ref="C567">INDIRECT("Tableau!$I$189")</f>
        <v/>
      </c>
      <c r="D567" s="400" t="str">
        <f t="shared" si="4"/>
        <v>IN</v>
      </c>
      <c r="E567" s="403" t="str">
        <f t="array" ref="E567">INDIRECT("Tableau!$J$189")</f>
        <v/>
      </c>
    </row>
    <row r="568">
      <c r="A568" s="397" t="str">
        <f t="array" ref="A568">INDIRECT("Tableau!$A$190")</f>
        <v/>
      </c>
      <c r="B568" s="398" t="s">
        <v>461</v>
      </c>
      <c r="C568" s="400" t="str">
        <f t="array" ref="C568">INDIRECT("Tableau!$I$190")</f>
        <v/>
      </c>
      <c r="D568" s="400" t="str">
        <f t="shared" si="4"/>
        <v>IN</v>
      </c>
      <c r="E568" s="403" t="str">
        <f t="array" ref="E568">INDIRECT("Tableau!$J$190")</f>
        <v/>
      </c>
    </row>
    <row r="569">
      <c r="A569" s="397" t="str">
        <f t="array" ref="A569">INDIRECT("Tableau!$A$2")</f>
        <v/>
      </c>
      <c r="B569" s="398" t="s">
        <v>461</v>
      </c>
      <c r="C569" s="400" t="str">
        <f t="array" ref="C569">INDIRECT("Tableau!$K$2")</f>
        <v/>
      </c>
      <c r="D569" s="400" t="str">
        <f t="shared" ref="D569:D757" si="5">INDIRECT("Tableau!$L$1")</f>
        <v>OUT</v>
      </c>
      <c r="E569" s="403" t="str">
        <f t="array" ref="E569">INDIRECT("Tableau!$L$2")</f>
        <v/>
      </c>
    </row>
    <row r="570">
      <c r="A570" s="402">
        <f t="array" ref="A570">INDIRECT("Tableau!$A$3")</f>
        <v>102</v>
      </c>
      <c r="B570" s="398" t="s">
        <v>461</v>
      </c>
      <c r="C570" s="400" t="str">
        <f t="array" ref="C570">INDIRECT("Tableau!$K$3")</f>
        <v/>
      </c>
      <c r="D570" s="400" t="str">
        <f t="shared" si="5"/>
        <v>OUT</v>
      </c>
      <c r="E570" s="403" t="str">
        <f t="array" ref="E570">INDIRECT("Tableau!$L$3")</f>
        <v/>
      </c>
    </row>
    <row r="571">
      <c r="A571" s="397" t="str">
        <f t="array" ref="A571">INDIRECT("Tableau!$A$4")</f>
        <v/>
      </c>
      <c r="B571" s="398" t="s">
        <v>461</v>
      </c>
      <c r="C571" s="400" t="str">
        <f t="array" ref="C571">INDIRECT("Tableau!$K$4")</f>
        <v/>
      </c>
      <c r="D571" s="400" t="str">
        <f t="shared" si="5"/>
        <v>OUT</v>
      </c>
      <c r="E571" s="403" t="str">
        <f t="array" ref="E571">INDIRECT("Tableau!$L$4")</f>
        <v/>
      </c>
    </row>
    <row r="572">
      <c r="A572" s="402">
        <f t="array" ref="A572">INDIRECT("Tableau!$A$5")</f>
        <v>104</v>
      </c>
      <c r="B572" s="398" t="s">
        <v>461</v>
      </c>
      <c r="C572" s="400" t="str">
        <f t="array" ref="C572">INDIRECT("Tableau!$K$5")</f>
        <v/>
      </c>
      <c r="D572" s="400" t="str">
        <f t="shared" si="5"/>
        <v>OUT</v>
      </c>
      <c r="E572" s="403" t="str">
        <f t="array" ref="E572">INDIRECT("Tableau!$L$5")</f>
        <v/>
      </c>
    </row>
    <row r="573">
      <c r="A573" s="402">
        <f t="array" ref="A573">INDIRECT("Tableau!$A$6")</f>
        <v>105</v>
      </c>
      <c r="B573" s="398" t="s">
        <v>461</v>
      </c>
      <c r="C573" s="400" t="str">
        <f t="array" ref="C573">INDIRECT("Tableau!$K$6")</f>
        <v/>
      </c>
      <c r="D573" s="400" t="str">
        <f t="shared" si="5"/>
        <v>OUT</v>
      </c>
      <c r="E573" s="403" t="str">
        <f t="array" ref="E573">INDIRECT("Tableau!$L$6")</f>
        <v/>
      </c>
    </row>
    <row r="574">
      <c r="A574" s="402">
        <f t="array" ref="A574">INDIRECT("Tableau!$A$7")</f>
        <v>106</v>
      </c>
      <c r="B574" s="398" t="s">
        <v>461</v>
      </c>
      <c r="C574" s="400" t="str">
        <f t="array" ref="C574">INDIRECT("Tableau!$K$7")</f>
        <v/>
      </c>
      <c r="D574" s="400" t="str">
        <f t="shared" si="5"/>
        <v>OUT</v>
      </c>
      <c r="E574" s="403" t="str">
        <f t="array" ref="E574">INDIRECT("Tableau!$L$7")</f>
        <v/>
      </c>
    </row>
    <row r="575">
      <c r="A575" s="402">
        <f t="array" ref="A575">INDIRECT("Tableau!$A$8")</f>
        <v>107</v>
      </c>
      <c r="B575" s="398" t="s">
        <v>461</v>
      </c>
      <c r="C575" s="400" t="str">
        <f t="array" ref="C575">INDIRECT("Tableau!$K$8")</f>
        <v/>
      </c>
      <c r="D575" s="400" t="str">
        <f t="shared" si="5"/>
        <v>OUT</v>
      </c>
      <c r="E575" s="403" t="str">
        <f t="array" ref="E575">INDIRECT("Tableau!$L$8")</f>
        <v/>
      </c>
    </row>
    <row r="576">
      <c r="A576" s="397">
        <f t="array" ref="A576">INDIRECT("Tableau!$A$9")</f>
        <v>108</v>
      </c>
      <c r="B576" s="398" t="s">
        <v>461</v>
      </c>
      <c r="C576" s="400" t="str">
        <f t="array" ref="C576">INDIRECT("Tableau!$K$9")</f>
        <v/>
      </c>
      <c r="D576" s="400" t="str">
        <f t="shared" si="5"/>
        <v>OUT</v>
      </c>
      <c r="E576" s="403" t="str">
        <f t="array" ref="E576">INDIRECT("Tableau!$L$9")</f>
        <v/>
      </c>
    </row>
    <row r="577">
      <c r="A577" s="402">
        <f t="array" ref="A577">INDIRECT("Tableau!$A$10")</f>
        <v>109</v>
      </c>
      <c r="B577" s="398" t="s">
        <v>461</v>
      </c>
      <c r="C577" s="400" t="str">
        <f t="array" ref="C577">INDIRECT("Tableau!$K$10")</f>
        <v/>
      </c>
      <c r="D577" s="400" t="str">
        <f t="shared" si="5"/>
        <v>OUT</v>
      </c>
      <c r="E577" s="403" t="str">
        <f t="array" ref="E577">INDIRECT("Tableau!$L$10")</f>
        <v/>
      </c>
    </row>
    <row r="578">
      <c r="A578" s="402">
        <f t="array" ref="A578">INDIRECT("Tableau!$A$11")</f>
        <v>110</v>
      </c>
      <c r="B578" s="398" t="s">
        <v>461</v>
      </c>
      <c r="C578" s="400" t="str">
        <f t="array" ref="C578">INDIRECT("Tableau!$K$11")</f>
        <v/>
      </c>
      <c r="D578" s="400" t="str">
        <f t="shared" si="5"/>
        <v>OUT</v>
      </c>
      <c r="E578" s="403" t="str">
        <f t="array" ref="E578">INDIRECT("Tableau!$L$11")</f>
        <v/>
      </c>
    </row>
    <row r="579">
      <c r="A579" s="402">
        <f t="array" ref="A579">INDIRECT("Tableau!$A$12")</f>
        <v>111</v>
      </c>
      <c r="B579" s="398" t="s">
        <v>461</v>
      </c>
      <c r="C579" s="400" t="str">
        <f t="array" ref="C579">INDIRECT("Tableau!$K$12")</f>
        <v/>
      </c>
      <c r="D579" s="400" t="str">
        <f t="shared" si="5"/>
        <v>OUT</v>
      </c>
      <c r="E579" s="403" t="str">
        <f t="array" ref="E579">INDIRECT("Tableau!$L$12")</f>
        <v/>
      </c>
    </row>
    <row r="580">
      <c r="A580" s="402">
        <f t="array" ref="A580">INDIRECT("Tableau!$A$13")</f>
        <v>112</v>
      </c>
      <c r="B580" s="398" t="s">
        <v>461</v>
      </c>
      <c r="C580" s="400" t="str">
        <f t="array" ref="C580">INDIRECT("Tableau!$K$13")</f>
        <v/>
      </c>
      <c r="D580" s="400" t="str">
        <f t="shared" si="5"/>
        <v>OUT</v>
      </c>
      <c r="E580" s="403" t="str">
        <f t="array" ref="E580">INDIRECT("Tableau!$L$13")</f>
        <v/>
      </c>
    </row>
    <row r="581">
      <c r="A581" s="402">
        <f t="array" ref="A581">INDIRECT("Tableau!$A$14")</f>
        <v>113</v>
      </c>
      <c r="B581" s="398" t="s">
        <v>461</v>
      </c>
      <c r="C581" s="400" t="str">
        <f t="array" ref="C581">INDIRECT("Tableau!$K$14")</f>
        <v/>
      </c>
      <c r="D581" s="400" t="str">
        <f t="shared" si="5"/>
        <v>OUT</v>
      </c>
      <c r="E581" s="403" t="str">
        <f t="array" ref="E581">INDIRECT("Tableau!$L$14")</f>
        <v/>
      </c>
    </row>
    <row r="582">
      <c r="A582" s="397">
        <f t="array" ref="A582">INDIRECT("Tableau!$A$15")</f>
        <v>114</v>
      </c>
      <c r="B582" s="398" t="s">
        <v>461</v>
      </c>
      <c r="C582" s="400" t="str">
        <f t="array" ref="C582">INDIRECT("Tableau!$K$15")</f>
        <v/>
      </c>
      <c r="D582" s="400" t="str">
        <f t="shared" si="5"/>
        <v>OUT</v>
      </c>
      <c r="E582" s="403" t="str">
        <f t="array" ref="E582">INDIRECT("Tableau!$L$15")</f>
        <v/>
      </c>
    </row>
    <row r="583">
      <c r="A583" s="397" t="str">
        <f t="array" ref="A583">INDIRECT("Tableau!$A$16")</f>
        <v/>
      </c>
      <c r="B583" s="398" t="s">
        <v>461</v>
      </c>
      <c r="C583" s="400" t="str">
        <f t="array" ref="C583">INDIRECT("Tableau!$K$16")</f>
        <v/>
      </c>
      <c r="D583" s="400" t="str">
        <f t="shared" si="5"/>
        <v>OUT</v>
      </c>
      <c r="E583" s="403" t="str">
        <f t="array" ref="E583">INDIRECT("Tableau!$L$16")</f>
        <v/>
      </c>
    </row>
    <row r="584">
      <c r="A584" s="397" t="str">
        <f t="array" ref="A584">INDIRECT("Tableau!$A$17")</f>
        <v/>
      </c>
      <c r="B584" s="398" t="s">
        <v>461</v>
      </c>
      <c r="C584" s="400" t="str">
        <f t="array" ref="C584">INDIRECT("Tableau!$K$17")</f>
        <v/>
      </c>
      <c r="D584" s="400" t="str">
        <f t="shared" si="5"/>
        <v>OUT</v>
      </c>
      <c r="E584" s="403" t="str">
        <f t="array" ref="E584">INDIRECT("Tableau!$L$17")</f>
        <v/>
      </c>
    </row>
    <row r="585">
      <c r="A585" s="397" t="str">
        <f t="array" ref="A585">INDIRECT("Tableau!$A$18")</f>
        <v/>
      </c>
      <c r="B585" s="398" t="s">
        <v>461</v>
      </c>
      <c r="C585" s="400" t="str">
        <f t="array" ref="C585">INDIRECT("Tableau!$K$18")</f>
        <v/>
      </c>
      <c r="D585" s="400" t="str">
        <f t="shared" si="5"/>
        <v>OUT</v>
      </c>
      <c r="E585" s="403" t="str">
        <f t="array" ref="E585">INDIRECT("Tableau!$L$18")</f>
        <v/>
      </c>
    </row>
    <row r="586">
      <c r="A586" s="397" t="str">
        <f t="array" ref="A586">INDIRECT("Tableau!$A$19")</f>
        <v/>
      </c>
      <c r="B586" s="398" t="s">
        <v>461</v>
      </c>
      <c r="C586" s="400" t="str">
        <f t="array" ref="C586">INDIRECT("Tableau!$K$19")</f>
        <v/>
      </c>
      <c r="D586" s="400" t="str">
        <f t="shared" si="5"/>
        <v>OUT</v>
      </c>
      <c r="E586" s="403" t="str">
        <f t="array" ref="E586">INDIRECT("Tableau!$L$19")</f>
        <v/>
      </c>
    </row>
    <row r="587">
      <c r="A587" s="397" t="str">
        <f t="array" ref="A587">INDIRECT("Tableau!$A$20")</f>
        <v/>
      </c>
      <c r="B587" s="398" t="s">
        <v>461</v>
      </c>
      <c r="C587" s="400" t="str">
        <f t="array" ref="C587">INDIRECT("Tableau!$K$20")</f>
        <v/>
      </c>
      <c r="D587" s="400" t="str">
        <f t="shared" si="5"/>
        <v>OUT</v>
      </c>
      <c r="E587" s="403" t="str">
        <f t="array" ref="E587">INDIRECT("Tableau!$L$20")</f>
        <v/>
      </c>
    </row>
    <row r="588">
      <c r="A588" s="397" t="str">
        <f t="array" ref="A588">INDIRECT("Tableau!$A$21")</f>
        <v/>
      </c>
      <c r="B588" s="398" t="s">
        <v>461</v>
      </c>
      <c r="C588" s="400" t="str">
        <f t="array" ref="C588">INDIRECT("Tableau!$K$21")</f>
        <v/>
      </c>
      <c r="D588" s="400" t="str">
        <f t="shared" si="5"/>
        <v>OUT</v>
      </c>
      <c r="E588" s="403" t="str">
        <f t="array" ref="E588">INDIRECT("Tableau!$L$21")</f>
        <v/>
      </c>
    </row>
    <row r="589">
      <c r="A589" s="397" t="str">
        <f t="array" ref="A589">INDIRECT("Tableau!$A$22")</f>
        <v/>
      </c>
      <c r="B589" s="398" t="s">
        <v>461</v>
      </c>
      <c r="C589" s="400" t="str">
        <f t="array" ref="C589">INDIRECT("Tableau!$K$22")</f>
        <v/>
      </c>
      <c r="D589" s="400" t="str">
        <f t="shared" si="5"/>
        <v>OUT</v>
      </c>
      <c r="E589" s="403" t="str">
        <f t="array" ref="E589">INDIRECT("Tableau!$L$22")</f>
        <v/>
      </c>
    </row>
    <row r="590">
      <c r="A590" s="397" t="str">
        <f t="array" ref="A590">INDIRECT("Tableau!$A$23")</f>
        <v/>
      </c>
      <c r="B590" s="398" t="s">
        <v>461</v>
      </c>
      <c r="C590" s="400" t="str">
        <f t="array" ref="C590">INDIRECT("Tableau!$K$23")</f>
        <v/>
      </c>
      <c r="D590" s="400" t="str">
        <f t="shared" si="5"/>
        <v>OUT</v>
      </c>
      <c r="E590" s="403" t="str">
        <f t="array" ref="E590">INDIRECT("Tableau!$L$23")</f>
        <v/>
      </c>
    </row>
    <row r="591">
      <c r="A591" s="397" t="str">
        <f t="array" ref="A591">INDIRECT("Tableau!$A$24")</f>
        <v/>
      </c>
      <c r="B591" s="398" t="s">
        <v>461</v>
      </c>
      <c r="C591" s="400" t="str">
        <f t="array" ref="C591">INDIRECT("Tableau!$K$24")</f>
        <v/>
      </c>
      <c r="D591" s="400" t="str">
        <f t="shared" si="5"/>
        <v>OUT</v>
      </c>
      <c r="E591" s="403" t="str">
        <f t="array" ref="E591">INDIRECT("Tableau!$L$24")</f>
        <v/>
      </c>
    </row>
    <row r="592">
      <c r="A592" s="397" t="str">
        <f t="array" ref="A592">INDIRECT("Tableau!$A$25")</f>
        <v/>
      </c>
      <c r="B592" s="398" t="s">
        <v>461</v>
      </c>
      <c r="C592" s="400" t="str">
        <f t="array" ref="C592">INDIRECT("Tableau!$K$25")</f>
        <v/>
      </c>
      <c r="D592" s="400" t="str">
        <f t="shared" si="5"/>
        <v>OUT</v>
      </c>
      <c r="E592" s="403" t="str">
        <f t="array" ref="E592">INDIRECT("Tableau!$L$25")</f>
        <v/>
      </c>
    </row>
    <row r="593">
      <c r="A593" s="402">
        <f t="array" ref="A593">INDIRECT("Tableau!$A$26")</f>
        <v>201</v>
      </c>
      <c r="B593" s="398" t="s">
        <v>461</v>
      </c>
      <c r="C593" s="400" t="str">
        <f t="array" ref="C593">INDIRECT("Tableau!$K$26")</f>
        <v/>
      </c>
      <c r="D593" s="400" t="str">
        <f t="shared" si="5"/>
        <v>OUT</v>
      </c>
      <c r="E593" s="403" t="str">
        <f t="array" ref="E593">INDIRECT("Tableau!$L$26")</f>
        <v/>
      </c>
    </row>
    <row r="594">
      <c r="A594" s="402">
        <f t="array" ref="A594">INDIRECT("Tableau!$A$27")</f>
        <v>202</v>
      </c>
      <c r="B594" s="398" t="s">
        <v>461</v>
      </c>
      <c r="C594" s="400" t="str">
        <f t="array" ref="C594">INDIRECT("Tableau!$K$27")</f>
        <v/>
      </c>
      <c r="D594" s="400" t="str">
        <f t="shared" si="5"/>
        <v>OUT</v>
      </c>
      <c r="E594" s="403" t="str">
        <f t="array" ref="E594">INDIRECT("Tableau!$L$27")</f>
        <v/>
      </c>
    </row>
    <row r="595">
      <c r="A595" s="402">
        <f t="array" ref="A595">INDIRECT("Tableau!$A$28")</f>
        <v>203</v>
      </c>
      <c r="B595" s="398" t="s">
        <v>461</v>
      </c>
      <c r="C595" s="400" t="str">
        <f t="array" ref="C595">INDIRECT("Tableau!$K$28")</f>
        <v/>
      </c>
      <c r="D595" s="400" t="str">
        <f t="shared" si="5"/>
        <v>OUT</v>
      </c>
      <c r="E595" s="403" t="str">
        <f t="array" ref="E595">INDIRECT("Tableau!$L$28")</f>
        <v/>
      </c>
    </row>
    <row r="596">
      <c r="A596" s="402">
        <f t="array" ref="A596">INDIRECT("Tableau!$A$29")</f>
        <v>204</v>
      </c>
      <c r="B596" s="398" t="s">
        <v>461</v>
      </c>
      <c r="C596" s="400" t="str">
        <f t="array" ref="C596">INDIRECT("Tableau!$K$29")</f>
        <v/>
      </c>
      <c r="D596" s="400" t="str">
        <f t="shared" si="5"/>
        <v>OUT</v>
      </c>
      <c r="E596" s="403" t="str">
        <f t="array" ref="E596">INDIRECT("Tableau!$L$29")</f>
        <v/>
      </c>
    </row>
    <row r="597">
      <c r="A597" s="402">
        <f t="array" ref="A597">INDIRECT("Tableau!$A$30")</f>
        <v>205</v>
      </c>
      <c r="B597" s="398" t="s">
        <v>461</v>
      </c>
      <c r="C597" s="400" t="str">
        <f t="array" ref="C597">INDIRECT("Tableau!$K$30")</f>
        <v/>
      </c>
      <c r="D597" s="400" t="str">
        <f t="shared" si="5"/>
        <v>OUT</v>
      </c>
      <c r="E597" s="403" t="str">
        <f t="array" ref="E597">INDIRECT("Tableau!$L$30")</f>
        <v/>
      </c>
    </row>
    <row r="598">
      <c r="A598" s="402">
        <f t="array" ref="A598">INDIRECT("Tableau!$A$31")</f>
        <v>206</v>
      </c>
      <c r="B598" s="398" t="s">
        <v>461</v>
      </c>
      <c r="C598" s="400" t="str">
        <f t="array" ref="C598">INDIRECT("Tableau!$K$31")</f>
        <v/>
      </c>
      <c r="D598" s="400" t="str">
        <f t="shared" si="5"/>
        <v>OUT</v>
      </c>
      <c r="E598" s="403" t="str">
        <f t="array" ref="E598">INDIRECT("Tableau!$L$31")</f>
        <v/>
      </c>
    </row>
    <row r="599">
      <c r="A599" s="402">
        <f t="array" ref="A599">INDIRECT("Tableau!$A$32")</f>
        <v>207</v>
      </c>
      <c r="B599" s="398" t="s">
        <v>461</v>
      </c>
      <c r="C599" s="400" t="str">
        <f t="array" ref="C599">INDIRECT("Tableau!$K$32")</f>
        <v/>
      </c>
      <c r="D599" s="400" t="str">
        <f t="shared" si="5"/>
        <v>OUT</v>
      </c>
      <c r="E599" s="403" t="str">
        <f t="array" ref="E599">INDIRECT("Tableau!$L$32")</f>
        <v/>
      </c>
    </row>
    <row r="600">
      <c r="A600" s="402">
        <f t="array" ref="A600">INDIRECT("Tableau!$A$33")</f>
        <v>208</v>
      </c>
      <c r="B600" s="398" t="s">
        <v>461</v>
      </c>
      <c r="C600" s="400" t="str">
        <f t="array" ref="C600">INDIRECT("Tableau!$K$33")</f>
        <v/>
      </c>
      <c r="D600" s="400" t="str">
        <f t="shared" si="5"/>
        <v>OUT</v>
      </c>
      <c r="E600" s="403" t="str">
        <f t="array" ref="E600">INDIRECT("Tableau!$L$33")</f>
        <v/>
      </c>
    </row>
    <row r="601">
      <c r="A601" s="402">
        <f t="array" ref="A601">INDIRECT("Tableau!$A$34")</f>
        <v>209</v>
      </c>
      <c r="B601" s="398" t="s">
        <v>461</v>
      </c>
      <c r="C601" s="400" t="str">
        <f t="array" ref="C601">INDIRECT("Tableau!$K$34")</f>
        <v/>
      </c>
      <c r="D601" s="400" t="str">
        <f t="shared" si="5"/>
        <v>OUT</v>
      </c>
      <c r="E601" s="403" t="str">
        <f t="array" ref="E601">INDIRECT("Tableau!$L$34")</f>
        <v/>
      </c>
    </row>
    <row r="602">
      <c r="A602" s="402">
        <f t="array" ref="A602">INDIRECT("Tableau!$A$35")</f>
        <v>210</v>
      </c>
      <c r="B602" s="398" t="s">
        <v>461</v>
      </c>
      <c r="C602" s="400" t="str">
        <f t="array" ref="C602">INDIRECT("Tableau!$K$35")</f>
        <v/>
      </c>
      <c r="D602" s="400" t="str">
        <f t="shared" si="5"/>
        <v>OUT</v>
      </c>
      <c r="E602" s="403" t="str">
        <f t="array" ref="E602">INDIRECT("Tableau!$L$35")</f>
        <v/>
      </c>
    </row>
    <row r="603">
      <c r="A603" s="402">
        <f t="array" ref="A603">INDIRECT("Tableau!$A$36")</f>
        <v>211</v>
      </c>
      <c r="B603" s="398" t="s">
        <v>461</v>
      </c>
      <c r="C603" s="400" t="str">
        <f t="array" ref="C603">INDIRECT("Tableau!$K$36")</f>
        <v/>
      </c>
      <c r="D603" s="400" t="str">
        <f t="shared" si="5"/>
        <v>OUT</v>
      </c>
      <c r="E603" s="403" t="str">
        <f t="array" ref="E603">INDIRECT("Tableau!$L$36")</f>
        <v/>
      </c>
    </row>
    <row r="604">
      <c r="A604" s="402">
        <f t="array" ref="A604">INDIRECT("Tableau!$A$37")</f>
        <v>212</v>
      </c>
      <c r="B604" s="398" t="s">
        <v>461</v>
      </c>
      <c r="C604" s="400" t="str">
        <f t="array" ref="C604">INDIRECT("Tableau!$K$37")</f>
        <v/>
      </c>
      <c r="D604" s="400" t="str">
        <f t="shared" si="5"/>
        <v>OUT</v>
      </c>
      <c r="E604" s="403" t="str">
        <f t="array" ref="E604">INDIRECT("Tableau!$L$37")</f>
        <v/>
      </c>
    </row>
    <row r="605">
      <c r="A605" s="402">
        <f t="array" ref="A605">INDIRECT("Tableau!$A$38")</f>
        <v>213</v>
      </c>
      <c r="B605" s="398" t="s">
        <v>461</v>
      </c>
      <c r="C605" s="400" t="str">
        <f t="array" ref="C605">INDIRECT("Tableau!$K$38")</f>
        <v/>
      </c>
      <c r="D605" s="400" t="str">
        <f t="shared" si="5"/>
        <v>OUT</v>
      </c>
      <c r="E605" s="403" t="str">
        <f t="array" ref="E605">INDIRECT("Tableau!$L$38")</f>
        <v/>
      </c>
    </row>
    <row r="606">
      <c r="A606" s="402">
        <f t="array" ref="A606">INDIRECT("Tableau!$A$39")</f>
        <v>214</v>
      </c>
      <c r="B606" s="398" t="s">
        <v>461</v>
      </c>
      <c r="C606" s="400" t="str">
        <f t="array" ref="C606">INDIRECT("Tableau!$K$39")</f>
        <v/>
      </c>
      <c r="D606" s="400" t="str">
        <f t="shared" si="5"/>
        <v>OUT</v>
      </c>
      <c r="E606" s="403" t="str">
        <f t="array" ref="E606">INDIRECT("Tableau!$L$39")</f>
        <v/>
      </c>
    </row>
    <row r="607">
      <c r="A607" s="402">
        <f t="array" ref="A607">INDIRECT("Tableau!$A$40")</f>
        <v>215</v>
      </c>
      <c r="B607" s="398" t="s">
        <v>461</v>
      </c>
      <c r="C607" s="400" t="str">
        <f t="array" ref="C607">INDIRECT("Tableau!$K$40")</f>
        <v/>
      </c>
      <c r="D607" s="400" t="str">
        <f t="shared" si="5"/>
        <v>OUT</v>
      </c>
      <c r="E607" s="403" t="str">
        <f t="array" ref="E607">INDIRECT("Tableau!$L$40")</f>
        <v/>
      </c>
    </row>
    <row r="608">
      <c r="A608" s="402">
        <f t="array" ref="A608">INDIRECT("Tableau!$A$41")</f>
        <v>216</v>
      </c>
      <c r="B608" s="398" t="s">
        <v>461</v>
      </c>
      <c r="C608" s="400" t="str">
        <f t="array" ref="C608">INDIRECT("Tableau!$K$41")</f>
        <v/>
      </c>
      <c r="D608" s="400" t="str">
        <f t="shared" si="5"/>
        <v>OUT</v>
      </c>
      <c r="E608" s="403" t="str">
        <f t="array" ref="E608">INDIRECT("Tableau!$L$41")</f>
        <v/>
      </c>
    </row>
    <row r="609">
      <c r="A609" s="402">
        <f t="array" ref="A609">INDIRECT("Tableau!$A$42")</f>
        <v>227</v>
      </c>
      <c r="B609" s="398" t="s">
        <v>461</v>
      </c>
      <c r="C609" s="400" t="str">
        <f t="array" ref="C609">INDIRECT("Tableau!$K$42")</f>
        <v/>
      </c>
      <c r="D609" s="400" t="str">
        <f t="shared" si="5"/>
        <v>OUT</v>
      </c>
      <c r="E609" s="403" t="str">
        <f t="array" ref="E609">INDIRECT("Tableau!$L$42")</f>
        <v/>
      </c>
    </row>
    <row r="610">
      <c r="A610" s="402">
        <f t="array" ref="A610">INDIRECT("Tableau!$A$43")</f>
        <v>217</v>
      </c>
      <c r="B610" s="398" t="s">
        <v>461</v>
      </c>
      <c r="C610" s="400" t="str">
        <f t="array" ref="C610">INDIRECT("Tableau!$K$43")</f>
        <v/>
      </c>
      <c r="D610" s="400" t="str">
        <f t="shared" si="5"/>
        <v>OUT</v>
      </c>
      <c r="E610" s="403" t="str">
        <f t="array" ref="E610">INDIRECT("Tableau!$L$43")</f>
        <v/>
      </c>
    </row>
    <row r="611">
      <c r="A611" s="402">
        <f t="array" ref="A611">INDIRECT("Tableau!$A$44")</f>
        <v>218</v>
      </c>
      <c r="B611" s="398" t="s">
        <v>461</v>
      </c>
      <c r="C611" s="400" t="str">
        <f t="array" ref="C611">INDIRECT("Tableau!$K$44")</f>
        <v/>
      </c>
      <c r="D611" s="400" t="str">
        <f t="shared" si="5"/>
        <v>OUT</v>
      </c>
      <c r="E611" s="403" t="str">
        <f t="array" ref="E611">INDIRECT("Tableau!$L$44")</f>
        <v/>
      </c>
    </row>
    <row r="612">
      <c r="A612" s="397" t="str">
        <f t="array" ref="A612">INDIRECT("Tableau!$A$45")</f>
        <v/>
      </c>
      <c r="B612" s="398" t="s">
        <v>461</v>
      </c>
      <c r="C612" s="400" t="str">
        <f t="array" ref="C612">INDIRECT("Tableau!$K$45")</f>
        <v/>
      </c>
      <c r="D612" s="400" t="str">
        <f t="shared" si="5"/>
        <v>OUT</v>
      </c>
      <c r="E612" s="403" t="str">
        <f t="array" ref="E612">INDIRECT("Tableau!$L$45")</f>
        <v/>
      </c>
    </row>
    <row r="613">
      <c r="A613" s="402">
        <f t="array" ref="A613">INDIRECT("Tableau!$A$46")</f>
        <v>220</v>
      </c>
      <c r="B613" s="398" t="s">
        <v>461</v>
      </c>
      <c r="C613" s="400" t="str">
        <f t="array" ref="C613">INDIRECT("Tableau!$K$46")</f>
        <v/>
      </c>
      <c r="D613" s="400" t="str">
        <f t="shared" si="5"/>
        <v>OUT</v>
      </c>
      <c r="E613" s="403" t="str">
        <f t="array" ref="E613">INDIRECT("Tableau!$L$46")</f>
        <v/>
      </c>
    </row>
    <row r="614">
      <c r="A614" s="402">
        <f t="array" ref="A614">INDIRECT("Tableau!$A$47")</f>
        <v>221</v>
      </c>
      <c r="B614" s="398" t="s">
        <v>461</v>
      </c>
      <c r="C614" s="400" t="str">
        <f t="array" ref="C614">INDIRECT("Tableau!$K$47")</f>
        <v/>
      </c>
      <c r="D614" s="400" t="str">
        <f t="shared" si="5"/>
        <v>OUT</v>
      </c>
      <c r="E614" s="403" t="str">
        <f t="array" ref="E614">INDIRECT("Tableau!$L$47")</f>
        <v/>
      </c>
    </row>
    <row r="615">
      <c r="A615" s="402">
        <f t="array" ref="A615">INDIRECT("Tableau!$A$48")</f>
        <v>226</v>
      </c>
      <c r="B615" s="398" t="s">
        <v>461</v>
      </c>
      <c r="C615" s="400" t="str">
        <f t="array" ref="C615">INDIRECT("Tableau!$K$48")</f>
        <v/>
      </c>
      <c r="D615" s="400" t="str">
        <f t="shared" si="5"/>
        <v>OUT</v>
      </c>
      <c r="E615" s="403" t="str">
        <f t="array" ref="E615">INDIRECT("Tableau!$L$48")</f>
        <v/>
      </c>
    </row>
    <row r="616">
      <c r="A616" s="402">
        <f t="array" ref="A616">INDIRECT("Tableau!$A$49")</f>
        <v>222</v>
      </c>
      <c r="B616" s="398" t="s">
        <v>461</v>
      </c>
      <c r="C616" s="400" t="str">
        <f t="array" ref="C616">INDIRECT("Tableau!$K$49")</f>
        <v/>
      </c>
      <c r="D616" s="400" t="str">
        <f t="shared" si="5"/>
        <v>OUT</v>
      </c>
      <c r="E616" s="403" t="str">
        <f t="array" ref="E616">INDIRECT("Tableau!$L$49")</f>
        <v/>
      </c>
    </row>
    <row r="617">
      <c r="A617" s="402">
        <f t="array" ref="A617">INDIRECT("Tableau!$A$50")</f>
        <v>224</v>
      </c>
      <c r="B617" s="398" t="s">
        <v>461</v>
      </c>
      <c r="C617" s="400" t="str">
        <f t="array" ref="C617">INDIRECT("Tableau!$K$50")</f>
        <v/>
      </c>
      <c r="D617" s="400" t="str">
        <f t="shared" si="5"/>
        <v>OUT</v>
      </c>
      <c r="E617" s="403" t="str">
        <f t="array" ref="E617">INDIRECT("Tableau!$L$50")</f>
        <v/>
      </c>
    </row>
    <row r="618">
      <c r="A618" s="397">
        <f t="array" ref="A618">INDIRECT("Tableau!$A$51")</f>
        <v>223</v>
      </c>
      <c r="B618" s="398" t="s">
        <v>461</v>
      </c>
      <c r="C618" s="400" t="str">
        <f t="array" ref="C618">INDIRECT("Tableau!$K$51")</f>
        <v/>
      </c>
      <c r="D618" s="400" t="str">
        <f t="shared" si="5"/>
        <v>OUT</v>
      </c>
      <c r="E618" s="403" t="str">
        <f t="array" ref="E618">INDIRECT("Tableau!$L$51")</f>
        <v/>
      </c>
    </row>
    <row r="619">
      <c r="A619" s="402">
        <f t="array" ref="A619">INDIRECT("Tableau!$A$52")</f>
        <v>225</v>
      </c>
      <c r="B619" s="398" t="s">
        <v>461</v>
      </c>
      <c r="C619" s="400" t="str">
        <f t="array" ref="C619">INDIRECT("Tableau!$K$52")</f>
        <v/>
      </c>
      <c r="D619" s="400" t="str">
        <f t="shared" si="5"/>
        <v>OUT</v>
      </c>
      <c r="E619" s="403" t="str">
        <f t="array" ref="E619">INDIRECT("Tableau!$L$52")</f>
        <v/>
      </c>
    </row>
    <row r="620">
      <c r="A620" s="402">
        <f t="array" ref="A620">INDIRECT("Tableau!$A$53")</f>
        <v>230</v>
      </c>
      <c r="B620" s="398" t="s">
        <v>461</v>
      </c>
      <c r="C620" s="400" t="str">
        <f t="array" ref="C620">INDIRECT("Tableau!$K$53")</f>
        <v/>
      </c>
      <c r="D620" s="400" t="str">
        <f t="shared" si="5"/>
        <v>OUT</v>
      </c>
      <c r="E620" s="403" t="str">
        <f t="array" ref="E620">INDIRECT("Tableau!$L$53")</f>
        <v/>
      </c>
    </row>
    <row r="621">
      <c r="A621" s="397">
        <f t="array" ref="A621">INDIRECT("Tableau!$A$54")</f>
        <v>231</v>
      </c>
      <c r="B621" s="398" t="s">
        <v>461</v>
      </c>
      <c r="C621" s="400" t="str">
        <f t="array" ref="C621">INDIRECT("Tableau!$K$54")</f>
        <v/>
      </c>
      <c r="D621" s="400" t="str">
        <f t="shared" si="5"/>
        <v>OUT</v>
      </c>
      <c r="E621" s="403" t="str">
        <f t="array" ref="E621">INDIRECT("Tableau!$L$54")</f>
        <v/>
      </c>
    </row>
    <row r="622">
      <c r="A622" s="397" t="str">
        <f t="array" ref="A622">INDIRECT("Tableau!$A$55")</f>
        <v/>
      </c>
      <c r="B622" s="398" t="s">
        <v>461</v>
      </c>
      <c r="C622" s="400" t="str">
        <f t="array" ref="C622">INDIRECT("Tableau!$K$55")</f>
        <v/>
      </c>
      <c r="D622" s="400" t="str">
        <f t="shared" si="5"/>
        <v>OUT</v>
      </c>
      <c r="E622" s="403" t="str">
        <f t="array" ref="E622">INDIRECT("Tableau!$L$55")</f>
        <v/>
      </c>
    </row>
    <row r="623">
      <c r="A623" s="397" t="str">
        <f t="array" ref="A623">INDIRECT("Tableau!$A$56")</f>
        <v/>
      </c>
      <c r="B623" s="398" t="s">
        <v>461</v>
      </c>
      <c r="C623" s="400" t="str">
        <f t="array" ref="C623">INDIRECT("Tableau!$K$56")</f>
        <v/>
      </c>
      <c r="D623" s="400" t="str">
        <f t="shared" si="5"/>
        <v>OUT</v>
      </c>
      <c r="E623" s="403" t="str">
        <f t="array" ref="E623">INDIRECT("Tableau!$L$56")</f>
        <v/>
      </c>
    </row>
    <row r="624">
      <c r="A624" s="397" t="str">
        <f t="array" ref="A624">INDIRECT("Tableau!$A$57")</f>
        <v/>
      </c>
      <c r="B624" s="398" t="s">
        <v>461</v>
      </c>
      <c r="C624" s="400" t="str">
        <f t="array" ref="C624">INDIRECT("Tableau!$K$57")</f>
        <v/>
      </c>
      <c r="D624" s="400" t="str">
        <f t="shared" si="5"/>
        <v>OUT</v>
      </c>
      <c r="E624" s="403" t="str">
        <f t="array" ref="E624">INDIRECT("Tableau!$L$57")</f>
        <v/>
      </c>
    </row>
    <row r="625">
      <c r="A625" s="397" t="str">
        <f t="array" ref="A625">INDIRECT("Tableau!$A$58")</f>
        <v/>
      </c>
      <c r="B625" s="398" t="s">
        <v>461</v>
      </c>
      <c r="C625" s="400" t="str">
        <f t="array" ref="C625">INDIRECT("Tableau!$K$58")</f>
        <v/>
      </c>
      <c r="D625" s="400" t="str">
        <f t="shared" si="5"/>
        <v>OUT</v>
      </c>
      <c r="E625" s="403" t="str">
        <f t="array" ref="E625">INDIRECT("Tableau!$L$58")</f>
        <v/>
      </c>
    </row>
    <row r="626">
      <c r="A626" s="397" t="str">
        <f t="array" ref="A626">INDIRECT("Tableau!$A$59")</f>
        <v/>
      </c>
      <c r="B626" s="398" t="s">
        <v>461</v>
      </c>
      <c r="C626" s="400" t="str">
        <f t="array" ref="C626">INDIRECT("Tableau!$K$59")</f>
        <v/>
      </c>
      <c r="D626" s="400" t="str">
        <f t="shared" si="5"/>
        <v>OUT</v>
      </c>
      <c r="E626" s="403" t="str">
        <f t="array" ref="E626">INDIRECT("Tableau!$L$59")</f>
        <v/>
      </c>
    </row>
    <row r="627">
      <c r="A627" s="397" t="str">
        <f t="array" ref="A627">INDIRECT("Tableau!$A$60")</f>
        <v/>
      </c>
      <c r="B627" s="398" t="s">
        <v>461</v>
      </c>
      <c r="C627" s="400" t="str">
        <f t="array" ref="C627">INDIRECT("Tableau!$K$60")</f>
        <v/>
      </c>
      <c r="D627" s="400" t="str">
        <f t="shared" si="5"/>
        <v>OUT</v>
      </c>
      <c r="E627" s="403" t="str">
        <f t="array" ref="E627">INDIRECT("Tableau!$L$60")</f>
        <v/>
      </c>
    </row>
    <row r="628">
      <c r="A628" s="397" t="str">
        <f t="array" ref="A628">INDIRECT("Tableau!$A$61")</f>
        <v/>
      </c>
      <c r="B628" s="398" t="s">
        <v>461</v>
      </c>
      <c r="C628" s="400" t="str">
        <f t="array" ref="C628">INDIRECT("Tableau!$K$61")</f>
        <v/>
      </c>
      <c r="D628" s="400" t="str">
        <f t="shared" si="5"/>
        <v>OUT</v>
      </c>
      <c r="E628" s="403" t="str">
        <f t="array" ref="E628">INDIRECT("Tableau!$L$61")</f>
        <v/>
      </c>
    </row>
    <row r="629">
      <c r="A629" s="397" t="str">
        <f t="array" ref="A629">INDIRECT("Tableau!$A$62")</f>
        <v/>
      </c>
      <c r="B629" s="398" t="s">
        <v>461</v>
      </c>
      <c r="C629" s="400" t="str">
        <f t="array" ref="C629">INDIRECT("Tableau!$K$62")</f>
        <v/>
      </c>
      <c r="D629" s="400" t="str">
        <f t="shared" si="5"/>
        <v>OUT</v>
      </c>
      <c r="E629" s="403" t="str">
        <f t="array" ref="E629">INDIRECT("Tableau!$L$62")</f>
        <v/>
      </c>
    </row>
    <row r="630">
      <c r="A630" s="397" t="str">
        <f t="array" ref="A630">INDIRECT("Tableau!$A$63")</f>
        <v/>
      </c>
      <c r="B630" s="398" t="s">
        <v>461</v>
      </c>
      <c r="C630" s="400" t="str">
        <f t="array" ref="C630">INDIRECT("Tableau!$K$63")</f>
        <v/>
      </c>
      <c r="D630" s="400" t="str">
        <f t="shared" si="5"/>
        <v>OUT</v>
      </c>
      <c r="E630" s="403" t="str">
        <f t="array" ref="E630">INDIRECT("Tableau!$L$63")</f>
        <v/>
      </c>
    </row>
    <row r="631">
      <c r="A631" s="397" t="str">
        <f t="array" ref="A631">INDIRECT("Tableau!$A$64")</f>
        <v/>
      </c>
      <c r="B631" s="398" t="s">
        <v>461</v>
      </c>
      <c r="C631" s="400" t="str">
        <f t="array" ref="C631">INDIRECT("Tableau!$K$64")</f>
        <v/>
      </c>
      <c r="D631" s="400" t="str">
        <f t="shared" si="5"/>
        <v>OUT</v>
      </c>
      <c r="E631" s="403" t="str">
        <f t="array" ref="E631">INDIRECT("Tableau!$L$64")</f>
        <v/>
      </c>
    </row>
    <row r="632">
      <c r="A632" s="402">
        <f t="array" ref="A632">INDIRECT("Tableau!$A$65")</f>
        <v>301</v>
      </c>
      <c r="B632" s="398" t="s">
        <v>461</v>
      </c>
      <c r="C632" s="400" t="str">
        <f t="array" ref="C632">INDIRECT("Tableau!$K$65")</f>
        <v/>
      </c>
      <c r="D632" s="400" t="str">
        <f t="shared" si="5"/>
        <v>OUT</v>
      </c>
      <c r="E632" s="403" t="str">
        <f t="array" ref="E632">INDIRECT("Tableau!$L$65")</f>
        <v/>
      </c>
    </row>
    <row r="633">
      <c r="A633" s="397" t="str">
        <f t="array" ref="A633">INDIRECT("Tableau!$A$66")</f>
        <v/>
      </c>
      <c r="B633" s="398" t="s">
        <v>461</v>
      </c>
      <c r="C633" s="400" t="str">
        <f t="array" ref="C633">INDIRECT("Tableau!$K$66")</f>
        <v/>
      </c>
      <c r="D633" s="400" t="str">
        <f t="shared" si="5"/>
        <v>OUT</v>
      </c>
      <c r="E633" s="403" t="str">
        <f t="array" ref="E633">INDIRECT("Tableau!$L$66")</f>
        <v/>
      </c>
    </row>
    <row r="634">
      <c r="A634" s="402">
        <f t="array" ref="A634">INDIRECT("Tableau!$A$67")</f>
        <v>303</v>
      </c>
      <c r="B634" s="398" t="s">
        <v>461</v>
      </c>
      <c r="C634" s="400" t="str">
        <f t="array" ref="C634">INDIRECT("Tableau!$K$67")</f>
        <v/>
      </c>
      <c r="D634" s="400" t="str">
        <f t="shared" si="5"/>
        <v>OUT</v>
      </c>
      <c r="E634" s="403" t="str">
        <f t="array" ref="E634">INDIRECT("Tableau!$L$67")</f>
        <v/>
      </c>
    </row>
    <row r="635">
      <c r="A635" s="402">
        <f t="array" ref="A635">INDIRECT("Tableau!$A$68")</f>
        <v>304</v>
      </c>
      <c r="B635" s="398" t="s">
        <v>461</v>
      </c>
      <c r="C635" s="400" t="str">
        <f t="array" ref="C635">INDIRECT("Tableau!$K$68")</f>
        <v/>
      </c>
      <c r="D635" s="400" t="str">
        <f t="shared" si="5"/>
        <v>OUT</v>
      </c>
      <c r="E635" s="403" t="str">
        <f t="array" ref="E635">INDIRECT("Tableau!$L$68")</f>
        <v/>
      </c>
    </row>
    <row r="636">
      <c r="A636" s="402">
        <f t="array" ref="A636">INDIRECT("Tableau!$A$69")</f>
        <v>305</v>
      </c>
      <c r="B636" s="398" t="s">
        <v>461</v>
      </c>
      <c r="C636" s="400" t="str">
        <f t="array" ref="C636">INDIRECT("Tableau!$K$69")</f>
        <v/>
      </c>
      <c r="D636" s="400" t="str">
        <f t="shared" si="5"/>
        <v>OUT</v>
      </c>
      <c r="E636" s="403" t="str">
        <f t="array" ref="E636">INDIRECT("Tableau!$L$69")</f>
        <v/>
      </c>
    </row>
    <row r="637">
      <c r="A637" s="402">
        <f t="array" ref="A637">INDIRECT("Tableau!$A$70")</f>
        <v>306</v>
      </c>
      <c r="B637" s="398" t="s">
        <v>461</v>
      </c>
      <c r="C637" s="400" t="str">
        <f t="array" ref="C637">INDIRECT("Tableau!$K$70")</f>
        <v/>
      </c>
      <c r="D637" s="400" t="str">
        <f t="shared" si="5"/>
        <v>OUT</v>
      </c>
      <c r="E637" s="403" t="str">
        <f t="array" ref="E637">INDIRECT("Tableau!$L$70")</f>
        <v/>
      </c>
    </row>
    <row r="638">
      <c r="A638" s="402">
        <f t="array" ref="A638">INDIRECT("Tableau!$A$71")</f>
        <v>307</v>
      </c>
      <c r="B638" s="398" t="s">
        <v>461</v>
      </c>
      <c r="C638" s="400" t="str">
        <f t="array" ref="C638">INDIRECT("Tableau!$K$71")</f>
        <v/>
      </c>
      <c r="D638" s="400" t="str">
        <f t="shared" si="5"/>
        <v>OUT</v>
      </c>
      <c r="E638" s="403" t="str">
        <f t="array" ref="E638">INDIRECT("Tableau!$L$71")</f>
        <v/>
      </c>
    </row>
    <row r="639">
      <c r="A639" s="397">
        <f t="array" ref="A639">INDIRECT("Tableau!$A$72")</f>
        <v>367</v>
      </c>
      <c r="B639" s="398" t="s">
        <v>461</v>
      </c>
      <c r="C639" s="400" t="str">
        <f t="array" ref="C639">INDIRECT("Tableau!$K$72")</f>
        <v/>
      </c>
      <c r="D639" s="400" t="str">
        <f t="shared" si="5"/>
        <v>OUT</v>
      </c>
      <c r="E639" s="403" t="str">
        <f t="array" ref="E639">INDIRECT("Tableau!$L$72")</f>
        <v/>
      </c>
    </row>
    <row r="640">
      <c r="A640" s="402">
        <f t="array" ref="A640">INDIRECT("Tableau!$A$73")</f>
        <v>308</v>
      </c>
      <c r="B640" s="398" t="s">
        <v>461</v>
      </c>
      <c r="C640" s="400" t="str">
        <f t="array" ref="C640">INDIRECT("Tableau!$K$73")</f>
        <v/>
      </c>
      <c r="D640" s="400" t="str">
        <f t="shared" si="5"/>
        <v>OUT</v>
      </c>
      <c r="E640" s="403" t="str">
        <f t="array" ref="E640">INDIRECT("Tableau!$L$73")</f>
        <v/>
      </c>
    </row>
    <row r="641">
      <c r="A641" s="397">
        <f t="array" ref="A641">INDIRECT("Tableau!$A$74")</f>
        <v>319</v>
      </c>
      <c r="B641" s="398" t="s">
        <v>461</v>
      </c>
      <c r="C641" s="400" t="str">
        <f t="array" ref="C641">INDIRECT("Tableau!$K$74")</f>
        <v/>
      </c>
      <c r="D641" s="400" t="str">
        <f t="shared" si="5"/>
        <v>OUT</v>
      </c>
      <c r="E641" s="403" t="str">
        <f t="array" ref="E641">INDIRECT("Tableau!$L$74")</f>
        <v/>
      </c>
    </row>
    <row r="642">
      <c r="A642" s="402">
        <f t="array" ref="A642">INDIRECT("Tableau!$A$75")</f>
        <v>309</v>
      </c>
      <c r="B642" s="398" t="s">
        <v>461</v>
      </c>
      <c r="C642" s="400" t="str">
        <f t="array" ref="C642">INDIRECT("Tableau!$K$75")</f>
        <v/>
      </c>
      <c r="D642" s="400" t="str">
        <f t="shared" si="5"/>
        <v>OUT</v>
      </c>
      <c r="E642" s="403" t="str">
        <f t="array" ref="E642">INDIRECT("Tableau!$L$75")</f>
        <v/>
      </c>
    </row>
    <row r="643">
      <c r="A643" s="402">
        <f t="array" ref="A643">INDIRECT("Tableau!$A$76")</f>
        <v>310</v>
      </c>
      <c r="B643" s="398" t="s">
        <v>461</v>
      </c>
      <c r="C643" s="400" t="str">
        <f t="array" ref="C643">INDIRECT("Tableau!$K$76")</f>
        <v/>
      </c>
      <c r="D643" s="400" t="str">
        <f t="shared" si="5"/>
        <v>OUT</v>
      </c>
      <c r="E643" s="403" t="str">
        <f t="array" ref="E643">INDIRECT("Tableau!$L$76")</f>
        <v/>
      </c>
    </row>
    <row r="644">
      <c r="A644" s="402">
        <f t="array" ref="A644">INDIRECT("Tableau!$A$77")</f>
        <v>311</v>
      </c>
      <c r="B644" s="398" t="s">
        <v>461</v>
      </c>
      <c r="C644" s="400" t="str">
        <f t="array" ref="C644">INDIRECT("Tableau!$K$77")</f>
        <v/>
      </c>
      <c r="D644" s="400" t="str">
        <f t="shared" si="5"/>
        <v>OUT</v>
      </c>
      <c r="E644" s="403" t="str">
        <f t="array" ref="E644">INDIRECT("Tableau!$L$77")</f>
        <v/>
      </c>
    </row>
    <row r="645">
      <c r="A645" s="402">
        <f t="array" ref="A645">INDIRECT("Tableau!$A$78")</f>
        <v>312</v>
      </c>
      <c r="B645" s="398" t="s">
        <v>461</v>
      </c>
      <c r="C645" s="400" t="str">
        <f t="array" ref="C645">INDIRECT("Tableau!$K$78")</f>
        <v/>
      </c>
      <c r="D645" s="400" t="str">
        <f t="shared" si="5"/>
        <v>OUT</v>
      </c>
      <c r="E645" s="403" t="str">
        <f t="array" ref="E645">INDIRECT("Tableau!$L$78")</f>
        <v/>
      </c>
    </row>
    <row r="646">
      <c r="A646" s="402">
        <f t="array" ref="A646">INDIRECT("Tableau!$A$79")</f>
        <v>313</v>
      </c>
      <c r="B646" s="398" t="s">
        <v>461</v>
      </c>
      <c r="C646" s="400" t="str">
        <f t="array" ref="C646">INDIRECT("Tableau!$K$79")</f>
        <v/>
      </c>
      <c r="D646" s="400" t="str">
        <f t="shared" si="5"/>
        <v>OUT</v>
      </c>
      <c r="E646" s="403" t="str">
        <f t="array" ref="E646">INDIRECT("Tableau!$L$79")</f>
        <v/>
      </c>
    </row>
    <row r="647">
      <c r="A647" s="402">
        <f t="array" ref="A647">INDIRECT("Tableau!$A$80")</f>
        <v>314</v>
      </c>
      <c r="B647" s="398" t="s">
        <v>461</v>
      </c>
      <c r="C647" s="400" t="str">
        <f t="array" ref="C647">INDIRECT("Tableau!$K$80")</f>
        <v/>
      </c>
      <c r="D647" s="400" t="str">
        <f t="shared" si="5"/>
        <v>OUT</v>
      </c>
      <c r="E647" s="403" t="str">
        <f t="array" ref="E647">INDIRECT("Tableau!$L$80")</f>
        <v/>
      </c>
    </row>
    <row r="648">
      <c r="A648" s="402">
        <f t="array" ref="A648">INDIRECT("Tableau!$A$81")</f>
        <v>315</v>
      </c>
      <c r="B648" s="398" t="s">
        <v>461</v>
      </c>
      <c r="C648" s="400" t="str">
        <f t="array" ref="C648">INDIRECT("Tableau!$K$81")</f>
        <v/>
      </c>
      <c r="D648" s="400" t="str">
        <f t="shared" si="5"/>
        <v>OUT</v>
      </c>
      <c r="E648" s="403" t="str">
        <f t="array" ref="E648">INDIRECT("Tableau!$L$81")</f>
        <v/>
      </c>
    </row>
    <row r="649">
      <c r="A649" s="402">
        <f t="array" ref="A649">INDIRECT("Tableau!$A$82")</f>
        <v>316</v>
      </c>
      <c r="B649" s="398" t="s">
        <v>461</v>
      </c>
      <c r="C649" s="400" t="str">
        <f t="array" ref="C649">INDIRECT("Tableau!$K$82")</f>
        <v/>
      </c>
      <c r="D649" s="400" t="str">
        <f t="shared" si="5"/>
        <v>OUT</v>
      </c>
      <c r="E649" s="403" t="str">
        <f t="array" ref="E649">INDIRECT("Tableau!$L$82")</f>
        <v/>
      </c>
    </row>
    <row r="650">
      <c r="A650" s="402">
        <f t="array" ref="A650">INDIRECT("Tableau!$A$83")</f>
        <v>317</v>
      </c>
      <c r="B650" s="398" t="s">
        <v>461</v>
      </c>
      <c r="C650" s="400" t="str">
        <f t="array" ref="C650">INDIRECT("Tableau!$K$83")</f>
        <v/>
      </c>
      <c r="D650" s="400" t="str">
        <f t="shared" si="5"/>
        <v>OUT</v>
      </c>
      <c r="E650" s="403" t="str">
        <f t="array" ref="E650">INDIRECT("Tableau!$L$83")</f>
        <v/>
      </c>
    </row>
    <row r="651">
      <c r="A651" s="402">
        <f t="array" ref="A651">INDIRECT("Tableau!$A$84")</f>
        <v>318</v>
      </c>
      <c r="B651" s="398" t="s">
        <v>461</v>
      </c>
      <c r="C651" s="400" t="str">
        <f t="array" ref="C651">INDIRECT("Tableau!$K$84")</f>
        <v/>
      </c>
      <c r="D651" s="400" t="str">
        <f t="shared" si="5"/>
        <v>OUT</v>
      </c>
      <c r="E651" s="403" t="str">
        <f t="array" ref="E651">INDIRECT("Tableau!$L$84")</f>
        <v/>
      </c>
    </row>
    <row r="652">
      <c r="A652" s="402">
        <f t="array" ref="A652">INDIRECT("Tableau!$A$85")</f>
        <v>320</v>
      </c>
      <c r="B652" s="398" t="s">
        <v>461</v>
      </c>
      <c r="C652" s="400" t="str">
        <f t="array" ref="C652">INDIRECT("Tableau!$K$85")</f>
        <v/>
      </c>
      <c r="D652" s="400" t="str">
        <f t="shared" si="5"/>
        <v>OUT</v>
      </c>
      <c r="E652" s="403" t="str">
        <f t="array" ref="E652">INDIRECT("Tableau!$L$85")</f>
        <v/>
      </c>
    </row>
    <row r="653">
      <c r="A653" s="402">
        <f t="array" ref="A653">INDIRECT("Tableau!$A$86")</f>
        <v>321</v>
      </c>
      <c r="B653" s="398" t="s">
        <v>461</v>
      </c>
      <c r="C653" s="400" t="str">
        <f t="array" ref="C653">INDIRECT("Tableau!$K$86")</f>
        <v/>
      </c>
      <c r="D653" s="400" t="str">
        <f t="shared" si="5"/>
        <v>OUT</v>
      </c>
      <c r="E653" s="403" t="str">
        <f t="array" ref="E653">INDIRECT("Tableau!$L$86")</f>
        <v/>
      </c>
    </row>
    <row r="654">
      <c r="A654" s="397" t="str">
        <f t="array" ref="A654">INDIRECT("Tableau!$A$87")</f>
        <v/>
      </c>
      <c r="B654" s="398" t="s">
        <v>461</v>
      </c>
      <c r="C654" s="400" t="str">
        <f t="array" ref="C654">INDIRECT("Tableau!$K$87")</f>
        <v/>
      </c>
      <c r="D654" s="400" t="str">
        <f t="shared" si="5"/>
        <v>OUT</v>
      </c>
      <c r="E654" s="403" t="str">
        <f t="array" ref="E654">INDIRECT("Tableau!$L$87")</f>
        <v/>
      </c>
    </row>
    <row r="655">
      <c r="A655" s="402">
        <f t="array" ref="A655">INDIRECT("Tableau!$A$88")</f>
        <v>323</v>
      </c>
      <c r="B655" s="398" t="s">
        <v>461</v>
      </c>
      <c r="C655" s="400" t="str">
        <f t="array" ref="C655">INDIRECT("Tableau!$K$88")</f>
        <v/>
      </c>
      <c r="D655" s="400" t="str">
        <f t="shared" si="5"/>
        <v>OUT</v>
      </c>
      <c r="E655" s="403" t="str">
        <f t="array" ref="E655">INDIRECT("Tableau!$L$88")</f>
        <v/>
      </c>
    </row>
    <row r="656">
      <c r="A656" s="402">
        <f t="array" ref="A656">INDIRECT("Tableau!$A$89")</f>
        <v>324</v>
      </c>
      <c r="B656" s="398" t="s">
        <v>461</v>
      </c>
      <c r="C656" s="400" t="str">
        <f t="array" ref="C656">INDIRECT("Tableau!$K$89")</f>
        <v/>
      </c>
      <c r="D656" s="400" t="str">
        <f t="shared" si="5"/>
        <v>OUT</v>
      </c>
      <c r="E656" s="403" t="str">
        <f t="array" ref="E656">INDIRECT("Tableau!$L$89")</f>
        <v/>
      </c>
    </row>
    <row r="657">
      <c r="A657" s="402">
        <f t="array" ref="A657">INDIRECT("Tableau!$A$90")</f>
        <v>325</v>
      </c>
      <c r="B657" s="398" t="s">
        <v>461</v>
      </c>
      <c r="C657" s="400" t="str">
        <f t="array" ref="C657">INDIRECT("Tableau!$K$90")</f>
        <v/>
      </c>
      <c r="D657" s="400" t="str">
        <f t="shared" si="5"/>
        <v>OUT</v>
      </c>
      <c r="E657" s="403" t="str">
        <f t="array" ref="E657">INDIRECT("Tableau!$L$90")</f>
        <v/>
      </c>
    </row>
    <row r="658">
      <c r="A658" s="402">
        <f t="array" ref="A658">INDIRECT("Tableau!$A$91")</f>
        <v>326</v>
      </c>
      <c r="B658" s="398" t="s">
        <v>461</v>
      </c>
      <c r="C658" s="400" t="str">
        <f t="array" ref="C658">INDIRECT("Tableau!$K$91")</f>
        <v/>
      </c>
      <c r="D658" s="400" t="str">
        <f t="shared" si="5"/>
        <v>OUT</v>
      </c>
      <c r="E658" s="403" t="str">
        <f t="array" ref="E658">INDIRECT("Tableau!$L$91")</f>
        <v/>
      </c>
    </row>
    <row r="659">
      <c r="A659" s="402">
        <f t="array" ref="A659">INDIRECT("Tableau!$A$92")</f>
        <v>327</v>
      </c>
      <c r="B659" s="398" t="s">
        <v>461</v>
      </c>
      <c r="C659" s="400" t="str">
        <f t="array" ref="C659">INDIRECT("Tableau!$K$92")</f>
        <v/>
      </c>
      <c r="D659" s="400" t="str">
        <f t="shared" si="5"/>
        <v>OUT</v>
      </c>
      <c r="E659" s="403" t="str">
        <f t="array" ref="E659">INDIRECT("Tableau!$L$92")</f>
        <v/>
      </c>
    </row>
    <row r="660">
      <c r="A660" s="402">
        <f t="array" ref="A660">INDIRECT("Tableau!$A$93")</f>
        <v>328</v>
      </c>
      <c r="B660" s="398" t="s">
        <v>461</v>
      </c>
      <c r="C660" s="400" t="str">
        <f t="array" ref="C660">INDIRECT("Tableau!$K$93")</f>
        <v/>
      </c>
      <c r="D660" s="400" t="str">
        <f t="shared" si="5"/>
        <v>OUT</v>
      </c>
      <c r="E660" s="403" t="str">
        <f t="array" ref="E660">INDIRECT("Tableau!$L$93")</f>
        <v/>
      </c>
    </row>
    <row r="661">
      <c r="A661" s="402">
        <f t="array" ref="A661">INDIRECT("Tableau!$A$94")</f>
        <v>329</v>
      </c>
      <c r="B661" s="398" t="s">
        <v>461</v>
      </c>
      <c r="C661" s="400" t="str">
        <f t="array" ref="C661">INDIRECT("Tableau!$K$94")</f>
        <v/>
      </c>
      <c r="D661" s="400" t="str">
        <f t="shared" si="5"/>
        <v>OUT</v>
      </c>
      <c r="E661" s="403" t="str">
        <f t="array" ref="E661">INDIRECT("Tableau!$L$94")</f>
        <v/>
      </c>
    </row>
    <row r="662">
      <c r="A662" s="402">
        <f t="array" ref="A662">INDIRECT("Tableau!$A$95")</f>
        <v>330</v>
      </c>
      <c r="B662" s="398" t="s">
        <v>461</v>
      </c>
      <c r="C662" s="400" t="str">
        <f t="array" ref="C662">INDIRECT("Tableau!$K$95")</f>
        <v/>
      </c>
      <c r="D662" s="400" t="str">
        <f t="shared" si="5"/>
        <v>OUT</v>
      </c>
      <c r="E662" s="403" t="str">
        <f t="array" ref="E662">INDIRECT("Tableau!$L$95")</f>
        <v/>
      </c>
    </row>
    <row r="663">
      <c r="A663" s="402">
        <f t="array" ref="A663">INDIRECT("Tableau!$A$96")</f>
        <v>331</v>
      </c>
      <c r="B663" s="398" t="s">
        <v>461</v>
      </c>
      <c r="C663" s="400" t="str">
        <f t="array" ref="C663">INDIRECT("Tableau!$K$96")</f>
        <v/>
      </c>
      <c r="D663" s="400" t="str">
        <f t="shared" si="5"/>
        <v>OUT</v>
      </c>
      <c r="E663" s="403" t="str">
        <f t="array" ref="E663">INDIRECT("Tableau!$L$96")</f>
        <v/>
      </c>
    </row>
    <row r="664">
      <c r="A664" s="402">
        <f t="array" ref="A664">INDIRECT("Tableau!$A$97")</f>
        <v>332</v>
      </c>
      <c r="B664" s="398" t="s">
        <v>461</v>
      </c>
      <c r="C664" s="400" t="str">
        <f t="array" ref="C664">INDIRECT("Tableau!$K$97")</f>
        <v/>
      </c>
      <c r="D664" s="400" t="str">
        <f t="shared" si="5"/>
        <v>OUT</v>
      </c>
      <c r="E664" s="403" t="str">
        <f t="array" ref="E664">INDIRECT("Tableau!$L$97")</f>
        <v/>
      </c>
    </row>
    <row r="665">
      <c r="A665" s="402">
        <f t="array" ref="A665">INDIRECT("Tableau!$A$98")</f>
        <v>333</v>
      </c>
      <c r="B665" s="398" t="s">
        <v>461</v>
      </c>
      <c r="C665" s="400" t="str">
        <f t="array" ref="C665">INDIRECT("Tableau!$K$98")</f>
        <v/>
      </c>
      <c r="D665" s="400" t="str">
        <f t="shared" si="5"/>
        <v>OUT</v>
      </c>
      <c r="E665" s="403" t="str">
        <f t="array" ref="E665">INDIRECT("Tableau!$L$98")</f>
        <v/>
      </c>
    </row>
    <row r="666">
      <c r="A666" s="402">
        <f t="array" ref="A666">INDIRECT("Tableau!$A$99")</f>
        <v>334</v>
      </c>
      <c r="B666" s="398" t="s">
        <v>461</v>
      </c>
      <c r="C666" s="400" t="str">
        <f t="array" ref="C666">INDIRECT("Tableau!$K$99")</f>
        <v>Bloqué</v>
      </c>
      <c r="D666" s="400" t="str">
        <f t="shared" si="5"/>
        <v>OUT</v>
      </c>
      <c r="E666" s="403" t="str">
        <f t="array" ref="E666">INDIRECT("Tableau!$L$99")</f>
        <v/>
      </c>
    </row>
    <row r="667">
      <c r="A667" s="402">
        <f t="array" ref="A667">INDIRECT("Tableau!$A$100")</f>
        <v>335</v>
      </c>
      <c r="B667" s="398" t="s">
        <v>461</v>
      </c>
      <c r="C667" s="400" t="str">
        <f t="array" ref="C667">INDIRECT("Tableau!$K$100")</f>
        <v/>
      </c>
      <c r="D667" s="400" t="str">
        <f t="shared" si="5"/>
        <v>OUT</v>
      </c>
      <c r="E667" s="403" t="str">
        <f t="array" ref="E667">INDIRECT("Tableau!$L$100")</f>
        <v/>
      </c>
    </row>
    <row r="668">
      <c r="A668" s="402">
        <f t="array" ref="A668">INDIRECT("Tableau!$A$101")</f>
        <v>336</v>
      </c>
      <c r="B668" s="398" t="s">
        <v>461</v>
      </c>
      <c r="C668" s="400" t="str">
        <f t="array" ref="C668">INDIRECT("Tableau!$K$101")</f>
        <v/>
      </c>
      <c r="D668" s="400" t="str">
        <f t="shared" si="5"/>
        <v>OUT</v>
      </c>
      <c r="E668" s="403" t="str">
        <f t="array" ref="E668">INDIRECT("Tableau!$L$101")</f>
        <v/>
      </c>
    </row>
    <row r="669">
      <c r="A669" s="402">
        <f t="array" ref="A669">INDIRECT("Tableau!$A$102")</f>
        <v>337</v>
      </c>
      <c r="B669" s="398" t="s">
        <v>461</v>
      </c>
      <c r="C669" s="400" t="str">
        <f t="array" ref="C669">INDIRECT("Tableau!$K$102")</f>
        <v>Carbelle</v>
      </c>
      <c r="D669" s="400" t="str">
        <f t="shared" si="5"/>
        <v>OUT</v>
      </c>
      <c r="E669" s="403" t="str">
        <f t="array" ref="E669">INDIRECT("Tableau!$L$102")</f>
        <v/>
      </c>
    </row>
    <row r="670">
      <c r="A670" s="402">
        <f t="array" ref="A670">INDIRECT("Tableau!$A$103")</f>
        <v>338</v>
      </c>
      <c r="B670" s="398" t="s">
        <v>461</v>
      </c>
      <c r="C670" s="400" t="str">
        <f t="array" ref="C670">INDIRECT("Tableau!$K$103")</f>
        <v/>
      </c>
      <c r="D670" s="400" t="str">
        <f t="shared" si="5"/>
        <v>OUT</v>
      </c>
      <c r="E670" s="403" t="str">
        <f t="array" ref="E670">INDIRECT("Tableau!$L$103")</f>
        <v/>
      </c>
    </row>
    <row r="671">
      <c r="A671" s="402">
        <f t="array" ref="A671">INDIRECT("Tableau!$A$104")</f>
        <v>339</v>
      </c>
      <c r="B671" s="398" t="s">
        <v>461</v>
      </c>
      <c r="C671" s="400" t="str">
        <f t="array" ref="C671">INDIRECT("Tableau!$K$104")</f>
        <v/>
      </c>
      <c r="D671" s="400" t="str">
        <f t="shared" si="5"/>
        <v>OUT</v>
      </c>
      <c r="E671" s="403" t="str">
        <f t="array" ref="E671">INDIRECT("Tableau!$L$104")</f>
        <v/>
      </c>
    </row>
    <row r="672">
      <c r="A672" s="402">
        <f t="array" ref="A672">INDIRECT("Tableau!$A$105")</f>
        <v>340</v>
      </c>
      <c r="B672" s="398" t="s">
        <v>461</v>
      </c>
      <c r="C672" s="400" t="str">
        <f t="array" ref="C672">INDIRECT("Tableau!$K$105")</f>
        <v/>
      </c>
      <c r="D672" s="400" t="str">
        <f t="shared" si="5"/>
        <v>OUT</v>
      </c>
      <c r="E672" s="403" t="str">
        <f t="array" ref="E672">INDIRECT("Tableau!$L$105")</f>
        <v/>
      </c>
    </row>
    <row r="673">
      <c r="A673" s="402">
        <f t="array" ref="A673">INDIRECT("Tableau!$A$106")</f>
        <v>341</v>
      </c>
      <c r="B673" s="398" t="s">
        <v>461</v>
      </c>
      <c r="C673" s="400" t="str">
        <f t="array" ref="C673">INDIRECT("Tableau!$K$106")</f>
        <v/>
      </c>
      <c r="D673" s="400" t="str">
        <f t="shared" si="5"/>
        <v>OUT</v>
      </c>
      <c r="E673" s="403" t="str">
        <f t="array" ref="E673">INDIRECT("Tableau!$L$106")</f>
        <v/>
      </c>
    </row>
    <row r="674">
      <c r="A674" s="402">
        <f t="array" ref="A674">INDIRECT("Tableau!$A$107")</f>
        <v>365</v>
      </c>
      <c r="B674" s="398" t="s">
        <v>461</v>
      </c>
      <c r="C674" s="400" t="str">
        <f t="array" ref="C674">INDIRECT("Tableau!$K$107")</f>
        <v/>
      </c>
      <c r="D674" s="400" t="str">
        <f t="shared" si="5"/>
        <v>OUT</v>
      </c>
      <c r="E674" s="403" t="str">
        <f t="array" ref="E674">INDIRECT("Tableau!$L$107")</f>
        <v/>
      </c>
    </row>
    <row r="675">
      <c r="A675" s="402">
        <f t="array" ref="A675">INDIRECT("Tableau!$A$108")</f>
        <v>342</v>
      </c>
      <c r="B675" s="398" t="s">
        <v>461</v>
      </c>
      <c r="C675" s="400" t="str">
        <f t="array" ref="C675">INDIRECT("Tableau!$K$108")</f>
        <v/>
      </c>
      <c r="D675" s="400" t="str">
        <f t="shared" si="5"/>
        <v>OUT</v>
      </c>
      <c r="E675" s="403" t="str">
        <f t="array" ref="E675">INDIRECT("Tableau!$L$108")</f>
        <v/>
      </c>
    </row>
    <row r="676">
      <c r="A676" s="402">
        <f t="array" ref="A676">INDIRECT("Tableau!$A$109")</f>
        <v>343</v>
      </c>
      <c r="B676" s="398" t="s">
        <v>461</v>
      </c>
      <c r="C676" s="400" t="str">
        <f t="array" ref="C676">INDIRECT("Tableau!$K$109")</f>
        <v/>
      </c>
      <c r="D676" s="400" t="str">
        <f t="shared" si="5"/>
        <v>OUT</v>
      </c>
      <c r="E676" s="403" t="str">
        <f t="array" ref="E676">INDIRECT("Tableau!$L$109")</f>
        <v/>
      </c>
    </row>
    <row r="677">
      <c r="A677" s="402">
        <f t="array" ref="A677">INDIRECT("Tableau!$A$110")</f>
        <v>344</v>
      </c>
      <c r="B677" s="398" t="s">
        <v>461</v>
      </c>
      <c r="C677" s="400" t="str">
        <f t="array" ref="C677">INDIRECT("Tableau!$K$110")</f>
        <v/>
      </c>
      <c r="D677" s="400" t="str">
        <f t="shared" si="5"/>
        <v>OUT</v>
      </c>
      <c r="E677" s="403" t="str">
        <f t="array" ref="E677">INDIRECT("Tableau!$L$110")</f>
        <v/>
      </c>
    </row>
    <row r="678">
      <c r="A678" s="402">
        <f t="array" ref="A678">INDIRECT("Tableau!$A$111")</f>
        <v>363</v>
      </c>
      <c r="B678" s="398" t="s">
        <v>461</v>
      </c>
      <c r="C678" s="400" t="str">
        <f t="array" ref="C678">INDIRECT("Tableau!$K$111")</f>
        <v>DPS</v>
      </c>
      <c r="D678" s="400" t="str">
        <f t="shared" si="5"/>
        <v>OUT</v>
      </c>
      <c r="E678" s="403" t="str">
        <f t="array" ref="E678">INDIRECT("Tableau!$L$111")</f>
        <v/>
      </c>
    </row>
    <row r="679">
      <c r="A679" s="402">
        <f t="array" ref="A679">INDIRECT("Tableau!$A$112")</f>
        <v>345</v>
      </c>
      <c r="B679" s="398" t="s">
        <v>461</v>
      </c>
      <c r="C679" s="400" t="str">
        <f t="array" ref="C679">INDIRECT("Tableau!$K$112")</f>
        <v/>
      </c>
      <c r="D679" s="400" t="str">
        <f t="shared" si="5"/>
        <v>OUT</v>
      </c>
      <c r="E679" s="403" t="str">
        <f t="array" ref="E679">INDIRECT("Tableau!$L$112")</f>
        <v/>
      </c>
    </row>
    <row r="680">
      <c r="A680" s="402">
        <f t="array" ref="A680">INDIRECT("Tableau!$A$113")</f>
        <v>346</v>
      </c>
      <c r="B680" s="398" t="s">
        <v>461</v>
      </c>
      <c r="C680" s="400" t="str">
        <f t="array" ref="C680">INDIRECT("Tableau!$K$113")</f>
        <v/>
      </c>
      <c r="D680" s="400" t="str">
        <f t="shared" si="5"/>
        <v>OUT</v>
      </c>
      <c r="E680" s="403" t="str">
        <f t="array" ref="E680">INDIRECT("Tableau!$L$113")</f>
        <v/>
      </c>
    </row>
    <row r="681">
      <c r="A681" s="402">
        <f t="array" ref="A681">INDIRECT("Tableau!$A$114")</f>
        <v>359</v>
      </c>
      <c r="B681" s="398" t="s">
        <v>461</v>
      </c>
      <c r="C681" s="400" t="str">
        <f t="array" ref="C681">INDIRECT("Tableau!$K$114")</f>
        <v/>
      </c>
      <c r="D681" s="400" t="str">
        <f t="shared" si="5"/>
        <v>OUT</v>
      </c>
      <c r="E681" s="403" t="str">
        <f t="array" ref="E681">INDIRECT("Tableau!$L$114")</f>
        <v/>
      </c>
    </row>
    <row r="682">
      <c r="A682" s="402">
        <f t="array" ref="A682">INDIRECT("Tableau!$A$115")</f>
        <v>360</v>
      </c>
      <c r="B682" s="398" t="s">
        <v>461</v>
      </c>
      <c r="C682" s="400" t="str">
        <f t="array" ref="C682">INDIRECT("Tableau!$K$115")</f>
        <v/>
      </c>
      <c r="D682" s="400" t="str">
        <f t="shared" si="5"/>
        <v>OUT</v>
      </c>
      <c r="E682" s="403" t="str">
        <f t="array" ref="E682">INDIRECT("Tableau!$L$115")</f>
        <v/>
      </c>
    </row>
    <row r="683">
      <c r="A683" s="402">
        <f t="array" ref="A683">INDIRECT("Tableau!$A$116")</f>
        <v>361</v>
      </c>
      <c r="B683" s="398" t="s">
        <v>461</v>
      </c>
      <c r="C683" s="400" t="str">
        <f t="array" ref="C683">INDIRECT("Tableau!$K$116")</f>
        <v/>
      </c>
      <c r="D683" s="400" t="str">
        <f t="shared" si="5"/>
        <v>OUT</v>
      </c>
      <c r="E683" s="403" t="str">
        <f t="array" ref="E683">INDIRECT("Tableau!$L$116")</f>
        <v/>
      </c>
    </row>
    <row r="684">
      <c r="A684" s="397" t="str">
        <f t="array" ref="A684">INDIRECT("Tableau!$A$117")</f>
        <v/>
      </c>
      <c r="B684" s="398" t="s">
        <v>461</v>
      </c>
      <c r="C684" s="400" t="str">
        <f t="array" ref="C684">INDIRECT("Tableau!$K$117")</f>
        <v/>
      </c>
      <c r="D684" s="400" t="str">
        <f t="shared" si="5"/>
        <v>OUT</v>
      </c>
      <c r="E684" s="403" t="str">
        <f t="array" ref="E684">INDIRECT("Tableau!$L$117")</f>
        <v/>
      </c>
    </row>
    <row r="685">
      <c r="A685" s="402">
        <f t="array" ref="A685">INDIRECT("Tableau!$A$118")</f>
        <v>347</v>
      </c>
      <c r="B685" s="398" t="s">
        <v>461</v>
      </c>
      <c r="C685" s="400" t="str">
        <f t="array" ref="C685">INDIRECT("Tableau!$K$118")</f>
        <v>Carbelle</v>
      </c>
      <c r="D685" s="400" t="str">
        <f t="shared" si="5"/>
        <v>OUT</v>
      </c>
      <c r="E685" s="403" t="str">
        <f t="array" ref="E685">INDIRECT("Tableau!$L$118")</f>
        <v/>
      </c>
    </row>
    <row r="686">
      <c r="A686" s="402">
        <f t="array" ref="A686">INDIRECT("Tableau!$A$119")</f>
        <v>348</v>
      </c>
      <c r="B686" s="398" t="s">
        <v>461</v>
      </c>
      <c r="C686" s="400" t="str">
        <f t="array" ref="C686">INDIRECT("Tableau!$K$119")</f>
        <v/>
      </c>
      <c r="D686" s="400" t="str">
        <f t="shared" si="5"/>
        <v>OUT</v>
      </c>
      <c r="E686" s="403" t="str">
        <f t="array" ref="E686">INDIRECT("Tableau!$L$119")</f>
        <v/>
      </c>
    </row>
    <row r="687">
      <c r="A687" s="402">
        <f t="array" ref="A687">INDIRECT("Tableau!$A$120")</f>
        <v>349</v>
      </c>
      <c r="B687" s="398" t="s">
        <v>461</v>
      </c>
      <c r="C687" s="400" t="str">
        <f t="array" ref="C687">INDIRECT("Tableau!$K$120")</f>
        <v/>
      </c>
      <c r="D687" s="400" t="str">
        <f t="shared" si="5"/>
        <v>OUT</v>
      </c>
      <c r="E687" s="403" t="str">
        <f t="array" ref="E687">INDIRECT("Tableau!$L$120")</f>
        <v/>
      </c>
    </row>
    <row r="688">
      <c r="A688" s="402">
        <f t="array" ref="A688">INDIRECT("Tableau!$A$121")</f>
        <v>350</v>
      </c>
      <c r="B688" s="398" t="s">
        <v>461</v>
      </c>
      <c r="C688" s="400" t="str">
        <f t="array" ref="C688">INDIRECT("Tableau!$K$121")</f>
        <v/>
      </c>
      <c r="D688" s="400" t="str">
        <f t="shared" si="5"/>
        <v>OUT</v>
      </c>
      <c r="E688" s="403" t="str">
        <f t="array" ref="E688">INDIRECT("Tableau!$L$121")</f>
        <v/>
      </c>
    </row>
    <row r="689">
      <c r="A689" s="402">
        <f t="array" ref="A689">INDIRECT("Tableau!$A$122")</f>
        <v>351</v>
      </c>
      <c r="B689" s="398" t="s">
        <v>461</v>
      </c>
      <c r="C689" s="400" t="str">
        <f t="array" ref="C689">INDIRECT("Tableau!$K$122")</f>
        <v/>
      </c>
      <c r="D689" s="400" t="str">
        <f t="shared" si="5"/>
        <v>OUT</v>
      </c>
      <c r="E689" s="403" t="str">
        <f t="array" ref="E689">INDIRECT("Tableau!$L$122")</f>
        <v/>
      </c>
    </row>
    <row r="690">
      <c r="A690" s="402">
        <f t="array" ref="A690">INDIRECT("Tableau!$A$123")</f>
        <v>352</v>
      </c>
      <c r="B690" s="398" t="s">
        <v>461</v>
      </c>
      <c r="C690" s="400" t="str">
        <f t="array" ref="C690">INDIRECT("Tableau!$K$123")</f>
        <v/>
      </c>
      <c r="D690" s="400" t="str">
        <f t="shared" si="5"/>
        <v>OUT</v>
      </c>
      <c r="E690" s="403" t="str">
        <f t="array" ref="E690">INDIRECT("Tableau!$L$123")</f>
        <v/>
      </c>
    </row>
    <row r="691">
      <c r="A691" s="402">
        <f t="array" ref="A691">INDIRECT("Tableau!$A$124")</f>
        <v>353</v>
      </c>
      <c r="B691" s="398" t="s">
        <v>461</v>
      </c>
      <c r="C691" s="400" t="str">
        <f t="array" ref="C691">INDIRECT("Tableau!$K$124")</f>
        <v/>
      </c>
      <c r="D691" s="400" t="str">
        <f t="shared" si="5"/>
        <v>OUT</v>
      </c>
      <c r="E691" s="403" t="str">
        <f t="array" ref="E691">INDIRECT("Tableau!$L$124")</f>
        <v/>
      </c>
    </row>
    <row r="692">
      <c r="A692" s="397" t="str">
        <f t="array" ref="A692">INDIRECT("Tableau!$A$125")</f>
        <v/>
      </c>
      <c r="B692" s="398" t="s">
        <v>461</v>
      </c>
      <c r="C692" s="400" t="str">
        <f t="array" ref="C692">INDIRECT("Tableau!$K$125")</f>
        <v/>
      </c>
      <c r="D692" s="400" t="str">
        <f t="shared" si="5"/>
        <v>OUT</v>
      </c>
      <c r="E692" s="403" t="str">
        <f t="array" ref="E692">INDIRECT("Tableau!$L$125")</f>
        <v/>
      </c>
    </row>
    <row r="693">
      <c r="A693" s="402">
        <f t="array" ref="A693">INDIRECT("Tableau!$A$126")</f>
        <v>354</v>
      </c>
      <c r="B693" s="398" t="s">
        <v>461</v>
      </c>
      <c r="C693" s="400" t="str">
        <f t="array" ref="C693">INDIRECT("Tableau!$K$126")</f>
        <v/>
      </c>
      <c r="D693" s="400" t="str">
        <f t="shared" si="5"/>
        <v>OUT</v>
      </c>
      <c r="E693" s="403" t="str">
        <f t="array" ref="E693">INDIRECT("Tableau!$L$126")</f>
        <v/>
      </c>
    </row>
    <row r="694">
      <c r="A694" s="402">
        <f t="array" ref="A694">INDIRECT("Tableau!$A$127")</f>
        <v>355</v>
      </c>
      <c r="B694" s="398" t="s">
        <v>461</v>
      </c>
      <c r="C694" s="400" t="str">
        <f t="array" ref="C694">INDIRECT("Tableau!$K$127")</f>
        <v/>
      </c>
      <c r="D694" s="400" t="str">
        <f t="shared" si="5"/>
        <v>OUT</v>
      </c>
      <c r="E694" s="403" t="str">
        <f t="array" ref="E694">INDIRECT("Tableau!$L$127")</f>
        <v/>
      </c>
    </row>
    <row r="695">
      <c r="A695" s="402">
        <f t="array" ref="A695">INDIRECT("Tableau!$A$128")</f>
        <v>356</v>
      </c>
      <c r="B695" s="398" t="s">
        <v>461</v>
      </c>
      <c r="C695" s="400" t="str">
        <f t="array" ref="C695">INDIRECT("Tableau!$K$128")</f>
        <v/>
      </c>
      <c r="D695" s="400" t="str">
        <f t="shared" si="5"/>
        <v>OUT</v>
      </c>
      <c r="E695" s="403" t="str">
        <f t="array" ref="E695">INDIRECT("Tableau!$L$128")</f>
        <v/>
      </c>
    </row>
    <row r="696">
      <c r="A696" s="402">
        <f t="array" ref="A696">INDIRECT("Tableau!$A$129")</f>
        <v>357</v>
      </c>
      <c r="B696" s="398" t="s">
        <v>461</v>
      </c>
      <c r="C696" s="400" t="str">
        <f t="array" ref="C696">INDIRECT("Tableau!$K$129")</f>
        <v/>
      </c>
      <c r="D696" s="400" t="str">
        <f t="shared" si="5"/>
        <v>OUT</v>
      </c>
      <c r="E696" s="403" t="str">
        <f t="array" ref="E696">INDIRECT("Tableau!$L$129")</f>
        <v/>
      </c>
    </row>
    <row r="697">
      <c r="A697" s="397" t="str">
        <f t="array" ref="A697">INDIRECT("Tableau!$A$130")</f>
        <v/>
      </c>
      <c r="B697" s="398" t="s">
        <v>461</v>
      </c>
      <c r="C697" s="400" t="str">
        <f t="array" ref="C697">INDIRECT("Tableau!$K$130")</f>
        <v/>
      </c>
      <c r="D697" s="400" t="str">
        <f t="shared" si="5"/>
        <v>OUT</v>
      </c>
      <c r="E697" s="403" t="str">
        <f t="array" ref="E697">INDIRECT("Tableau!$L$130")</f>
        <v/>
      </c>
    </row>
    <row r="698">
      <c r="A698" s="397" t="str">
        <f t="array" ref="A698">INDIRECT("Tableau!$A$131")</f>
        <v/>
      </c>
      <c r="B698" s="398" t="s">
        <v>461</v>
      </c>
      <c r="C698" s="400" t="str">
        <f t="array" ref="C698">INDIRECT("Tableau!$K$131")</f>
        <v/>
      </c>
      <c r="D698" s="400" t="str">
        <f t="shared" si="5"/>
        <v>OUT</v>
      </c>
      <c r="E698" s="403" t="str">
        <f t="array" ref="E698">INDIRECT("Tableau!$L$131")</f>
        <v/>
      </c>
    </row>
    <row r="699">
      <c r="A699" s="397" t="str">
        <f t="array" ref="A699">INDIRECT("Tableau!$A$132")</f>
        <v/>
      </c>
      <c r="B699" s="398" t="s">
        <v>461</v>
      </c>
      <c r="C699" s="400" t="str">
        <f t="array" ref="C699">INDIRECT("Tableau!$K$132")</f>
        <v/>
      </c>
      <c r="D699" s="400" t="str">
        <f t="shared" si="5"/>
        <v>OUT</v>
      </c>
      <c r="E699" s="403" t="str">
        <f t="array" ref="E699">INDIRECT("Tableau!$L$132")</f>
        <v/>
      </c>
    </row>
    <row r="700">
      <c r="A700" s="397" t="str">
        <f t="array" ref="A700">INDIRECT("Tableau!$A$133")</f>
        <v/>
      </c>
      <c r="B700" s="398" t="s">
        <v>461</v>
      </c>
      <c r="C700" s="400" t="str">
        <f t="array" ref="C700">INDIRECT("Tableau!$K$133")</f>
        <v/>
      </c>
      <c r="D700" s="400" t="str">
        <f t="shared" si="5"/>
        <v>OUT</v>
      </c>
      <c r="E700" s="403" t="str">
        <f t="array" ref="E700">INDIRECT("Tableau!$L$133")</f>
        <v/>
      </c>
    </row>
    <row r="701">
      <c r="A701" s="397" t="str">
        <f t="array" ref="A701">INDIRECT("Tableau!$A$134")</f>
        <v/>
      </c>
      <c r="B701" s="398" t="s">
        <v>461</v>
      </c>
      <c r="C701" s="400" t="str">
        <f t="array" ref="C701">INDIRECT("Tableau!$K$134")</f>
        <v/>
      </c>
      <c r="D701" s="400" t="str">
        <f t="shared" si="5"/>
        <v>OUT</v>
      </c>
      <c r="E701" s="403" t="str">
        <f t="array" ref="E701">INDIRECT("Tableau!$L$134")</f>
        <v/>
      </c>
    </row>
    <row r="702">
      <c r="A702" s="402">
        <f t="array" ref="A702">INDIRECT("Tableau!$A$135")</f>
        <v>401</v>
      </c>
      <c r="B702" s="398" t="s">
        <v>461</v>
      </c>
      <c r="C702" s="400" t="str">
        <f t="array" ref="C702">INDIRECT("Tableau!$K$135")</f>
        <v/>
      </c>
      <c r="D702" s="400" t="str">
        <f t="shared" si="5"/>
        <v>OUT</v>
      </c>
      <c r="E702" s="403" t="str">
        <f t="array" ref="E702">INDIRECT("Tableau!$L$135")</f>
        <v/>
      </c>
    </row>
    <row r="703">
      <c r="A703" s="402">
        <f t="array" ref="A703">INDIRECT("Tableau!$A$136")</f>
        <v>402</v>
      </c>
      <c r="B703" s="398" t="s">
        <v>461</v>
      </c>
      <c r="C703" s="400" t="str">
        <f t="array" ref="C703">INDIRECT("Tableau!$K$136")</f>
        <v/>
      </c>
      <c r="D703" s="400" t="str">
        <f t="shared" si="5"/>
        <v>OUT</v>
      </c>
      <c r="E703" s="403" t="str">
        <f t="array" ref="E703">INDIRECT("Tableau!$L$136")</f>
        <v/>
      </c>
    </row>
    <row r="704">
      <c r="A704" s="402">
        <f t="array" ref="A704">INDIRECT("Tableau!$A$137")</f>
        <v>403</v>
      </c>
      <c r="B704" s="398" t="s">
        <v>461</v>
      </c>
      <c r="C704" s="400" t="str">
        <f t="array" ref="C704">INDIRECT("Tableau!$K$137")</f>
        <v/>
      </c>
      <c r="D704" s="400" t="str">
        <f t="shared" si="5"/>
        <v>OUT</v>
      </c>
      <c r="E704" s="403" t="str">
        <f t="array" ref="E704">INDIRECT("Tableau!$L$137")</f>
        <v/>
      </c>
    </row>
    <row r="705">
      <c r="A705" s="402">
        <f t="array" ref="A705">INDIRECT("Tableau!$A$138")</f>
        <v>404</v>
      </c>
      <c r="B705" s="398" t="s">
        <v>461</v>
      </c>
      <c r="C705" s="400" t="str">
        <f t="array" ref="C705">INDIRECT("Tableau!$K$138")</f>
        <v>Carbelle</v>
      </c>
      <c r="D705" s="400" t="str">
        <f t="shared" si="5"/>
        <v>OUT</v>
      </c>
      <c r="E705" s="403" t="str">
        <f t="array" ref="E705">INDIRECT("Tableau!$L$138")</f>
        <v/>
      </c>
    </row>
    <row r="706">
      <c r="A706" s="402">
        <f t="array" ref="A706">INDIRECT("Tableau!$A$139")</f>
        <v>405</v>
      </c>
      <c r="B706" s="398" t="s">
        <v>461</v>
      </c>
      <c r="C706" s="400" t="str">
        <f t="array" ref="C706">INDIRECT("Tableau!$K$139")</f>
        <v/>
      </c>
      <c r="D706" s="400" t="str">
        <f t="shared" si="5"/>
        <v>OUT</v>
      </c>
      <c r="E706" s="403" t="str">
        <f t="array" ref="E706">INDIRECT("Tableau!$L$139")</f>
        <v/>
      </c>
    </row>
    <row r="707">
      <c r="A707" s="402">
        <f t="array" ref="A707">INDIRECT("Tableau!$A$140")</f>
        <v>406</v>
      </c>
      <c r="B707" s="398" t="s">
        <v>461</v>
      </c>
      <c r="C707" s="400" t="str">
        <f t="array" ref="C707">INDIRECT("Tableau!$K$140")</f>
        <v/>
      </c>
      <c r="D707" s="400" t="str">
        <f t="shared" si="5"/>
        <v>OUT</v>
      </c>
      <c r="E707" s="403" t="str">
        <f t="array" ref="E707">INDIRECT("Tableau!$L$140")</f>
        <v/>
      </c>
    </row>
    <row r="708">
      <c r="A708" s="402">
        <f t="array" ref="A708">INDIRECT("Tableau!$A$141")</f>
        <v>407</v>
      </c>
      <c r="B708" s="398" t="s">
        <v>461</v>
      </c>
      <c r="C708" s="400" t="str">
        <f t="array" ref="C708">INDIRECT("Tableau!$K$141")</f>
        <v/>
      </c>
      <c r="D708" s="400" t="str">
        <f t="shared" si="5"/>
        <v>OUT</v>
      </c>
      <c r="E708" s="403" t="str">
        <f t="array" ref="E708">INDIRECT("Tableau!$L$141")</f>
        <v/>
      </c>
    </row>
    <row r="709">
      <c r="A709" s="402">
        <f t="array" ref="A709">INDIRECT("Tableau!$A$142")</f>
        <v>408</v>
      </c>
      <c r="B709" s="398" t="s">
        <v>461</v>
      </c>
      <c r="C709" s="400" t="str">
        <f t="array" ref="C709">INDIRECT("Tableau!$K$142")</f>
        <v/>
      </c>
      <c r="D709" s="400" t="str">
        <f t="shared" si="5"/>
        <v>OUT</v>
      </c>
      <c r="E709" s="403" t="str">
        <f t="array" ref="E709">INDIRECT("Tableau!$L$142")</f>
        <v/>
      </c>
    </row>
    <row r="710">
      <c r="A710" s="402">
        <f t="array" ref="A710">INDIRECT("Tableau!$A$143")</f>
        <v>409</v>
      </c>
      <c r="B710" s="398" t="s">
        <v>461</v>
      </c>
      <c r="C710" s="400" t="str">
        <f t="array" ref="C710">INDIRECT("Tableau!$K$143")</f>
        <v/>
      </c>
      <c r="D710" s="400" t="str">
        <f t="shared" si="5"/>
        <v>OUT</v>
      </c>
      <c r="E710" s="403" t="str">
        <f t="array" ref="E710">INDIRECT("Tableau!$L$143")</f>
        <v/>
      </c>
    </row>
    <row r="711">
      <c r="A711" s="397">
        <f t="array" ref="A711">INDIRECT("Tableau!$A$144")</f>
        <v>415</v>
      </c>
      <c r="B711" s="398" t="s">
        <v>461</v>
      </c>
      <c r="C711" s="400" t="str">
        <f t="array" ref="C711">INDIRECT("Tableau!$K$144")</f>
        <v/>
      </c>
      <c r="D711" s="400" t="str">
        <f t="shared" si="5"/>
        <v>OUT</v>
      </c>
      <c r="E711" s="403" t="str">
        <f t="array" ref="E711">INDIRECT("Tableau!$L$144")</f>
        <v/>
      </c>
    </row>
    <row r="712">
      <c r="A712" s="397" t="str">
        <f t="array" ref="A712">INDIRECT("Tableau!$A$145")</f>
        <v/>
      </c>
      <c r="B712" s="398" t="s">
        <v>461</v>
      </c>
      <c r="C712" s="400" t="str">
        <f t="array" ref="C712">INDIRECT("Tableau!$K$145")</f>
        <v/>
      </c>
      <c r="D712" s="400" t="str">
        <f t="shared" si="5"/>
        <v>OUT</v>
      </c>
      <c r="E712" s="403" t="str">
        <f t="array" ref="E712">INDIRECT("Tableau!$L$145")</f>
        <v/>
      </c>
    </row>
    <row r="713">
      <c r="A713" s="397" t="str">
        <f t="array" ref="A713">INDIRECT("Tableau!$A$146")</f>
        <v/>
      </c>
      <c r="B713" s="398" t="s">
        <v>461</v>
      </c>
      <c r="C713" s="400" t="str">
        <f t="array" ref="C713">INDIRECT("Tableau!$K$146")</f>
        <v/>
      </c>
      <c r="D713" s="400" t="str">
        <f t="shared" si="5"/>
        <v>OUT</v>
      </c>
      <c r="E713" s="403" t="str">
        <f t="array" ref="E713">INDIRECT("Tableau!$L$146")</f>
        <v/>
      </c>
    </row>
    <row r="714">
      <c r="A714" s="397" t="str">
        <f t="array" ref="A714">INDIRECT("Tableau!$A$147")</f>
        <v/>
      </c>
      <c r="B714" s="398" t="s">
        <v>461</v>
      </c>
      <c r="C714" s="400" t="str">
        <f t="array" ref="C714">INDIRECT("Tableau!$K$147")</f>
        <v/>
      </c>
      <c r="D714" s="400" t="str">
        <f t="shared" si="5"/>
        <v>OUT</v>
      </c>
      <c r="E714" s="403" t="str">
        <f t="array" ref="E714">INDIRECT("Tableau!$L$147")</f>
        <v/>
      </c>
    </row>
    <row r="715">
      <c r="A715" s="397" t="str">
        <f t="array" ref="A715">INDIRECT("Tableau!$A$148")</f>
        <v/>
      </c>
      <c r="B715" s="398" t="s">
        <v>461</v>
      </c>
      <c r="C715" s="400" t="str">
        <f t="array" ref="C715">INDIRECT("Tableau!$K$148")</f>
        <v/>
      </c>
      <c r="D715" s="400" t="str">
        <f t="shared" si="5"/>
        <v>OUT</v>
      </c>
      <c r="E715" s="403" t="str">
        <f t="array" ref="E715">INDIRECT("Tableau!$L$148")</f>
        <v/>
      </c>
    </row>
    <row r="716">
      <c r="A716" s="397" t="str">
        <f t="array" ref="A716">INDIRECT("Tableau!$A$149")</f>
        <v/>
      </c>
      <c r="B716" s="398" t="s">
        <v>461</v>
      </c>
      <c r="C716" s="400" t="str">
        <f t="array" ref="C716">INDIRECT("Tableau!$K$149")</f>
        <v/>
      </c>
      <c r="D716" s="400" t="str">
        <f t="shared" si="5"/>
        <v>OUT</v>
      </c>
      <c r="E716" s="403" t="str">
        <f t="array" ref="E716">INDIRECT("Tableau!$L$149")</f>
        <v/>
      </c>
    </row>
    <row r="717">
      <c r="A717" s="397" t="str">
        <f t="array" ref="A717">INDIRECT("Tableau!$A$150")</f>
        <v/>
      </c>
      <c r="B717" s="398" t="s">
        <v>461</v>
      </c>
      <c r="C717" s="400" t="str">
        <f t="array" ref="C717">INDIRECT("Tableau!$K$150")</f>
        <v/>
      </c>
      <c r="D717" s="400" t="str">
        <f t="shared" si="5"/>
        <v>OUT</v>
      </c>
      <c r="E717" s="403" t="str">
        <f t="array" ref="E717">INDIRECT("Tableau!$L$150")</f>
        <v/>
      </c>
    </row>
    <row r="718">
      <c r="A718" s="397" t="str">
        <f t="array" ref="A718">INDIRECT("Tableau!$A$151")</f>
        <v/>
      </c>
      <c r="B718" s="398" t="s">
        <v>461</v>
      </c>
      <c r="C718" s="400" t="str">
        <f t="array" ref="C718">INDIRECT("Tableau!$K$151")</f>
        <v/>
      </c>
      <c r="D718" s="400" t="str">
        <f t="shared" si="5"/>
        <v>OUT</v>
      </c>
      <c r="E718" s="403" t="str">
        <f t="array" ref="E718">INDIRECT("Tableau!$L$151")</f>
        <v/>
      </c>
    </row>
    <row r="719">
      <c r="A719" s="397" t="str">
        <f t="array" ref="A719">INDIRECT("Tableau!$A$152")</f>
        <v/>
      </c>
      <c r="B719" s="398" t="s">
        <v>461</v>
      </c>
      <c r="C719" s="400" t="str">
        <f t="array" ref="C719">INDIRECT("Tableau!$K$152")</f>
        <v/>
      </c>
      <c r="D719" s="400" t="str">
        <f t="shared" si="5"/>
        <v>OUT</v>
      </c>
      <c r="E719" s="403" t="str">
        <f t="array" ref="E719">INDIRECT("Tableau!$L$152")</f>
        <v/>
      </c>
    </row>
    <row r="720">
      <c r="A720" s="397" t="str">
        <f t="array" ref="A720">INDIRECT("Tableau!$A$153")</f>
        <v/>
      </c>
      <c r="B720" s="398" t="s">
        <v>461</v>
      </c>
      <c r="C720" s="400" t="str">
        <f t="array" ref="C720">INDIRECT("Tableau!$K$153")</f>
        <v/>
      </c>
      <c r="D720" s="400" t="str">
        <f t="shared" si="5"/>
        <v>OUT</v>
      </c>
      <c r="E720" s="403" t="str">
        <f t="array" ref="E720">INDIRECT("Tableau!$L$153")</f>
        <v/>
      </c>
    </row>
    <row r="721">
      <c r="A721" s="402">
        <f t="array" ref="A721">INDIRECT("Tableau!$A$154")</f>
        <v>501</v>
      </c>
      <c r="B721" s="398" t="s">
        <v>461</v>
      </c>
      <c r="C721" s="400" t="str">
        <f t="array" ref="C721">INDIRECT("Tableau!$K$154")</f>
        <v>DPS</v>
      </c>
      <c r="D721" s="400" t="str">
        <f t="shared" si="5"/>
        <v>OUT</v>
      </c>
      <c r="E721" s="403" t="str">
        <f t="array" ref="E721">INDIRECT("Tableau!$L$154")</f>
        <v/>
      </c>
    </row>
    <row r="722">
      <c r="A722" s="402">
        <f t="array" ref="A722">INDIRECT("Tableau!$A$155")</f>
        <v>502</v>
      </c>
      <c r="B722" s="398" t="s">
        <v>461</v>
      </c>
      <c r="C722" s="400" t="str">
        <f t="array" ref="C722">INDIRECT("Tableau!$K$155")</f>
        <v>Carbelle</v>
      </c>
      <c r="D722" s="400" t="str">
        <f t="shared" si="5"/>
        <v>OUT</v>
      </c>
      <c r="E722" s="403" t="str">
        <f t="array" ref="E722">INDIRECT("Tableau!$L$155")</f>
        <v/>
      </c>
    </row>
    <row r="723">
      <c r="A723" s="397" t="str">
        <f t="array" ref="A723">INDIRECT("Tableau!$A$156")</f>
        <v/>
      </c>
      <c r="B723" s="398" t="s">
        <v>461</v>
      </c>
      <c r="C723" s="400" t="str">
        <f t="array" ref="C723">INDIRECT("Tableau!$K$156")</f>
        <v>Carbelle</v>
      </c>
      <c r="D723" s="400" t="str">
        <f t="shared" si="5"/>
        <v>OUT</v>
      </c>
      <c r="E723" s="403" t="str">
        <f t="array" ref="E723">INDIRECT("Tableau!$L$156")</f>
        <v/>
      </c>
    </row>
    <row r="724">
      <c r="A724" s="397" t="str">
        <f t="array" ref="A724">INDIRECT("Tableau!$A$157")</f>
        <v/>
      </c>
      <c r="B724" s="398" t="s">
        <v>461</v>
      </c>
      <c r="C724" s="400" t="str">
        <f t="array" ref="C724">INDIRECT("Tableau!$K$157")</f>
        <v>Carbelle</v>
      </c>
      <c r="D724" s="400" t="str">
        <f t="shared" si="5"/>
        <v>OUT</v>
      </c>
      <c r="E724" s="403" t="str">
        <f t="array" ref="E724">INDIRECT("Tableau!$L$157")</f>
        <v/>
      </c>
    </row>
    <row r="725">
      <c r="A725" s="402">
        <f t="array" ref="A725">INDIRECT("Tableau!$A$158")</f>
        <v>505</v>
      </c>
      <c r="B725" s="398" t="s">
        <v>461</v>
      </c>
      <c r="C725" s="400" t="str">
        <f t="array" ref="C725">INDIRECT("Tableau!$K$158")</f>
        <v>Carbelle</v>
      </c>
      <c r="D725" s="400" t="str">
        <f t="shared" si="5"/>
        <v>OUT</v>
      </c>
      <c r="E725" s="403" t="str">
        <f t="array" ref="E725">INDIRECT("Tableau!$L$158")</f>
        <v/>
      </c>
    </row>
    <row r="726">
      <c r="A726" s="402">
        <f t="array" ref="A726">INDIRECT("Tableau!$A$159")</f>
        <v>506</v>
      </c>
      <c r="B726" s="398" t="s">
        <v>461</v>
      </c>
      <c r="C726" s="400" t="str">
        <f t="array" ref="C726">INDIRECT("Tableau!$K$159")</f>
        <v>DPS</v>
      </c>
      <c r="D726" s="400" t="str">
        <f t="shared" si="5"/>
        <v>OUT</v>
      </c>
      <c r="E726" s="403" t="str">
        <f t="array" ref="E726">INDIRECT("Tableau!$L$159")</f>
        <v/>
      </c>
    </row>
    <row r="727">
      <c r="A727" s="402">
        <f t="array" ref="A727">INDIRECT("Tableau!$A$160")</f>
        <v>507</v>
      </c>
      <c r="B727" s="398" t="s">
        <v>461</v>
      </c>
      <c r="C727" s="400" t="str">
        <f t="array" ref="C727">INDIRECT("Tableau!$K$160")</f>
        <v/>
      </c>
      <c r="D727" s="400" t="str">
        <f t="shared" si="5"/>
        <v>OUT</v>
      </c>
      <c r="E727" s="403" t="str">
        <f t="array" ref="E727">INDIRECT("Tableau!$L$160")</f>
        <v/>
      </c>
    </row>
    <row r="728">
      <c r="A728" s="402">
        <f t="array" ref="A728">INDIRECT("Tableau!$A$161")</f>
        <v>508</v>
      </c>
      <c r="B728" s="398" t="s">
        <v>461</v>
      </c>
      <c r="C728" s="400" t="str">
        <f t="array" ref="C728">INDIRECT("Tableau!$K$161")</f>
        <v>DPS</v>
      </c>
      <c r="D728" s="400" t="str">
        <f t="shared" si="5"/>
        <v>OUT</v>
      </c>
      <c r="E728" s="403" t="str">
        <f t="array" ref="E728">INDIRECT("Tableau!$L$161")</f>
        <v/>
      </c>
    </row>
    <row r="729">
      <c r="A729" s="402">
        <f t="array" ref="A729">INDIRECT("Tableau!$A$162")</f>
        <v>509</v>
      </c>
      <c r="B729" s="398" t="s">
        <v>461</v>
      </c>
      <c r="C729" s="400" t="str">
        <f t="array" ref="C729">INDIRECT("Tableau!$K$162")</f>
        <v/>
      </c>
      <c r="D729" s="400" t="str">
        <f t="shared" si="5"/>
        <v>OUT</v>
      </c>
      <c r="E729" s="403" t="str">
        <f t="array" ref="E729">INDIRECT("Tableau!$L$162")</f>
        <v/>
      </c>
    </row>
    <row r="730">
      <c r="A730" s="397">
        <f t="array" ref="A730">INDIRECT("Tableau!$A$163")</f>
        <v>510</v>
      </c>
      <c r="B730" s="398" t="s">
        <v>461</v>
      </c>
      <c r="C730" s="400" t="str">
        <f t="array" ref="C730">INDIRECT("Tableau!$K$163")</f>
        <v/>
      </c>
      <c r="D730" s="400" t="str">
        <f t="shared" si="5"/>
        <v>OUT</v>
      </c>
      <c r="E730" s="403" t="str">
        <f t="array" ref="E730">INDIRECT("Tableau!$L$163")</f>
        <v/>
      </c>
    </row>
    <row r="731">
      <c r="A731" s="397" t="str">
        <f t="array" ref="A731">INDIRECT("Tableau!$A$164")</f>
        <v/>
      </c>
      <c r="B731" s="398" t="s">
        <v>461</v>
      </c>
      <c r="C731" s="400" t="str">
        <f t="array" ref="C731">INDIRECT("Tableau!$K$164")</f>
        <v/>
      </c>
      <c r="D731" s="400" t="str">
        <f t="shared" si="5"/>
        <v>OUT</v>
      </c>
      <c r="E731" s="403" t="str">
        <f t="array" ref="E731">INDIRECT("Tableau!$L$164")</f>
        <v/>
      </c>
    </row>
    <row r="732">
      <c r="A732" s="397" t="str">
        <f t="array" ref="A732">INDIRECT("Tableau!$A$165")</f>
        <v/>
      </c>
      <c r="B732" s="398" t="s">
        <v>461</v>
      </c>
      <c r="C732" s="400" t="str">
        <f t="array" ref="C732">INDIRECT("Tableau!$K$165")</f>
        <v/>
      </c>
      <c r="D732" s="400" t="str">
        <f t="shared" si="5"/>
        <v>OUT</v>
      </c>
      <c r="E732" s="403" t="str">
        <f t="array" ref="E732">INDIRECT("Tableau!$L$165")</f>
        <v/>
      </c>
    </row>
    <row r="733">
      <c r="A733" s="402">
        <f t="array" ref="A733">INDIRECT("Tableau!$A$166")</f>
        <v>527</v>
      </c>
      <c r="B733" s="398" t="s">
        <v>461</v>
      </c>
      <c r="C733" s="400" t="str">
        <f t="array" ref="C733">INDIRECT("Tableau!$K$166")</f>
        <v/>
      </c>
      <c r="D733" s="400" t="str">
        <f t="shared" si="5"/>
        <v>OUT</v>
      </c>
      <c r="E733" s="403" t="str">
        <f t="array" ref="E733">INDIRECT("Tableau!$L$166")</f>
        <v/>
      </c>
    </row>
    <row r="734">
      <c r="A734" s="402">
        <f t="array" ref="A734">INDIRECT("Tableau!$A$167")</f>
        <v>512</v>
      </c>
      <c r="B734" s="398" t="s">
        <v>461</v>
      </c>
      <c r="C734" s="400" t="str">
        <f t="array" ref="C734">INDIRECT("Tableau!$K$167")</f>
        <v/>
      </c>
      <c r="D734" s="400" t="str">
        <f t="shared" si="5"/>
        <v>OUT</v>
      </c>
      <c r="E734" s="403" t="str">
        <f t="array" ref="E734">INDIRECT("Tableau!$L$167")</f>
        <v/>
      </c>
    </row>
    <row r="735">
      <c r="A735" s="402">
        <f t="array" ref="A735">INDIRECT("Tableau!$A$168")</f>
        <v>513</v>
      </c>
      <c r="B735" s="398" t="s">
        <v>461</v>
      </c>
      <c r="C735" s="400" t="str">
        <f t="array" ref="C735">INDIRECT("Tableau!$K$168")</f>
        <v/>
      </c>
      <c r="D735" s="400" t="str">
        <f t="shared" si="5"/>
        <v>OUT</v>
      </c>
      <c r="E735" s="403" t="str">
        <f t="array" ref="E735">INDIRECT("Tableau!$L$168")</f>
        <v/>
      </c>
    </row>
    <row r="736">
      <c r="A736" s="402">
        <f t="array" ref="A736">INDIRECT("Tableau!$A$169")</f>
        <v>514</v>
      </c>
      <c r="B736" s="398" t="s">
        <v>461</v>
      </c>
      <c r="C736" s="400" t="str">
        <f t="array" ref="C736">INDIRECT("Tableau!$K$169")</f>
        <v/>
      </c>
      <c r="D736" s="400" t="str">
        <f t="shared" si="5"/>
        <v>OUT</v>
      </c>
      <c r="E736" s="403" t="str">
        <f t="array" ref="E736">INDIRECT("Tableau!$L$169")</f>
        <v/>
      </c>
    </row>
    <row r="737">
      <c r="A737" s="402">
        <f t="array" ref="A737">INDIRECT("Tableau!$A$170")</f>
        <v>515</v>
      </c>
      <c r="B737" s="398" t="s">
        <v>461</v>
      </c>
      <c r="C737" s="400" t="str">
        <f t="array" ref="C737">INDIRECT("Tableau!$K$170")</f>
        <v/>
      </c>
      <c r="D737" s="400" t="str">
        <f t="shared" si="5"/>
        <v>OUT</v>
      </c>
      <c r="E737" s="403" t="str">
        <f t="array" ref="E737">INDIRECT("Tableau!$L$170")</f>
        <v/>
      </c>
    </row>
    <row r="738">
      <c r="A738" s="402">
        <f t="array" ref="A738">INDIRECT("Tableau!$A$171")</f>
        <v>517</v>
      </c>
      <c r="B738" s="398" t="s">
        <v>461</v>
      </c>
      <c r="C738" s="400" t="str">
        <f t="array" ref="C738">INDIRECT("Tableau!$K$171")</f>
        <v/>
      </c>
      <c r="D738" s="400" t="str">
        <f t="shared" si="5"/>
        <v>OUT</v>
      </c>
      <c r="E738" s="403" t="str">
        <f t="array" ref="E738">INDIRECT("Tableau!$L$171")</f>
        <v/>
      </c>
    </row>
    <row r="739">
      <c r="A739" s="402">
        <f t="array" ref="A739">INDIRECT("Tableau!$A$172")</f>
        <v>518</v>
      </c>
      <c r="B739" s="398" t="s">
        <v>461</v>
      </c>
      <c r="C739" s="400" t="str">
        <f t="array" ref="C739">INDIRECT("Tableau!$K$172")</f>
        <v/>
      </c>
      <c r="D739" s="400" t="str">
        <f t="shared" si="5"/>
        <v>OUT</v>
      </c>
      <c r="E739" s="403" t="str">
        <f t="array" ref="E739">INDIRECT("Tableau!$L$172")</f>
        <v/>
      </c>
    </row>
    <row r="740">
      <c r="A740" s="397" t="str">
        <f t="array" ref="A740">INDIRECT("Tableau!$A$173")</f>
        <v/>
      </c>
      <c r="B740" s="398" t="s">
        <v>461</v>
      </c>
      <c r="C740" s="400" t="str">
        <f t="array" ref="C740">INDIRECT("Tableau!$K$173")</f>
        <v/>
      </c>
      <c r="D740" s="400" t="str">
        <f t="shared" si="5"/>
        <v>OUT</v>
      </c>
      <c r="E740" s="403" t="str">
        <f t="array" ref="E740">INDIRECT("Tableau!$L$173")</f>
        <v/>
      </c>
    </row>
    <row r="741">
      <c r="A741" s="402">
        <f t="array" ref="A741">INDIRECT("Tableau!$A$174")</f>
        <v>520</v>
      </c>
      <c r="B741" s="398" t="s">
        <v>461</v>
      </c>
      <c r="C741" s="400" t="str">
        <f t="array" ref="C741">INDIRECT("Tableau!$K$174")</f>
        <v/>
      </c>
      <c r="D741" s="400" t="str">
        <f t="shared" si="5"/>
        <v>OUT</v>
      </c>
      <c r="E741" s="403" t="str">
        <f t="array" ref="E741">INDIRECT("Tableau!$L$174")</f>
        <v/>
      </c>
    </row>
    <row r="742">
      <c r="A742" s="402">
        <f t="array" ref="A742">INDIRECT("Tableau!$A$175")</f>
        <v>521</v>
      </c>
      <c r="B742" s="398" t="s">
        <v>461</v>
      </c>
      <c r="C742" s="400" t="str">
        <f t="array" ref="C742">INDIRECT("Tableau!$K$175")</f>
        <v/>
      </c>
      <c r="D742" s="400" t="str">
        <f t="shared" si="5"/>
        <v>OUT</v>
      </c>
      <c r="E742" s="403" t="str">
        <f t="array" ref="E742">INDIRECT("Tableau!$L$175")</f>
        <v/>
      </c>
    </row>
    <row r="743">
      <c r="A743" s="402">
        <f t="array" ref="A743">INDIRECT("Tableau!$A$176")</f>
        <v>525</v>
      </c>
      <c r="B743" s="398" t="s">
        <v>461</v>
      </c>
      <c r="C743" s="400" t="str">
        <f t="array" ref="C743">INDIRECT("Tableau!$K$176")</f>
        <v/>
      </c>
      <c r="D743" s="400" t="str">
        <f t="shared" si="5"/>
        <v>OUT</v>
      </c>
      <c r="E743" s="403" t="str">
        <f t="array" ref="E743">INDIRECT("Tableau!$L$176")</f>
        <v/>
      </c>
    </row>
    <row r="744">
      <c r="A744" s="402">
        <f t="array" ref="A744">INDIRECT("Tableau!$A$177")</f>
        <v>530</v>
      </c>
      <c r="B744" s="398" t="s">
        <v>461</v>
      </c>
      <c r="C744" s="400" t="str">
        <f t="array" ref="C744">INDIRECT("Tableau!$K$177")</f>
        <v/>
      </c>
      <c r="D744" s="400" t="str">
        <f t="shared" si="5"/>
        <v>OUT</v>
      </c>
      <c r="E744" s="403" t="str">
        <f t="array" ref="E744">INDIRECT("Tableau!$L$177")</f>
        <v/>
      </c>
    </row>
    <row r="745">
      <c r="A745" s="397" t="str">
        <f t="array" ref="A745">INDIRECT("Tableau!$A$178")</f>
        <v/>
      </c>
      <c r="B745" s="398" t="s">
        <v>461</v>
      </c>
      <c r="C745" s="400" t="str">
        <f t="array" ref="C745">INDIRECT("Tableau!$K$178")</f>
        <v/>
      </c>
      <c r="D745" s="400" t="str">
        <f t="shared" si="5"/>
        <v>OUT</v>
      </c>
      <c r="E745" s="403" t="str">
        <f t="array" ref="E745">INDIRECT("Tableau!$L$178")</f>
        <v/>
      </c>
    </row>
    <row r="746">
      <c r="A746" s="397" t="str">
        <f t="array" ref="A746">INDIRECT("Tableau!$A$179")</f>
        <v/>
      </c>
      <c r="B746" s="398" t="s">
        <v>461</v>
      </c>
      <c r="C746" s="400" t="str">
        <f t="array" ref="C746">INDIRECT("Tableau!$K$179")</f>
        <v/>
      </c>
      <c r="D746" s="400" t="str">
        <f t="shared" si="5"/>
        <v>OUT</v>
      </c>
      <c r="E746" s="403" t="str">
        <f t="array" ref="E746">INDIRECT("Tableau!$L$179")</f>
        <v/>
      </c>
    </row>
    <row r="747">
      <c r="A747" s="397" t="str">
        <f t="array" ref="A747">INDIRECT("Tableau!$A$180")</f>
        <v/>
      </c>
      <c r="B747" s="398" t="s">
        <v>461</v>
      </c>
      <c r="C747" s="400" t="str">
        <f t="array" ref="C747">INDIRECT("Tableau!$K$180")</f>
        <v/>
      </c>
      <c r="D747" s="400" t="str">
        <f t="shared" si="5"/>
        <v>OUT</v>
      </c>
      <c r="E747" s="403" t="str">
        <f t="array" ref="E747">INDIRECT("Tableau!$L$180")</f>
        <v/>
      </c>
    </row>
    <row r="748">
      <c r="A748" s="397" t="str">
        <f t="array" ref="A748">INDIRECT("Tableau!$A$181")</f>
        <v/>
      </c>
      <c r="B748" s="398" t="s">
        <v>461</v>
      </c>
      <c r="C748" s="400" t="str">
        <f t="array" ref="C748">INDIRECT("Tableau!$K$181")</f>
        <v/>
      </c>
      <c r="D748" s="400" t="str">
        <f t="shared" si="5"/>
        <v>OUT</v>
      </c>
      <c r="E748" s="403" t="str">
        <f t="array" ref="E748">INDIRECT("Tableau!$L$181")</f>
        <v/>
      </c>
    </row>
    <row r="749">
      <c r="A749" s="397" t="str">
        <f t="array" ref="A749">INDIRECT("Tableau!$A$182")</f>
        <v/>
      </c>
      <c r="B749" s="398" t="s">
        <v>461</v>
      </c>
      <c r="C749" s="400" t="str">
        <f t="array" ref="C749">INDIRECT("Tableau!$K$182")</f>
        <v/>
      </c>
      <c r="D749" s="400" t="str">
        <f t="shared" si="5"/>
        <v>OUT</v>
      </c>
      <c r="E749" s="403" t="str">
        <f t="array" ref="E749">INDIRECT("Tableau!$L$182")</f>
        <v/>
      </c>
    </row>
    <row r="750">
      <c r="A750" s="397" t="str">
        <f t="array" ref="A750">INDIRECT("Tableau!$A$183")</f>
        <v/>
      </c>
      <c r="B750" s="398" t="s">
        <v>461</v>
      </c>
      <c r="C750" s="400" t="str">
        <f t="array" ref="C750">INDIRECT("Tableau!$K$183")</f>
        <v/>
      </c>
      <c r="D750" s="400" t="str">
        <f t="shared" si="5"/>
        <v>OUT</v>
      </c>
      <c r="E750" s="403" t="str">
        <f t="array" ref="E750">INDIRECT("Tableau!$L$183")</f>
        <v/>
      </c>
    </row>
    <row r="751">
      <c r="A751" s="397" t="str">
        <f t="array" ref="A751">INDIRECT("Tableau!$A$184")</f>
        <v/>
      </c>
      <c r="B751" s="398" t="s">
        <v>461</v>
      </c>
      <c r="C751" s="400" t="str">
        <f t="array" ref="C751">INDIRECT("Tableau!$K$184")</f>
        <v/>
      </c>
      <c r="D751" s="400" t="str">
        <f t="shared" si="5"/>
        <v>OUT</v>
      </c>
      <c r="E751" s="403" t="str">
        <f t="array" ref="E751">INDIRECT("Tableau!$L$184")</f>
        <v/>
      </c>
    </row>
    <row r="752">
      <c r="A752" s="397" t="str">
        <f t="array" ref="A752">INDIRECT("Tableau!$A$185")</f>
        <v/>
      </c>
      <c r="B752" s="398" t="s">
        <v>461</v>
      </c>
      <c r="C752" s="400" t="str">
        <f t="array" ref="C752">INDIRECT("Tableau!$K$185")</f>
        <v/>
      </c>
      <c r="D752" s="400" t="str">
        <f t="shared" si="5"/>
        <v>OUT</v>
      </c>
      <c r="E752" s="403" t="str">
        <f t="array" ref="E752">INDIRECT("Tableau!$L$185")</f>
        <v/>
      </c>
    </row>
    <row r="753">
      <c r="A753" s="397" t="str">
        <f t="array" ref="A753">INDIRECT("Tableau!$A$186")</f>
        <v/>
      </c>
      <c r="B753" s="398" t="s">
        <v>461</v>
      </c>
      <c r="C753" s="400" t="str">
        <f t="array" ref="C753">INDIRECT("Tableau!$K$186")</f>
        <v/>
      </c>
      <c r="D753" s="400" t="str">
        <f t="shared" si="5"/>
        <v>OUT</v>
      </c>
      <c r="E753" s="403" t="str">
        <f t="array" ref="E753">INDIRECT("Tableau!$L$186")</f>
        <v/>
      </c>
    </row>
    <row r="754">
      <c r="A754" s="397" t="str">
        <f t="array" ref="A754">INDIRECT("Tableau!$A$187")</f>
        <v/>
      </c>
      <c r="B754" s="398" t="s">
        <v>461</v>
      </c>
      <c r="C754" s="400" t="str">
        <f t="array" ref="C754">INDIRECT("Tableau!$K$187")</f>
        <v/>
      </c>
      <c r="D754" s="400" t="str">
        <f t="shared" si="5"/>
        <v>OUT</v>
      </c>
      <c r="E754" s="403" t="str">
        <f t="array" ref="E754">INDIRECT("Tableau!$L$187")</f>
        <v/>
      </c>
    </row>
    <row r="755">
      <c r="A755" s="397" t="str">
        <f t="array" ref="A755">INDIRECT("Tableau!$A$188")</f>
        <v/>
      </c>
      <c r="B755" s="398" t="s">
        <v>461</v>
      </c>
      <c r="C755" s="400" t="str">
        <f t="array" ref="C755">INDIRECT("Tableau!$K$188")</f>
        <v/>
      </c>
      <c r="D755" s="400" t="str">
        <f t="shared" si="5"/>
        <v>OUT</v>
      </c>
      <c r="E755" s="403" t="str">
        <f t="array" ref="E755">INDIRECT("Tableau!$L$188")</f>
        <v/>
      </c>
    </row>
    <row r="756">
      <c r="A756" s="397" t="str">
        <f t="array" ref="A756">INDIRECT("Tableau!$A$189")</f>
        <v/>
      </c>
      <c r="B756" s="398" t="s">
        <v>461</v>
      </c>
      <c r="C756" s="400" t="str">
        <f t="array" ref="C756">INDIRECT("Tableau!$K$189")</f>
        <v/>
      </c>
      <c r="D756" s="400" t="str">
        <f t="shared" si="5"/>
        <v>OUT</v>
      </c>
      <c r="E756" s="403" t="str">
        <f t="array" ref="E756">INDIRECT("Tableau!$L$189")</f>
        <v/>
      </c>
    </row>
    <row r="757">
      <c r="A757" s="397" t="str">
        <f t="array" ref="A757">INDIRECT("Tableau!$A$190")</f>
        <v/>
      </c>
      <c r="B757" s="398" t="s">
        <v>461</v>
      </c>
      <c r="C757" s="400" t="str">
        <f t="array" ref="C757">INDIRECT("Tableau!$K$190")</f>
        <v/>
      </c>
      <c r="D757" s="400" t="str">
        <f t="shared" si="5"/>
        <v>OUT</v>
      </c>
      <c r="E757" s="403" t="str">
        <f t="array" ref="E757">INDIRECT("Tableau!$L$190")</f>
        <v/>
      </c>
    </row>
    <row r="758">
      <c r="A758" s="397" t="str">
        <f t="array" ref="A758">INDIRECT("Tableau!$A$2")</f>
        <v/>
      </c>
      <c r="B758" s="398" t="s">
        <v>466</v>
      </c>
      <c r="C758" s="400" t="str">
        <f t="array" ref="C758">INDIRECT("Tableau!$M$2")</f>
        <v/>
      </c>
      <c r="D758" s="400" t="str">
        <f t="shared" ref="D758:D946" si="6">INDIRECT("Tableau!$N$1")</f>
        <v>IN</v>
      </c>
      <c r="E758" s="403" t="str">
        <f t="array" ref="E758">INDIRECT("Tableau!$N$2")</f>
        <v/>
      </c>
    </row>
    <row r="759">
      <c r="A759" s="402">
        <f t="array" ref="A759">INDIRECT("Tableau!$A$3")</f>
        <v>102</v>
      </c>
      <c r="B759" s="398" t="s">
        <v>466</v>
      </c>
      <c r="C759" s="400" t="str">
        <f t="array" ref="C759">INDIRECT("Tableau!$M$3")</f>
        <v/>
      </c>
      <c r="D759" s="400" t="str">
        <f t="shared" si="6"/>
        <v>IN</v>
      </c>
      <c r="E759" s="403" t="str">
        <f t="array" ref="E759">INDIRECT("Tableau!$N$3")</f>
        <v/>
      </c>
    </row>
    <row r="760">
      <c r="A760" s="397" t="str">
        <f t="array" ref="A760">INDIRECT("Tableau!$A$4")</f>
        <v/>
      </c>
      <c r="B760" s="398" t="s">
        <v>466</v>
      </c>
      <c r="C760" s="400" t="str">
        <f t="array" ref="C760">INDIRECT("Tableau!$M$4")</f>
        <v/>
      </c>
      <c r="D760" s="400" t="str">
        <f t="shared" si="6"/>
        <v>IN</v>
      </c>
      <c r="E760" s="403" t="str">
        <f t="array" ref="E760">INDIRECT("Tableau!$N$4")</f>
        <v/>
      </c>
    </row>
    <row r="761">
      <c r="A761" s="402">
        <f t="array" ref="A761">INDIRECT("Tableau!$A$5")</f>
        <v>104</v>
      </c>
      <c r="B761" s="398" t="s">
        <v>466</v>
      </c>
      <c r="C761" s="400" t="str">
        <f t="array" ref="C761">INDIRECT("Tableau!$M$5")</f>
        <v>Schmidt cuisines- Wavre </v>
      </c>
      <c r="D761" s="400" t="str">
        <f t="shared" si="6"/>
        <v>IN</v>
      </c>
      <c r="E761" s="403" t="str">
        <f t="array" ref="E761">INDIRECT("Tableau!$N$5")</f>
        <v/>
      </c>
    </row>
    <row r="762">
      <c r="A762" s="402">
        <f t="array" ref="A762">INDIRECT("Tableau!$A$6")</f>
        <v>105</v>
      </c>
      <c r="B762" s="398" t="s">
        <v>466</v>
      </c>
      <c r="C762" s="400" t="str">
        <f t="array" ref="C762">INDIRECT("Tableau!$M$6")</f>
        <v/>
      </c>
      <c r="D762" s="400" t="str">
        <f t="shared" si="6"/>
        <v>IN</v>
      </c>
      <c r="E762" s="403" t="str">
        <f t="array" ref="E762">INDIRECT("Tableau!$N$6")</f>
        <v/>
      </c>
    </row>
    <row r="763">
      <c r="A763" s="402">
        <f t="array" ref="A763">INDIRECT("Tableau!$A$7")</f>
        <v>106</v>
      </c>
      <c r="B763" s="398" t="s">
        <v>466</v>
      </c>
      <c r="C763" s="400" t="str">
        <f t="array" ref="C763">INDIRECT("Tableau!$M$7")</f>
        <v>Schmidt cuisines- Wavre </v>
      </c>
      <c r="D763" s="400" t="str">
        <f t="shared" si="6"/>
        <v>IN</v>
      </c>
      <c r="E763" s="403" t="str">
        <f t="array" ref="E763">INDIRECT("Tableau!$N$7")</f>
        <v/>
      </c>
    </row>
    <row r="764">
      <c r="A764" s="402">
        <f t="array" ref="A764">INDIRECT("Tableau!$A$8")</f>
        <v>107</v>
      </c>
      <c r="B764" s="398" t="s">
        <v>466</v>
      </c>
      <c r="C764" s="400" t="str">
        <f t="array" ref="C764">INDIRECT("Tableau!$M$8")</f>
        <v>Schmidt cuisines- Wavre </v>
      </c>
      <c r="D764" s="400" t="str">
        <f t="shared" si="6"/>
        <v>IN</v>
      </c>
      <c r="E764" s="403" t="str">
        <f t="array" ref="E764">INDIRECT("Tableau!$N$8")</f>
        <v/>
      </c>
    </row>
    <row r="765">
      <c r="A765" s="397">
        <f t="array" ref="A765">INDIRECT("Tableau!$A$9")</f>
        <v>108</v>
      </c>
      <c r="B765" s="398" t="s">
        <v>466</v>
      </c>
      <c r="C765" s="400" t="str">
        <f t="array" ref="C765">INDIRECT("Tableau!$M$9")</f>
        <v>Schmidt cuisines- Wavre </v>
      </c>
      <c r="D765" s="400" t="str">
        <f t="shared" si="6"/>
        <v>IN</v>
      </c>
      <c r="E765" s="403" t="str">
        <f t="array" ref="E765">INDIRECT("Tableau!$N$9")</f>
        <v/>
      </c>
    </row>
    <row r="766">
      <c r="A766" s="402">
        <f t="array" ref="A766">INDIRECT("Tableau!$A$10")</f>
        <v>109</v>
      </c>
      <c r="B766" s="398" t="s">
        <v>466</v>
      </c>
      <c r="C766" s="400" t="str">
        <f t="array" ref="C766">INDIRECT("Tableau!$M$10")</f>
        <v/>
      </c>
      <c r="D766" s="400" t="str">
        <f t="shared" si="6"/>
        <v>IN</v>
      </c>
      <c r="E766" s="403" t="str">
        <f t="array" ref="E766">INDIRECT("Tableau!$N$10")</f>
        <v/>
      </c>
    </row>
    <row r="767">
      <c r="A767" s="402">
        <f t="array" ref="A767">INDIRECT("Tableau!$A$11")</f>
        <v>110</v>
      </c>
      <c r="B767" s="398" t="s">
        <v>466</v>
      </c>
      <c r="C767" s="400" t="str">
        <f t="array" ref="C767">INDIRECT("Tableau!$M$11")</f>
        <v/>
      </c>
      <c r="D767" s="400" t="str">
        <f t="shared" si="6"/>
        <v>IN</v>
      </c>
      <c r="E767" s="403" t="str">
        <f t="array" ref="E767">INDIRECT("Tableau!$N$11")</f>
        <v/>
      </c>
    </row>
    <row r="768">
      <c r="A768" s="402">
        <f t="array" ref="A768">INDIRECT("Tableau!$A$12")</f>
        <v>111</v>
      </c>
      <c r="B768" s="398" t="s">
        <v>466</v>
      </c>
      <c r="C768" s="400" t="str">
        <f t="array" ref="C768">INDIRECT("Tableau!$M$12")</f>
        <v>Schmidt cuisines- Wavre </v>
      </c>
      <c r="D768" s="400" t="str">
        <f t="shared" si="6"/>
        <v>IN</v>
      </c>
      <c r="E768" s="403" t="str">
        <f t="array" ref="E768">INDIRECT("Tableau!$N$12")</f>
        <v/>
      </c>
    </row>
    <row r="769">
      <c r="A769" s="402">
        <f t="array" ref="A769">INDIRECT("Tableau!$A$13")</f>
        <v>112</v>
      </c>
      <c r="B769" s="398" t="s">
        <v>466</v>
      </c>
      <c r="C769" s="400" t="str">
        <f t="array" ref="C769">INDIRECT("Tableau!$M$13")</f>
        <v/>
      </c>
      <c r="D769" s="400" t="str">
        <f t="shared" si="6"/>
        <v>IN</v>
      </c>
      <c r="E769" s="403" t="str">
        <f t="array" ref="E769">INDIRECT("Tableau!$N$13")</f>
        <v/>
      </c>
    </row>
    <row r="770">
      <c r="A770" s="402">
        <f t="array" ref="A770">INDIRECT("Tableau!$A$14")</f>
        <v>113</v>
      </c>
      <c r="B770" s="398" t="s">
        <v>466</v>
      </c>
      <c r="C770" s="400" t="str">
        <f t="array" ref="C770">INDIRECT("Tableau!$M$14")</f>
        <v/>
      </c>
      <c r="D770" s="400" t="str">
        <f t="shared" si="6"/>
        <v>IN</v>
      </c>
      <c r="E770" s="403" t="str">
        <f t="array" ref="E770">INDIRECT("Tableau!$N$14")</f>
        <v/>
      </c>
    </row>
    <row r="771">
      <c r="A771" s="397">
        <f t="array" ref="A771">INDIRECT("Tableau!$A$15")</f>
        <v>114</v>
      </c>
      <c r="B771" s="398" t="s">
        <v>466</v>
      </c>
      <c r="C771" s="400" t="str">
        <f t="array" ref="C771">INDIRECT("Tableau!$M$15")</f>
        <v/>
      </c>
      <c r="D771" s="400" t="str">
        <f t="shared" si="6"/>
        <v>IN</v>
      </c>
      <c r="E771" s="403" t="str">
        <f t="array" ref="E771">INDIRECT("Tableau!$N$15")</f>
        <v/>
      </c>
    </row>
    <row r="772">
      <c r="A772" s="397" t="str">
        <f t="array" ref="A772">INDIRECT("Tableau!$A$16")</f>
        <v/>
      </c>
      <c r="B772" s="398" t="s">
        <v>466</v>
      </c>
      <c r="C772" s="400" t="str">
        <f t="array" ref="C772">INDIRECT("Tableau!$M$16")</f>
        <v/>
      </c>
      <c r="D772" s="400" t="str">
        <f t="shared" si="6"/>
        <v>IN</v>
      </c>
      <c r="E772" s="403" t="str">
        <f t="array" ref="E772">INDIRECT("Tableau!$N$16")</f>
        <v/>
      </c>
    </row>
    <row r="773">
      <c r="A773" s="397" t="str">
        <f t="array" ref="A773">INDIRECT("Tableau!$A$17")</f>
        <v/>
      </c>
      <c r="B773" s="398" t="s">
        <v>466</v>
      </c>
      <c r="C773" s="400" t="str">
        <f t="array" ref="C773">INDIRECT("Tableau!$M$17")</f>
        <v/>
      </c>
      <c r="D773" s="400" t="str">
        <f t="shared" si="6"/>
        <v>IN</v>
      </c>
      <c r="E773" s="403" t="str">
        <f t="array" ref="E773">INDIRECT("Tableau!$N$17")</f>
        <v/>
      </c>
    </row>
    <row r="774">
      <c r="A774" s="397" t="str">
        <f t="array" ref="A774">INDIRECT("Tableau!$A$18")</f>
        <v/>
      </c>
      <c r="B774" s="398" t="s">
        <v>466</v>
      </c>
      <c r="C774" s="400" t="str">
        <f t="array" ref="C774">INDIRECT("Tableau!$M$18")</f>
        <v/>
      </c>
      <c r="D774" s="400" t="str">
        <f t="shared" si="6"/>
        <v>IN</v>
      </c>
      <c r="E774" s="403" t="str">
        <f t="array" ref="E774">INDIRECT("Tableau!$N$18")</f>
        <v/>
      </c>
    </row>
    <row r="775">
      <c r="A775" s="397" t="str">
        <f t="array" ref="A775">INDIRECT("Tableau!$A$19")</f>
        <v/>
      </c>
      <c r="B775" s="398" t="s">
        <v>466</v>
      </c>
      <c r="C775" s="400" t="str">
        <f t="array" ref="C775">INDIRECT("Tableau!$M$19")</f>
        <v/>
      </c>
      <c r="D775" s="400" t="str">
        <f t="shared" si="6"/>
        <v>IN</v>
      </c>
      <c r="E775" s="403" t="str">
        <f t="array" ref="E775">INDIRECT("Tableau!$N$19")</f>
        <v/>
      </c>
    </row>
    <row r="776">
      <c r="A776" s="397" t="str">
        <f t="array" ref="A776">INDIRECT("Tableau!$A$20")</f>
        <v/>
      </c>
      <c r="B776" s="398" t="s">
        <v>466</v>
      </c>
      <c r="C776" s="400" t="str">
        <f t="array" ref="C776">INDIRECT("Tableau!$M$20")</f>
        <v/>
      </c>
      <c r="D776" s="400" t="str">
        <f t="shared" si="6"/>
        <v>IN</v>
      </c>
      <c r="E776" s="403" t="str">
        <f t="array" ref="E776">INDIRECT("Tableau!$N$20")</f>
        <v/>
      </c>
    </row>
    <row r="777">
      <c r="A777" s="397" t="str">
        <f t="array" ref="A777">INDIRECT("Tableau!$A$21")</f>
        <v/>
      </c>
      <c r="B777" s="398" t="s">
        <v>466</v>
      </c>
      <c r="C777" s="400" t="str">
        <f t="array" ref="C777">INDIRECT("Tableau!$M$21")</f>
        <v/>
      </c>
      <c r="D777" s="400" t="str">
        <f t="shared" si="6"/>
        <v>IN</v>
      </c>
      <c r="E777" s="403" t="str">
        <f t="array" ref="E777">INDIRECT("Tableau!$N$21")</f>
        <v/>
      </c>
    </row>
    <row r="778">
      <c r="A778" s="397" t="str">
        <f t="array" ref="A778">INDIRECT("Tableau!$A$22")</f>
        <v/>
      </c>
      <c r="B778" s="398" t="s">
        <v>466</v>
      </c>
      <c r="C778" s="400" t="str">
        <f t="array" ref="C778">INDIRECT("Tableau!$M$22")</f>
        <v/>
      </c>
      <c r="D778" s="400" t="str">
        <f t="shared" si="6"/>
        <v>IN</v>
      </c>
      <c r="E778" s="403" t="str">
        <f t="array" ref="E778">INDIRECT("Tableau!$N$22")</f>
        <v/>
      </c>
    </row>
    <row r="779">
      <c r="A779" s="397" t="str">
        <f t="array" ref="A779">INDIRECT("Tableau!$A$23")</f>
        <v/>
      </c>
      <c r="B779" s="398" t="s">
        <v>466</v>
      </c>
      <c r="C779" s="400" t="str">
        <f t="array" ref="C779">INDIRECT("Tableau!$M$23")</f>
        <v/>
      </c>
      <c r="D779" s="400" t="str">
        <f t="shared" si="6"/>
        <v>IN</v>
      </c>
      <c r="E779" s="403" t="str">
        <f t="array" ref="E779">INDIRECT("Tableau!$N$23")</f>
        <v/>
      </c>
    </row>
    <row r="780">
      <c r="A780" s="397" t="str">
        <f t="array" ref="A780">INDIRECT("Tableau!$A$24")</f>
        <v/>
      </c>
      <c r="B780" s="398" t="s">
        <v>466</v>
      </c>
      <c r="C780" s="400" t="str">
        <f t="array" ref="C780">INDIRECT("Tableau!$M$24")</f>
        <v/>
      </c>
      <c r="D780" s="400" t="str">
        <f t="shared" si="6"/>
        <v>IN</v>
      </c>
      <c r="E780" s="403" t="str">
        <f t="array" ref="E780">INDIRECT("Tableau!$N$24")</f>
        <v/>
      </c>
    </row>
    <row r="781">
      <c r="A781" s="397" t="str">
        <f t="array" ref="A781">INDIRECT("Tableau!$A$25")</f>
        <v/>
      </c>
      <c r="B781" s="398" t="s">
        <v>466</v>
      </c>
      <c r="C781" s="400" t="str">
        <f t="array" ref="C781">INDIRECT("Tableau!$M$25")</f>
        <v/>
      </c>
      <c r="D781" s="400" t="str">
        <f t="shared" si="6"/>
        <v>IN</v>
      </c>
      <c r="E781" s="403" t="str">
        <f t="array" ref="E781">INDIRECT("Tableau!$N$25")</f>
        <v/>
      </c>
    </row>
    <row r="782">
      <c r="A782" s="402">
        <f t="array" ref="A782">INDIRECT("Tableau!$A$26")</f>
        <v>201</v>
      </c>
      <c r="B782" s="398" t="s">
        <v>466</v>
      </c>
      <c r="C782" s="400" t="str">
        <f t="array" ref="C782">INDIRECT("Tableau!$M$26")</f>
        <v/>
      </c>
      <c r="D782" s="400" t="str">
        <f t="shared" si="6"/>
        <v>IN</v>
      </c>
      <c r="E782" s="403" t="str">
        <f t="array" ref="E782">INDIRECT("Tableau!$N$26")</f>
        <v/>
      </c>
    </row>
    <row r="783">
      <c r="A783" s="402">
        <f t="array" ref="A783">INDIRECT("Tableau!$A$27")</f>
        <v>202</v>
      </c>
      <c r="B783" s="398" t="s">
        <v>466</v>
      </c>
      <c r="C783" s="400" t="str">
        <f t="array" ref="C783">INDIRECT("Tableau!$M$27")</f>
        <v/>
      </c>
      <c r="D783" s="400" t="str">
        <f t="shared" si="6"/>
        <v>IN</v>
      </c>
      <c r="E783" s="403" t="str">
        <f t="array" ref="E783">INDIRECT("Tableau!$N$27")</f>
        <v/>
      </c>
    </row>
    <row r="784">
      <c r="A784" s="402">
        <f t="array" ref="A784">INDIRECT("Tableau!$A$28")</f>
        <v>203</v>
      </c>
      <c r="B784" s="398" t="s">
        <v>466</v>
      </c>
      <c r="C784" s="400" t="str">
        <f t="array" ref="C784">INDIRECT("Tableau!$M$28")</f>
        <v>Carbelle</v>
      </c>
      <c r="D784" s="400" t="str">
        <f t="shared" si="6"/>
        <v>IN</v>
      </c>
      <c r="E784" s="403" t="str">
        <f t="array" ref="E784">INDIRECT("Tableau!$N$28")</f>
        <v/>
      </c>
    </row>
    <row r="785">
      <c r="A785" s="402">
        <f t="array" ref="A785">INDIRECT("Tableau!$A$29")</f>
        <v>204</v>
      </c>
      <c r="B785" s="398" t="s">
        <v>466</v>
      </c>
      <c r="C785" s="400" t="str">
        <f t="array" ref="C785">INDIRECT("Tableau!$M$29")</f>
        <v>Carbelle</v>
      </c>
      <c r="D785" s="400" t="str">
        <f t="shared" si="6"/>
        <v>IN</v>
      </c>
      <c r="E785" s="403" t="str">
        <f t="array" ref="E785">INDIRECT("Tableau!$N$29")</f>
        <v/>
      </c>
    </row>
    <row r="786">
      <c r="A786" s="402">
        <f t="array" ref="A786">INDIRECT("Tableau!$A$30")</f>
        <v>205</v>
      </c>
      <c r="B786" s="398" t="s">
        <v>466</v>
      </c>
      <c r="C786" s="400" t="str">
        <f t="array" ref="C786">INDIRECT("Tableau!$M$30")</f>
        <v>Carbelle</v>
      </c>
      <c r="D786" s="400" t="str">
        <f t="shared" si="6"/>
        <v>IN</v>
      </c>
      <c r="E786" s="403" t="str">
        <f t="array" ref="E786">INDIRECT("Tableau!$N$30")</f>
        <v/>
      </c>
    </row>
    <row r="787">
      <c r="A787" s="402">
        <f t="array" ref="A787">INDIRECT("Tableau!$A$31")</f>
        <v>206</v>
      </c>
      <c r="B787" s="398" t="s">
        <v>466</v>
      </c>
      <c r="C787" s="400" t="str">
        <f t="array" ref="C787">INDIRECT("Tableau!$M$31")</f>
        <v>Carbelle</v>
      </c>
      <c r="D787" s="400" t="str">
        <f t="shared" si="6"/>
        <v>IN</v>
      </c>
      <c r="E787" s="403" t="str">
        <f t="array" ref="E787">INDIRECT("Tableau!$N$31")</f>
        <v/>
      </c>
    </row>
    <row r="788">
      <c r="A788" s="402">
        <f t="array" ref="A788">INDIRECT("Tableau!$A$32")</f>
        <v>207</v>
      </c>
      <c r="B788" s="398" t="s">
        <v>466</v>
      </c>
      <c r="C788" s="400" t="str">
        <f t="array" ref="C788">INDIRECT("Tableau!$M$32")</f>
        <v>Carbelle</v>
      </c>
      <c r="D788" s="400" t="str">
        <f t="shared" si="6"/>
        <v>IN</v>
      </c>
      <c r="E788" s="403" t="str">
        <f t="array" ref="E788">INDIRECT("Tableau!$N$32")</f>
        <v/>
      </c>
    </row>
    <row r="789">
      <c r="A789" s="402">
        <f t="array" ref="A789">INDIRECT("Tableau!$A$33")</f>
        <v>208</v>
      </c>
      <c r="B789" s="398" t="s">
        <v>466</v>
      </c>
      <c r="C789" s="400" t="str">
        <f t="array" ref="C789">INDIRECT("Tableau!$M$33")</f>
        <v>Carbelle</v>
      </c>
      <c r="D789" s="400" t="str">
        <f t="shared" si="6"/>
        <v>IN</v>
      </c>
      <c r="E789" s="403" t="str">
        <f t="array" ref="E789">INDIRECT("Tableau!$N$33")</f>
        <v/>
      </c>
    </row>
    <row r="790">
      <c r="A790" s="402">
        <f t="array" ref="A790">INDIRECT("Tableau!$A$34")</f>
        <v>209</v>
      </c>
      <c r="B790" s="398" t="s">
        <v>466</v>
      </c>
      <c r="C790" s="400" t="str">
        <f t="array" ref="C790">INDIRECT("Tableau!$M$34")</f>
        <v>Carbelle</v>
      </c>
      <c r="D790" s="400" t="str">
        <f t="shared" si="6"/>
        <v>IN</v>
      </c>
      <c r="E790" s="403" t="str">
        <f t="array" ref="E790">INDIRECT("Tableau!$N$34")</f>
        <v/>
      </c>
    </row>
    <row r="791">
      <c r="A791" s="402">
        <f t="array" ref="A791">INDIRECT("Tableau!$A$35")</f>
        <v>210</v>
      </c>
      <c r="B791" s="398" t="s">
        <v>466</v>
      </c>
      <c r="C791" s="400" t="str">
        <f t="array" ref="C791">INDIRECT("Tableau!$M$35")</f>
        <v>Carbelle</v>
      </c>
      <c r="D791" s="400" t="str">
        <f t="shared" si="6"/>
        <v>IN</v>
      </c>
      <c r="E791" s="403" t="str">
        <f t="array" ref="E791">INDIRECT("Tableau!$N$35")</f>
        <v/>
      </c>
    </row>
    <row r="792">
      <c r="A792" s="402">
        <f t="array" ref="A792">INDIRECT("Tableau!$A$36")</f>
        <v>211</v>
      </c>
      <c r="B792" s="398" t="s">
        <v>466</v>
      </c>
      <c r="C792" s="400" t="str">
        <f t="array" ref="C792">INDIRECT("Tableau!$M$36")</f>
        <v>Carbelle</v>
      </c>
      <c r="D792" s="400" t="str">
        <f t="shared" si="6"/>
        <v>IN</v>
      </c>
      <c r="E792" s="403" t="str">
        <f t="array" ref="E792">INDIRECT("Tableau!$N$36")</f>
        <v/>
      </c>
    </row>
    <row r="793">
      <c r="A793" s="402">
        <f t="array" ref="A793">INDIRECT("Tableau!$A$37")</f>
        <v>212</v>
      </c>
      <c r="B793" s="398" t="s">
        <v>466</v>
      </c>
      <c r="C793" s="400" t="str">
        <f t="array" ref="C793">INDIRECT("Tableau!$M$37")</f>
        <v/>
      </c>
      <c r="D793" s="400" t="str">
        <f t="shared" si="6"/>
        <v>IN</v>
      </c>
      <c r="E793" s="403" t="str">
        <f t="array" ref="E793">INDIRECT("Tableau!$N$37")</f>
        <v/>
      </c>
    </row>
    <row r="794">
      <c r="A794" s="402">
        <f t="array" ref="A794">INDIRECT("Tableau!$A$38")</f>
        <v>213</v>
      </c>
      <c r="B794" s="398" t="s">
        <v>466</v>
      </c>
      <c r="C794" s="400" t="str">
        <f t="array" ref="C794">INDIRECT("Tableau!$M$38")</f>
        <v/>
      </c>
      <c r="D794" s="400" t="str">
        <f t="shared" si="6"/>
        <v>IN</v>
      </c>
      <c r="E794" s="403" t="str">
        <f t="array" ref="E794">INDIRECT("Tableau!$N$38")</f>
        <v/>
      </c>
    </row>
    <row r="795">
      <c r="A795" s="402">
        <f t="array" ref="A795">INDIRECT("Tableau!$A$39")</f>
        <v>214</v>
      </c>
      <c r="B795" s="398" t="s">
        <v>466</v>
      </c>
      <c r="C795" s="400" t="str">
        <f t="array" ref="C795">INDIRECT("Tableau!$M$39")</f>
        <v/>
      </c>
      <c r="D795" s="400" t="str">
        <f t="shared" si="6"/>
        <v>IN</v>
      </c>
      <c r="E795" s="403" t="str">
        <f t="array" ref="E795">INDIRECT("Tableau!$N$39")</f>
        <v/>
      </c>
    </row>
    <row r="796">
      <c r="A796" s="402">
        <f t="array" ref="A796">INDIRECT("Tableau!$A$40")</f>
        <v>215</v>
      </c>
      <c r="B796" s="398" t="s">
        <v>466</v>
      </c>
      <c r="C796" s="400" t="str">
        <f t="array" ref="C796">INDIRECT("Tableau!$M$40")</f>
        <v/>
      </c>
      <c r="D796" s="400" t="str">
        <f t="shared" si="6"/>
        <v>IN</v>
      </c>
      <c r="E796" s="403" t="str">
        <f t="array" ref="E796">INDIRECT("Tableau!$N$40")</f>
        <v/>
      </c>
    </row>
    <row r="797">
      <c r="A797" s="402">
        <f t="array" ref="A797">INDIRECT("Tableau!$A$41")</f>
        <v>216</v>
      </c>
      <c r="B797" s="398" t="s">
        <v>466</v>
      </c>
      <c r="C797" s="400" t="str">
        <f t="array" ref="C797">INDIRECT("Tableau!$M$41")</f>
        <v/>
      </c>
      <c r="D797" s="400" t="str">
        <f t="shared" si="6"/>
        <v>IN</v>
      </c>
      <c r="E797" s="403" t="str">
        <f t="array" ref="E797">INDIRECT("Tableau!$N$41")</f>
        <v/>
      </c>
    </row>
    <row r="798">
      <c r="A798" s="402">
        <f t="array" ref="A798">INDIRECT("Tableau!$A$42")</f>
        <v>227</v>
      </c>
      <c r="B798" s="398" t="s">
        <v>466</v>
      </c>
      <c r="C798" s="400" t="str">
        <f t="array" ref="C798">INDIRECT("Tableau!$M$42")</f>
        <v/>
      </c>
      <c r="D798" s="400" t="str">
        <f t="shared" si="6"/>
        <v>IN</v>
      </c>
      <c r="E798" s="403" t="str">
        <f t="array" ref="E798">INDIRECT("Tableau!$N$42")</f>
        <v/>
      </c>
    </row>
    <row r="799">
      <c r="A799" s="402">
        <f t="array" ref="A799">INDIRECT("Tableau!$A$43")</f>
        <v>217</v>
      </c>
      <c r="B799" s="398" t="s">
        <v>466</v>
      </c>
      <c r="C799" s="400" t="str">
        <f t="array" ref="C799">INDIRECT("Tableau!$M$43")</f>
        <v/>
      </c>
      <c r="D799" s="400" t="str">
        <f t="shared" si="6"/>
        <v>IN</v>
      </c>
      <c r="E799" s="403" t="str">
        <f t="array" ref="E799">INDIRECT("Tableau!$N$43")</f>
        <v/>
      </c>
    </row>
    <row r="800">
      <c r="A800" s="402">
        <f t="array" ref="A800">INDIRECT("Tableau!$A$44")</f>
        <v>218</v>
      </c>
      <c r="B800" s="398" t="s">
        <v>466</v>
      </c>
      <c r="C800" s="400" t="str">
        <f t="array" ref="C800">INDIRECT("Tableau!$M$44")</f>
        <v/>
      </c>
      <c r="D800" s="400" t="str">
        <f t="shared" si="6"/>
        <v>IN</v>
      </c>
      <c r="E800" s="403" t="str">
        <f t="array" ref="E800">INDIRECT("Tableau!$N$44")</f>
        <v/>
      </c>
    </row>
    <row r="801">
      <c r="A801" s="397" t="str">
        <f t="array" ref="A801">INDIRECT("Tableau!$A$45")</f>
        <v/>
      </c>
      <c r="B801" s="398" t="s">
        <v>466</v>
      </c>
      <c r="C801" s="400" t="str">
        <f t="array" ref="C801">INDIRECT("Tableau!$M$45")</f>
        <v/>
      </c>
      <c r="D801" s="400" t="str">
        <f t="shared" si="6"/>
        <v>IN</v>
      </c>
      <c r="E801" s="403" t="str">
        <f t="array" ref="E801">INDIRECT("Tableau!$N$45")</f>
        <v/>
      </c>
    </row>
    <row r="802">
      <c r="A802" s="402">
        <f t="array" ref="A802">INDIRECT("Tableau!$A$46")</f>
        <v>220</v>
      </c>
      <c r="B802" s="398" t="s">
        <v>466</v>
      </c>
      <c r="C802" s="400" t="str">
        <f t="array" ref="C802">INDIRECT("Tableau!$M$46")</f>
        <v/>
      </c>
      <c r="D802" s="400" t="str">
        <f t="shared" si="6"/>
        <v>IN</v>
      </c>
      <c r="E802" s="403" t="str">
        <f t="array" ref="E802">INDIRECT("Tableau!$N$46")</f>
        <v/>
      </c>
    </row>
    <row r="803">
      <c r="A803" s="402">
        <f t="array" ref="A803">INDIRECT("Tableau!$A$47")</f>
        <v>221</v>
      </c>
      <c r="B803" s="398" t="s">
        <v>466</v>
      </c>
      <c r="C803" s="400" t="str">
        <f t="array" ref="C803">INDIRECT("Tableau!$M$47")</f>
        <v/>
      </c>
      <c r="D803" s="400" t="str">
        <f t="shared" si="6"/>
        <v>IN</v>
      </c>
      <c r="E803" s="403" t="str">
        <f t="array" ref="E803">INDIRECT("Tableau!$N$47")</f>
        <v/>
      </c>
    </row>
    <row r="804">
      <c r="A804" s="402">
        <f t="array" ref="A804">INDIRECT("Tableau!$A$48")</f>
        <v>226</v>
      </c>
      <c r="B804" s="398" t="s">
        <v>466</v>
      </c>
      <c r="C804" s="400" t="str">
        <f t="array" ref="C804">INDIRECT("Tableau!$M$48")</f>
        <v/>
      </c>
      <c r="D804" s="400" t="str">
        <f t="shared" si="6"/>
        <v>IN</v>
      </c>
      <c r="E804" s="403" t="str">
        <f t="array" ref="E804">INDIRECT("Tableau!$N$48")</f>
        <v/>
      </c>
    </row>
    <row r="805">
      <c r="A805" s="402">
        <f t="array" ref="A805">INDIRECT("Tableau!$A$49")</f>
        <v>222</v>
      </c>
      <c r="B805" s="398" t="s">
        <v>466</v>
      </c>
      <c r="C805" s="400" t="str">
        <f t="array" ref="C805">INDIRECT("Tableau!$M$49")</f>
        <v/>
      </c>
      <c r="D805" s="400" t="str">
        <f t="shared" si="6"/>
        <v>IN</v>
      </c>
      <c r="E805" s="403" t="str">
        <f t="array" ref="E805">INDIRECT("Tableau!$N$49")</f>
        <v/>
      </c>
    </row>
    <row r="806">
      <c r="A806" s="402">
        <f t="array" ref="A806">INDIRECT("Tableau!$A$50")</f>
        <v>224</v>
      </c>
      <c r="B806" s="398" t="s">
        <v>466</v>
      </c>
      <c r="C806" s="400" t="str">
        <f t="array" ref="C806">INDIRECT("Tableau!$M$50")</f>
        <v/>
      </c>
      <c r="D806" s="400" t="str">
        <f t="shared" si="6"/>
        <v>IN</v>
      </c>
      <c r="E806" s="403" t="str">
        <f t="array" ref="E806">INDIRECT("Tableau!$N$50")</f>
        <v/>
      </c>
    </row>
    <row r="807">
      <c r="A807" s="397">
        <f t="array" ref="A807">INDIRECT("Tableau!$A$51")</f>
        <v>223</v>
      </c>
      <c r="B807" s="398" t="s">
        <v>466</v>
      </c>
      <c r="C807" s="400" t="str">
        <f t="array" ref="C807">INDIRECT("Tableau!$M$51")</f>
        <v/>
      </c>
      <c r="D807" s="400" t="str">
        <f t="shared" si="6"/>
        <v>IN</v>
      </c>
      <c r="E807" s="403" t="str">
        <f t="array" ref="E807">INDIRECT("Tableau!$N$51")</f>
        <v/>
      </c>
    </row>
    <row r="808">
      <c r="A808" s="402">
        <f t="array" ref="A808">INDIRECT("Tableau!$A$52")</f>
        <v>225</v>
      </c>
      <c r="B808" s="398" t="s">
        <v>466</v>
      </c>
      <c r="C808" s="400" t="str">
        <f t="array" ref="C808">INDIRECT("Tableau!$M$52")</f>
        <v/>
      </c>
      <c r="D808" s="400" t="str">
        <f t="shared" si="6"/>
        <v>IN</v>
      </c>
      <c r="E808" s="403" t="str">
        <f t="array" ref="E808">INDIRECT("Tableau!$N$52")</f>
        <v/>
      </c>
    </row>
    <row r="809">
      <c r="A809" s="402">
        <f t="array" ref="A809">INDIRECT("Tableau!$A$53")</f>
        <v>230</v>
      </c>
      <c r="B809" s="398" t="s">
        <v>466</v>
      </c>
      <c r="C809" s="400" t="str">
        <f t="array" ref="C809">INDIRECT("Tableau!$M$53")</f>
        <v/>
      </c>
      <c r="D809" s="400" t="str">
        <f t="shared" si="6"/>
        <v>IN</v>
      </c>
      <c r="E809" s="403" t="str">
        <f t="array" ref="E809">INDIRECT("Tableau!$N$53")</f>
        <v/>
      </c>
    </row>
    <row r="810">
      <c r="A810" s="397">
        <f t="array" ref="A810">INDIRECT("Tableau!$A$54")</f>
        <v>231</v>
      </c>
      <c r="B810" s="398" t="s">
        <v>466</v>
      </c>
      <c r="C810" s="400" t="str">
        <f t="array" ref="C810">INDIRECT("Tableau!$M$54")</f>
        <v/>
      </c>
      <c r="D810" s="400" t="str">
        <f t="shared" si="6"/>
        <v>IN</v>
      </c>
      <c r="E810" s="403" t="str">
        <f t="array" ref="E810">INDIRECT("Tableau!$N$54")</f>
        <v/>
      </c>
    </row>
    <row r="811">
      <c r="A811" s="397" t="str">
        <f t="array" ref="A811">INDIRECT("Tableau!$A$55")</f>
        <v/>
      </c>
      <c r="B811" s="398" t="s">
        <v>466</v>
      </c>
      <c r="C811" s="400" t="str">
        <f t="array" ref="C811">INDIRECT("Tableau!$M$55")</f>
        <v/>
      </c>
      <c r="D811" s="400" t="str">
        <f t="shared" si="6"/>
        <v>IN</v>
      </c>
      <c r="E811" s="403" t="str">
        <f t="array" ref="E811">INDIRECT("Tableau!$N$55")</f>
        <v/>
      </c>
    </row>
    <row r="812">
      <c r="A812" s="397" t="str">
        <f t="array" ref="A812">INDIRECT("Tableau!$A$56")</f>
        <v/>
      </c>
      <c r="B812" s="398" t="s">
        <v>466</v>
      </c>
      <c r="C812" s="400" t="str">
        <f t="array" ref="C812">INDIRECT("Tableau!$M$56")</f>
        <v/>
      </c>
      <c r="D812" s="400" t="str">
        <f t="shared" si="6"/>
        <v>IN</v>
      </c>
      <c r="E812" s="403" t="str">
        <f t="array" ref="E812">INDIRECT("Tableau!$N$56")</f>
        <v/>
      </c>
    </row>
    <row r="813">
      <c r="A813" s="397" t="str">
        <f t="array" ref="A813">INDIRECT("Tableau!$A$57")</f>
        <v/>
      </c>
      <c r="B813" s="398" t="s">
        <v>466</v>
      </c>
      <c r="C813" s="400" t="str">
        <f t="array" ref="C813">INDIRECT("Tableau!$M$57")</f>
        <v/>
      </c>
      <c r="D813" s="400" t="str">
        <f t="shared" si="6"/>
        <v>IN</v>
      </c>
      <c r="E813" s="403" t="str">
        <f t="array" ref="E813">INDIRECT("Tableau!$N$57")</f>
        <v/>
      </c>
    </row>
    <row r="814">
      <c r="A814" s="397" t="str">
        <f t="array" ref="A814">INDIRECT("Tableau!$A$58")</f>
        <v/>
      </c>
      <c r="B814" s="398" t="s">
        <v>466</v>
      </c>
      <c r="C814" s="400" t="str">
        <f t="array" ref="C814">INDIRECT("Tableau!$M$58")</f>
        <v/>
      </c>
      <c r="D814" s="400" t="str">
        <f t="shared" si="6"/>
        <v>IN</v>
      </c>
      <c r="E814" s="403" t="str">
        <f t="array" ref="E814">INDIRECT("Tableau!$N$58")</f>
        <v/>
      </c>
    </row>
    <row r="815">
      <c r="A815" s="397" t="str">
        <f t="array" ref="A815">INDIRECT("Tableau!$A$59")</f>
        <v/>
      </c>
      <c r="B815" s="398" t="s">
        <v>466</v>
      </c>
      <c r="C815" s="400" t="str">
        <f t="array" ref="C815">INDIRECT("Tableau!$M$59")</f>
        <v/>
      </c>
      <c r="D815" s="400" t="str">
        <f t="shared" si="6"/>
        <v>IN</v>
      </c>
      <c r="E815" s="403" t="str">
        <f t="array" ref="E815">INDIRECT("Tableau!$N$59")</f>
        <v/>
      </c>
    </row>
    <row r="816">
      <c r="A816" s="397" t="str">
        <f t="array" ref="A816">INDIRECT("Tableau!$A$60")</f>
        <v/>
      </c>
      <c r="B816" s="398" t="s">
        <v>466</v>
      </c>
      <c r="C816" s="400" t="str">
        <f t="array" ref="C816">INDIRECT("Tableau!$M$60")</f>
        <v/>
      </c>
      <c r="D816" s="400" t="str">
        <f t="shared" si="6"/>
        <v>IN</v>
      </c>
      <c r="E816" s="403" t="str">
        <f t="array" ref="E816">INDIRECT("Tableau!$N$60")</f>
        <v/>
      </c>
    </row>
    <row r="817">
      <c r="A817" s="397" t="str">
        <f t="array" ref="A817">INDIRECT("Tableau!$A$61")</f>
        <v/>
      </c>
      <c r="B817" s="398" t="s">
        <v>466</v>
      </c>
      <c r="C817" s="400" t="str">
        <f t="array" ref="C817">INDIRECT("Tableau!$M$61")</f>
        <v/>
      </c>
      <c r="D817" s="400" t="str">
        <f t="shared" si="6"/>
        <v>IN</v>
      </c>
      <c r="E817" s="403" t="str">
        <f t="array" ref="E817">INDIRECT("Tableau!$N$61")</f>
        <v/>
      </c>
    </row>
    <row r="818">
      <c r="A818" s="397" t="str">
        <f t="array" ref="A818">INDIRECT("Tableau!$A$62")</f>
        <v/>
      </c>
      <c r="B818" s="398" t="s">
        <v>466</v>
      </c>
      <c r="C818" s="400" t="str">
        <f t="array" ref="C818">INDIRECT("Tableau!$M$62")</f>
        <v/>
      </c>
      <c r="D818" s="400" t="str">
        <f t="shared" si="6"/>
        <v>IN</v>
      </c>
      <c r="E818" s="403" t="str">
        <f t="array" ref="E818">INDIRECT("Tableau!$N$62")</f>
        <v/>
      </c>
    </row>
    <row r="819">
      <c r="A819" s="397" t="str">
        <f t="array" ref="A819">INDIRECT("Tableau!$A$63")</f>
        <v/>
      </c>
      <c r="B819" s="398" t="s">
        <v>466</v>
      </c>
      <c r="C819" s="400" t="str">
        <f t="array" ref="C819">INDIRECT("Tableau!$M$63")</f>
        <v/>
      </c>
      <c r="D819" s="400" t="str">
        <f t="shared" si="6"/>
        <v>IN</v>
      </c>
      <c r="E819" s="403" t="str">
        <f t="array" ref="E819">INDIRECT("Tableau!$N$63")</f>
        <v/>
      </c>
    </row>
    <row r="820">
      <c r="A820" s="397" t="str">
        <f t="array" ref="A820">INDIRECT("Tableau!$A$64")</f>
        <v/>
      </c>
      <c r="B820" s="398" t="s">
        <v>466</v>
      </c>
      <c r="C820" s="400" t="str">
        <f t="array" ref="C820">INDIRECT("Tableau!$M$64")</f>
        <v/>
      </c>
      <c r="D820" s="400" t="str">
        <f t="shared" si="6"/>
        <v>IN</v>
      </c>
      <c r="E820" s="403" t="str">
        <f t="array" ref="E820">INDIRECT("Tableau!$N$64")</f>
        <v/>
      </c>
    </row>
    <row r="821">
      <c r="A821" s="402">
        <f t="array" ref="A821">INDIRECT("Tableau!$A$65")</f>
        <v>301</v>
      </c>
      <c r="B821" s="398" t="s">
        <v>466</v>
      </c>
      <c r="C821" s="400" t="str">
        <f t="array" ref="C821">INDIRECT("Tableau!$M$65")</f>
        <v>Carbelle</v>
      </c>
      <c r="D821" s="400" t="str">
        <f t="shared" si="6"/>
        <v>IN</v>
      </c>
      <c r="E821" s="403" t="str">
        <f t="array" ref="E821">INDIRECT("Tableau!$N$65")</f>
        <v/>
      </c>
    </row>
    <row r="822">
      <c r="A822" s="397" t="str">
        <f t="array" ref="A822">INDIRECT("Tableau!$A$66")</f>
        <v/>
      </c>
      <c r="B822" s="398" t="s">
        <v>466</v>
      </c>
      <c r="C822" s="400" t="str">
        <f t="array" ref="C822">INDIRECT("Tableau!$M$66")</f>
        <v/>
      </c>
      <c r="D822" s="400" t="str">
        <f t="shared" si="6"/>
        <v>IN</v>
      </c>
      <c r="E822" s="403" t="str">
        <f t="array" ref="E822">INDIRECT("Tableau!$N$66")</f>
        <v/>
      </c>
    </row>
    <row r="823">
      <c r="A823" s="402">
        <f t="array" ref="A823">INDIRECT("Tableau!$A$67")</f>
        <v>303</v>
      </c>
      <c r="B823" s="398" t="s">
        <v>466</v>
      </c>
      <c r="C823" s="400" t="str">
        <f t="array" ref="C823">INDIRECT("Tableau!$M$67")</f>
        <v>Carbelle</v>
      </c>
      <c r="D823" s="400" t="str">
        <f t="shared" si="6"/>
        <v>IN</v>
      </c>
      <c r="E823" s="403" t="str">
        <f t="array" ref="E823">INDIRECT("Tableau!$N$67")</f>
        <v/>
      </c>
    </row>
    <row r="824">
      <c r="A824" s="402">
        <f t="array" ref="A824">INDIRECT("Tableau!$A$68")</f>
        <v>304</v>
      </c>
      <c r="B824" s="398" t="s">
        <v>466</v>
      </c>
      <c r="C824" s="400" t="str">
        <f t="array" ref="C824">INDIRECT("Tableau!$M$68")</f>
        <v>Carbelle</v>
      </c>
      <c r="D824" s="400" t="str">
        <f t="shared" si="6"/>
        <v>IN</v>
      </c>
      <c r="E824" s="403" t="str">
        <f t="array" ref="E824">INDIRECT("Tableau!$N$68")</f>
        <v/>
      </c>
    </row>
    <row r="825">
      <c r="A825" s="402">
        <f t="array" ref="A825">INDIRECT("Tableau!$A$69")</f>
        <v>305</v>
      </c>
      <c r="B825" s="398" t="s">
        <v>466</v>
      </c>
      <c r="C825" s="400" t="str">
        <f t="array" ref="C825">INDIRECT("Tableau!$M$69")</f>
        <v/>
      </c>
      <c r="D825" s="400" t="str">
        <f t="shared" si="6"/>
        <v>IN</v>
      </c>
      <c r="E825" s="403" t="str">
        <f t="array" ref="E825">INDIRECT("Tableau!$N$69")</f>
        <v/>
      </c>
    </row>
    <row r="826">
      <c r="A826" s="402">
        <f t="array" ref="A826">INDIRECT("Tableau!$A$70")</f>
        <v>306</v>
      </c>
      <c r="B826" s="398" t="s">
        <v>466</v>
      </c>
      <c r="C826" s="400" t="str">
        <f t="array" ref="C826">INDIRECT("Tableau!$M$70")</f>
        <v/>
      </c>
      <c r="D826" s="400" t="str">
        <f t="shared" si="6"/>
        <v>IN</v>
      </c>
      <c r="E826" s="403" t="str">
        <f t="array" ref="E826">INDIRECT("Tableau!$N$70")</f>
        <v/>
      </c>
    </row>
    <row r="827">
      <c r="A827" s="402">
        <f t="array" ref="A827">INDIRECT("Tableau!$A$71")</f>
        <v>307</v>
      </c>
      <c r="B827" s="398" t="s">
        <v>466</v>
      </c>
      <c r="C827" s="400" t="str">
        <f t="array" ref="C827">INDIRECT("Tableau!$M$71")</f>
        <v/>
      </c>
      <c r="D827" s="400" t="str">
        <f t="shared" si="6"/>
        <v>IN</v>
      </c>
      <c r="E827" s="403" t="str">
        <f t="array" ref="E827">INDIRECT("Tableau!$N$71")</f>
        <v/>
      </c>
    </row>
    <row r="828">
      <c r="A828" s="397">
        <f t="array" ref="A828">INDIRECT("Tableau!$A$72")</f>
        <v>367</v>
      </c>
      <c r="B828" s="398" t="s">
        <v>466</v>
      </c>
      <c r="C828" s="400" t="str">
        <f t="array" ref="C828">INDIRECT("Tableau!$M$72")</f>
        <v/>
      </c>
      <c r="D828" s="400" t="str">
        <f t="shared" si="6"/>
        <v>IN</v>
      </c>
      <c r="E828" s="403" t="str">
        <f t="array" ref="E828">INDIRECT("Tableau!$N$72")</f>
        <v/>
      </c>
    </row>
    <row r="829">
      <c r="A829" s="402">
        <f t="array" ref="A829">INDIRECT("Tableau!$A$73")</f>
        <v>308</v>
      </c>
      <c r="B829" s="398" t="s">
        <v>466</v>
      </c>
      <c r="C829" s="400" t="str">
        <f t="array" ref="C829">INDIRECT("Tableau!$M$73")</f>
        <v/>
      </c>
      <c r="D829" s="400" t="str">
        <f t="shared" si="6"/>
        <v>IN</v>
      </c>
      <c r="E829" s="403" t="str">
        <f t="array" ref="E829">INDIRECT("Tableau!$N$73")</f>
        <v/>
      </c>
    </row>
    <row r="830">
      <c r="A830" s="397">
        <f t="array" ref="A830">INDIRECT("Tableau!$A$74")</f>
        <v>319</v>
      </c>
      <c r="B830" s="398" t="s">
        <v>466</v>
      </c>
      <c r="C830" s="400" t="str">
        <f t="array" ref="C830">INDIRECT("Tableau!$M$74")</f>
        <v/>
      </c>
      <c r="D830" s="400" t="str">
        <f t="shared" si="6"/>
        <v>IN</v>
      </c>
      <c r="E830" s="403" t="str">
        <f t="array" ref="E830">INDIRECT("Tableau!$N$74")</f>
        <v/>
      </c>
    </row>
    <row r="831">
      <c r="A831" s="402">
        <f t="array" ref="A831">INDIRECT("Tableau!$A$75")</f>
        <v>309</v>
      </c>
      <c r="B831" s="398" t="s">
        <v>466</v>
      </c>
      <c r="C831" s="400" t="str">
        <f t="array" ref="C831">INDIRECT("Tableau!$M$75")</f>
        <v/>
      </c>
      <c r="D831" s="400" t="str">
        <f t="shared" si="6"/>
        <v>IN</v>
      </c>
      <c r="E831" s="403" t="str">
        <f t="array" ref="E831">INDIRECT("Tableau!$N$75")</f>
        <v/>
      </c>
    </row>
    <row r="832">
      <c r="A832" s="402">
        <f t="array" ref="A832">INDIRECT("Tableau!$A$76")</f>
        <v>310</v>
      </c>
      <c r="B832" s="398" t="s">
        <v>466</v>
      </c>
      <c r="C832" s="400" t="str">
        <f t="array" ref="C832">INDIRECT("Tableau!$M$76")</f>
        <v/>
      </c>
      <c r="D832" s="400" t="str">
        <f t="shared" si="6"/>
        <v>IN</v>
      </c>
      <c r="E832" s="403" t="str">
        <f t="array" ref="E832">INDIRECT("Tableau!$N$76")</f>
        <v/>
      </c>
    </row>
    <row r="833">
      <c r="A833" s="402">
        <f t="array" ref="A833">INDIRECT("Tableau!$A$77")</f>
        <v>311</v>
      </c>
      <c r="B833" s="398" t="s">
        <v>466</v>
      </c>
      <c r="C833" s="400" t="str">
        <f t="array" ref="C833">INDIRECT("Tableau!$M$77")</f>
        <v/>
      </c>
      <c r="D833" s="400" t="str">
        <f t="shared" si="6"/>
        <v>IN</v>
      </c>
      <c r="E833" s="403" t="str">
        <f t="array" ref="E833">INDIRECT("Tableau!$N$77")</f>
        <v/>
      </c>
    </row>
    <row r="834">
      <c r="A834" s="402">
        <f t="array" ref="A834">INDIRECT("Tableau!$A$78")</f>
        <v>312</v>
      </c>
      <c r="B834" s="398" t="s">
        <v>466</v>
      </c>
      <c r="C834" s="400" t="str">
        <f t="array" ref="C834">INDIRECT("Tableau!$M$78")</f>
        <v/>
      </c>
      <c r="D834" s="400" t="str">
        <f t="shared" si="6"/>
        <v>IN</v>
      </c>
      <c r="E834" s="403" t="str">
        <f t="array" ref="E834">INDIRECT("Tableau!$N$78")</f>
        <v/>
      </c>
    </row>
    <row r="835">
      <c r="A835" s="402">
        <f t="array" ref="A835">INDIRECT("Tableau!$A$79")</f>
        <v>313</v>
      </c>
      <c r="B835" s="398" t="s">
        <v>466</v>
      </c>
      <c r="C835" s="400" t="str">
        <f t="array" ref="C835">INDIRECT("Tableau!$M$79")</f>
        <v/>
      </c>
      <c r="D835" s="400" t="str">
        <f t="shared" si="6"/>
        <v>IN</v>
      </c>
      <c r="E835" s="403" t="str">
        <f t="array" ref="E835">INDIRECT("Tableau!$N$79")</f>
        <v/>
      </c>
    </row>
    <row r="836">
      <c r="A836" s="402">
        <f t="array" ref="A836">INDIRECT("Tableau!$A$80")</f>
        <v>314</v>
      </c>
      <c r="B836" s="398" t="s">
        <v>466</v>
      </c>
      <c r="C836" s="400" t="str">
        <f t="array" ref="C836">INDIRECT("Tableau!$M$80")</f>
        <v/>
      </c>
      <c r="D836" s="400" t="str">
        <f t="shared" si="6"/>
        <v>IN</v>
      </c>
      <c r="E836" s="403" t="str">
        <f t="array" ref="E836">INDIRECT("Tableau!$N$80")</f>
        <v/>
      </c>
    </row>
    <row r="837">
      <c r="A837" s="402">
        <f t="array" ref="A837">INDIRECT("Tableau!$A$81")</f>
        <v>315</v>
      </c>
      <c r="B837" s="398" t="s">
        <v>466</v>
      </c>
      <c r="C837" s="400" t="str">
        <f t="array" ref="C837">INDIRECT("Tableau!$M$81")</f>
        <v/>
      </c>
      <c r="D837" s="400" t="str">
        <f t="shared" si="6"/>
        <v>IN</v>
      </c>
      <c r="E837" s="403" t="str">
        <f t="array" ref="E837">INDIRECT("Tableau!$N$81")</f>
        <v/>
      </c>
    </row>
    <row r="838">
      <c r="A838" s="402">
        <f t="array" ref="A838">INDIRECT("Tableau!$A$82")</f>
        <v>316</v>
      </c>
      <c r="B838" s="398" t="s">
        <v>466</v>
      </c>
      <c r="C838" s="400" t="str">
        <f t="array" ref="C838">INDIRECT("Tableau!$M$82")</f>
        <v/>
      </c>
      <c r="D838" s="400" t="str">
        <f t="shared" si="6"/>
        <v>IN</v>
      </c>
      <c r="E838" s="403" t="str">
        <f t="array" ref="E838">INDIRECT("Tableau!$N$82")</f>
        <v/>
      </c>
    </row>
    <row r="839">
      <c r="A839" s="402">
        <f t="array" ref="A839">INDIRECT("Tableau!$A$83")</f>
        <v>317</v>
      </c>
      <c r="B839" s="398" t="s">
        <v>466</v>
      </c>
      <c r="C839" s="400" t="str">
        <f t="array" ref="C839">INDIRECT("Tableau!$M$83")</f>
        <v/>
      </c>
      <c r="D839" s="400" t="str">
        <f t="shared" si="6"/>
        <v>IN</v>
      </c>
      <c r="E839" s="403" t="str">
        <f t="array" ref="E839">INDIRECT("Tableau!$N$83")</f>
        <v/>
      </c>
    </row>
    <row r="840">
      <c r="A840" s="402">
        <f t="array" ref="A840">INDIRECT("Tableau!$A$84")</f>
        <v>318</v>
      </c>
      <c r="B840" s="398" t="s">
        <v>466</v>
      </c>
      <c r="C840" s="400" t="str">
        <f t="array" ref="C840">INDIRECT("Tableau!$M$84")</f>
        <v/>
      </c>
      <c r="D840" s="400" t="str">
        <f t="shared" si="6"/>
        <v>IN</v>
      </c>
      <c r="E840" s="403" t="str">
        <f t="array" ref="E840">INDIRECT("Tableau!$N$84")</f>
        <v/>
      </c>
    </row>
    <row r="841">
      <c r="A841" s="402">
        <f t="array" ref="A841">INDIRECT("Tableau!$A$85")</f>
        <v>320</v>
      </c>
      <c r="B841" s="398" t="s">
        <v>466</v>
      </c>
      <c r="C841" s="400" t="str">
        <f t="array" ref="C841">INDIRECT("Tableau!$M$85")</f>
        <v/>
      </c>
      <c r="D841" s="400" t="str">
        <f t="shared" si="6"/>
        <v>IN</v>
      </c>
      <c r="E841" s="403" t="str">
        <f t="array" ref="E841">INDIRECT("Tableau!$N$85")</f>
        <v/>
      </c>
    </row>
    <row r="842">
      <c r="A842" s="402">
        <f t="array" ref="A842">INDIRECT("Tableau!$A$86")</f>
        <v>321</v>
      </c>
      <c r="B842" s="398" t="s">
        <v>466</v>
      </c>
      <c r="C842" s="400" t="str">
        <f t="array" ref="C842">INDIRECT("Tableau!$M$86")</f>
        <v/>
      </c>
      <c r="D842" s="400" t="str">
        <f t="shared" si="6"/>
        <v>IN</v>
      </c>
      <c r="E842" s="403" t="str">
        <f t="array" ref="E842">INDIRECT("Tableau!$N$86")</f>
        <v/>
      </c>
    </row>
    <row r="843">
      <c r="A843" s="397" t="str">
        <f t="array" ref="A843">INDIRECT("Tableau!$A$87")</f>
        <v/>
      </c>
      <c r="B843" s="398" t="s">
        <v>466</v>
      </c>
      <c r="C843" s="400" t="str">
        <f t="array" ref="C843">INDIRECT("Tableau!$M$87")</f>
        <v/>
      </c>
      <c r="D843" s="400" t="str">
        <f t="shared" si="6"/>
        <v>IN</v>
      </c>
      <c r="E843" s="403" t="str">
        <f t="array" ref="E843">INDIRECT("Tableau!$N$87")</f>
        <v/>
      </c>
    </row>
    <row r="844">
      <c r="A844" s="402">
        <f t="array" ref="A844">INDIRECT("Tableau!$A$88")</f>
        <v>323</v>
      </c>
      <c r="B844" s="398" t="s">
        <v>466</v>
      </c>
      <c r="C844" s="400" t="str">
        <f t="array" ref="C844">INDIRECT("Tableau!$M$88")</f>
        <v/>
      </c>
      <c r="D844" s="400" t="str">
        <f t="shared" si="6"/>
        <v>IN</v>
      </c>
      <c r="E844" s="403" t="str">
        <f t="array" ref="E844">INDIRECT("Tableau!$N$88")</f>
        <v/>
      </c>
    </row>
    <row r="845">
      <c r="A845" s="402">
        <f t="array" ref="A845">INDIRECT("Tableau!$A$89")</f>
        <v>324</v>
      </c>
      <c r="B845" s="398" t="s">
        <v>466</v>
      </c>
      <c r="C845" s="400" t="str">
        <f t="array" ref="C845">INDIRECT("Tableau!$M$89")</f>
        <v/>
      </c>
      <c r="D845" s="400" t="str">
        <f t="shared" si="6"/>
        <v>IN</v>
      </c>
      <c r="E845" s="403" t="str">
        <f t="array" ref="E845">INDIRECT("Tableau!$N$89")</f>
        <v/>
      </c>
    </row>
    <row r="846">
      <c r="A846" s="402">
        <f t="array" ref="A846">INDIRECT("Tableau!$A$90")</f>
        <v>325</v>
      </c>
      <c r="B846" s="398" t="s">
        <v>466</v>
      </c>
      <c r="C846" s="400" t="str">
        <f t="array" ref="C846">INDIRECT("Tableau!$M$90")</f>
        <v/>
      </c>
      <c r="D846" s="400" t="str">
        <f t="shared" si="6"/>
        <v>IN</v>
      </c>
      <c r="E846" s="403" t="str">
        <f t="array" ref="E846">INDIRECT("Tableau!$N$90")</f>
        <v/>
      </c>
    </row>
    <row r="847">
      <c r="A847" s="402">
        <f t="array" ref="A847">INDIRECT("Tableau!$A$91")</f>
        <v>326</v>
      </c>
      <c r="B847" s="398" t="s">
        <v>466</v>
      </c>
      <c r="C847" s="400" t="str">
        <f t="array" ref="C847">INDIRECT("Tableau!$M$91")</f>
        <v/>
      </c>
      <c r="D847" s="400" t="str">
        <f t="shared" si="6"/>
        <v>IN</v>
      </c>
      <c r="E847" s="403" t="str">
        <f t="array" ref="E847">INDIRECT("Tableau!$N$91")</f>
        <v/>
      </c>
    </row>
    <row r="848">
      <c r="A848" s="402">
        <f t="array" ref="A848">INDIRECT("Tableau!$A$92")</f>
        <v>327</v>
      </c>
      <c r="B848" s="398" t="s">
        <v>466</v>
      </c>
      <c r="C848" s="400" t="str">
        <f t="array" ref="C848">INDIRECT("Tableau!$M$92")</f>
        <v/>
      </c>
      <c r="D848" s="400" t="str">
        <f t="shared" si="6"/>
        <v>IN</v>
      </c>
      <c r="E848" s="403" t="str">
        <f t="array" ref="E848">INDIRECT("Tableau!$N$92")</f>
        <v/>
      </c>
    </row>
    <row r="849">
      <c r="A849" s="402">
        <f t="array" ref="A849">INDIRECT("Tableau!$A$93")</f>
        <v>328</v>
      </c>
      <c r="B849" s="398" t="s">
        <v>466</v>
      </c>
      <c r="C849" s="400" t="str">
        <f t="array" ref="C849">INDIRECT("Tableau!$M$93")</f>
        <v/>
      </c>
      <c r="D849" s="400" t="str">
        <f t="shared" si="6"/>
        <v>IN</v>
      </c>
      <c r="E849" s="403" t="str">
        <f t="array" ref="E849">INDIRECT("Tableau!$N$93")</f>
        <v/>
      </c>
    </row>
    <row r="850">
      <c r="A850" s="402">
        <f t="array" ref="A850">INDIRECT("Tableau!$A$94")</f>
        <v>329</v>
      </c>
      <c r="B850" s="398" t="s">
        <v>466</v>
      </c>
      <c r="C850" s="400" t="str">
        <f t="array" ref="C850">INDIRECT("Tableau!$M$94")</f>
        <v/>
      </c>
      <c r="D850" s="400" t="str">
        <f t="shared" si="6"/>
        <v>IN</v>
      </c>
      <c r="E850" s="403" t="str">
        <f t="array" ref="E850">INDIRECT("Tableau!$N$94")</f>
        <v/>
      </c>
    </row>
    <row r="851">
      <c r="A851" s="402">
        <f t="array" ref="A851">INDIRECT("Tableau!$A$95")</f>
        <v>330</v>
      </c>
      <c r="B851" s="398" t="s">
        <v>466</v>
      </c>
      <c r="C851" s="400" t="str">
        <f t="array" ref="C851">INDIRECT("Tableau!$M$95")</f>
        <v/>
      </c>
      <c r="D851" s="400" t="str">
        <f t="shared" si="6"/>
        <v>IN</v>
      </c>
      <c r="E851" s="403" t="str">
        <f t="array" ref="E851">INDIRECT("Tableau!$N$95")</f>
        <v/>
      </c>
    </row>
    <row r="852">
      <c r="A852" s="402">
        <f t="array" ref="A852">INDIRECT("Tableau!$A$96")</f>
        <v>331</v>
      </c>
      <c r="B852" s="398" t="s">
        <v>466</v>
      </c>
      <c r="C852" s="400" t="str">
        <f t="array" ref="C852">INDIRECT("Tableau!$M$96")</f>
        <v>Carbelle</v>
      </c>
      <c r="D852" s="400" t="str">
        <f t="shared" si="6"/>
        <v>IN</v>
      </c>
      <c r="E852" s="403" t="str">
        <f t="array" ref="E852">INDIRECT("Tableau!$N$96")</f>
        <v/>
      </c>
    </row>
    <row r="853">
      <c r="A853" s="402">
        <f t="array" ref="A853">INDIRECT("Tableau!$A$97")</f>
        <v>332</v>
      </c>
      <c r="B853" s="398" t="s">
        <v>466</v>
      </c>
      <c r="C853" s="400" t="str">
        <f t="array" ref="C853">INDIRECT("Tableau!$M$97")</f>
        <v>Carbelle</v>
      </c>
      <c r="D853" s="400" t="str">
        <f t="shared" si="6"/>
        <v>IN</v>
      </c>
      <c r="E853" s="403" t="str">
        <f t="array" ref="E853">INDIRECT("Tableau!$N$97")</f>
        <v/>
      </c>
    </row>
    <row r="854">
      <c r="A854" s="402">
        <f t="array" ref="A854">INDIRECT("Tableau!$A$98")</f>
        <v>333</v>
      </c>
      <c r="B854" s="398" t="s">
        <v>466</v>
      </c>
      <c r="C854" s="400" t="str">
        <f t="array" ref="C854">INDIRECT("Tableau!$M$98")</f>
        <v/>
      </c>
      <c r="D854" s="400" t="str">
        <f t="shared" si="6"/>
        <v>IN</v>
      </c>
      <c r="E854" s="403" t="str">
        <f t="array" ref="E854">INDIRECT("Tableau!$N$98")</f>
        <v/>
      </c>
    </row>
    <row r="855">
      <c r="A855" s="402">
        <f t="array" ref="A855">INDIRECT("Tableau!$A$99")</f>
        <v>334</v>
      </c>
      <c r="B855" s="398" t="s">
        <v>466</v>
      </c>
      <c r="C855" s="400" t="str">
        <f t="array" ref="C855">INDIRECT("Tableau!$M$99")</f>
        <v/>
      </c>
      <c r="D855" s="400" t="str">
        <f t="shared" si="6"/>
        <v>IN</v>
      </c>
      <c r="E855" s="403" t="str">
        <f t="array" ref="E855">INDIRECT("Tableau!$N$99")</f>
        <v/>
      </c>
    </row>
    <row r="856">
      <c r="A856" s="402">
        <f t="array" ref="A856">INDIRECT("Tableau!$A$100")</f>
        <v>335</v>
      </c>
      <c r="B856" s="398" t="s">
        <v>466</v>
      </c>
      <c r="C856" s="400" t="str">
        <f t="array" ref="C856">INDIRECT("Tableau!$M$100")</f>
        <v>Carbelle</v>
      </c>
      <c r="D856" s="400" t="str">
        <f t="shared" si="6"/>
        <v>IN</v>
      </c>
      <c r="E856" s="403" t="str">
        <f t="array" ref="E856">INDIRECT("Tableau!$N$100")</f>
        <v/>
      </c>
    </row>
    <row r="857">
      <c r="A857" s="402">
        <f t="array" ref="A857">INDIRECT("Tableau!$A$101")</f>
        <v>336</v>
      </c>
      <c r="B857" s="398" t="s">
        <v>466</v>
      </c>
      <c r="C857" s="400" t="str">
        <f t="array" ref="C857">INDIRECT("Tableau!$M$101")</f>
        <v>Immo Toma </v>
      </c>
      <c r="D857" s="400" t="str">
        <f t="shared" si="6"/>
        <v>IN</v>
      </c>
      <c r="E857" s="403" t="str">
        <f t="array" ref="E857">INDIRECT("Tableau!$N$101")</f>
        <v/>
      </c>
    </row>
    <row r="858">
      <c r="A858" s="402">
        <f t="array" ref="A858">INDIRECT("Tableau!$A$102")</f>
        <v>337</v>
      </c>
      <c r="B858" s="398" t="s">
        <v>466</v>
      </c>
      <c r="C858" s="400" t="str">
        <f t="array" ref="C858">INDIRECT("Tableau!$M$102")</f>
        <v>Carbelle</v>
      </c>
      <c r="D858" s="400" t="str">
        <f t="shared" si="6"/>
        <v>IN</v>
      </c>
      <c r="E858" s="403" t="str">
        <f t="array" ref="E858">INDIRECT("Tableau!$N$102")</f>
        <v/>
      </c>
    </row>
    <row r="859">
      <c r="A859" s="402">
        <f t="array" ref="A859">INDIRECT("Tableau!$A$103")</f>
        <v>338</v>
      </c>
      <c r="B859" s="398" t="s">
        <v>466</v>
      </c>
      <c r="C859" s="400" t="str">
        <f t="array" ref="C859">INDIRECT("Tableau!$M$103")</f>
        <v/>
      </c>
      <c r="D859" s="400" t="str">
        <f t="shared" si="6"/>
        <v>IN</v>
      </c>
      <c r="E859" s="403" t="str">
        <f t="array" ref="E859">INDIRECT("Tableau!$N$103")</f>
        <v/>
      </c>
    </row>
    <row r="860">
      <c r="A860" s="402">
        <f t="array" ref="A860">INDIRECT("Tableau!$A$104")</f>
        <v>339</v>
      </c>
      <c r="B860" s="398" t="s">
        <v>466</v>
      </c>
      <c r="C860" s="400" t="str">
        <f t="array" ref="C860">INDIRECT("Tableau!$M$104")</f>
        <v>Immo Toma </v>
      </c>
      <c r="D860" s="400" t="str">
        <f t="shared" si="6"/>
        <v>IN</v>
      </c>
      <c r="E860" s="403" t="str">
        <f t="array" ref="E860">INDIRECT("Tableau!$N$104")</f>
        <v/>
      </c>
    </row>
    <row r="861">
      <c r="A861" s="402">
        <f t="array" ref="A861">INDIRECT("Tableau!$A$105")</f>
        <v>340</v>
      </c>
      <c r="B861" s="398" t="s">
        <v>466</v>
      </c>
      <c r="C861" s="400" t="str">
        <f t="array" ref="C861">INDIRECT("Tableau!$M$105")</f>
        <v>Carbelle</v>
      </c>
      <c r="D861" s="400" t="str">
        <f t="shared" si="6"/>
        <v>IN</v>
      </c>
      <c r="E861" s="403" t="str">
        <f t="array" ref="E861">INDIRECT("Tableau!$N$105")</f>
        <v/>
      </c>
    </row>
    <row r="862">
      <c r="A862" s="402">
        <f t="array" ref="A862">INDIRECT("Tableau!$A$106")</f>
        <v>341</v>
      </c>
      <c r="B862" s="398" t="s">
        <v>466</v>
      </c>
      <c r="C862" s="400" t="str">
        <f t="array" ref="C862">INDIRECT("Tableau!$M$106")</f>
        <v>Carbelle</v>
      </c>
      <c r="D862" s="400" t="str">
        <f t="shared" si="6"/>
        <v>IN</v>
      </c>
      <c r="E862" s="403" t="str">
        <f t="array" ref="E862">INDIRECT("Tableau!$N$106")</f>
        <v/>
      </c>
    </row>
    <row r="863">
      <c r="A863" s="402">
        <f t="array" ref="A863">INDIRECT("Tableau!$A$107")</f>
        <v>365</v>
      </c>
      <c r="B863" s="398" t="s">
        <v>466</v>
      </c>
      <c r="C863" s="400" t="str">
        <f t="array" ref="C863">INDIRECT("Tableau!$M$107")</f>
        <v/>
      </c>
      <c r="D863" s="400" t="str">
        <f t="shared" si="6"/>
        <v>IN</v>
      </c>
      <c r="E863" s="403" t="str">
        <f t="array" ref="E863">INDIRECT("Tableau!$N$107")</f>
        <v/>
      </c>
    </row>
    <row r="864">
      <c r="A864" s="402">
        <f t="array" ref="A864">INDIRECT("Tableau!$A$108")</f>
        <v>342</v>
      </c>
      <c r="B864" s="398" t="s">
        <v>466</v>
      </c>
      <c r="C864" s="400" t="str">
        <f t="array" ref="C864">INDIRECT("Tableau!$M$108")</f>
        <v>Carbelle</v>
      </c>
      <c r="D864" s="400" t="str">
        <f t="shared" si="6"/>
        <v>IN</v>
      </c>
      <c r="E864" s="403" t="str">
        <f t="array" ref="E864">INDIRECT("Tableau!$N$108")</f>
        <v/>
      </c>
    </row>
    <row r="865">
      <c r="A865" s="402">
        <f t="array" ref="A865">INDIRECT("Tableau!$A$109")</f>
        <v>343</v>
      </c>
      <c r="B865" s="398" t="s">
        <v>466</v>
      </c>
      <c r="C865" s="400" t="str">
        <f t="array" ref="C865">INDIRECT("Tableau!$M$109")</f>
        <v>Carbelle</v>
      </c>
      <c r="D865" s="400" t="str">
        <f t="shared" si="6"/>
        <v>IN</v>
      </c>
      <c r="E865" s="403" t="str">
        <f t="array" ref="E865">INDIRECT("Tableau!$N$109")</f>
        <v/>
      </c>
    </row>
    <row r="866">
      <c r="A866" s="402">
        <f t="array" ref="A866">INDIRECT("Tableau!$A$110")</f>
        <v>344</v>
      </c>
      <c r="B866" s="398" t="s">
        <v>466</v>
      </c>
      <c r="C866" s="400" t="str">
        <f t="array" ref="C866">INDIRECT("Tableau!$M$110")</f>
        <v>Immo Toma </v>
      </c>
      <c r="D866" s="400" t="str">
        <f t="shared" si="6"/>
        <v>IN</v>
      </c>
      <c r="E866" s="403" t="str">
        <f t="array" ref="E866">INDIRECT("Tableau!$N$110")</f>
        <v/>
      </c>
    </row>
    <row r="867">
      <c r="A867" s="402">
        <f t="array" ref="A867">INDIRECT("Tableau!$A$111")</f>
        <v>363</v>
      </c>
      <c r="B867" s="398" t="s">
        <v>466</v>
      </c>
      <c r="C867" s="400" t="str">
        <f t="array" ref="C867">INDIRECT("Tableau!$M$111")</f>
        <v/>
      </c>
      <c r="D867" s="400" t="str">
        <f t="shared" si="6"/>
        <v>IN</v>
      </c>
      <c r="E867" s="403" t="str">
        <f t="array" ref="E867">INDIRECT("Tableau!$N$111")</f>
        <v/>
      </c>
    </row>
    <row r="868">
      <c r="A868" s="402">
        <f t="array" ref="A868">INDIRECT("Tableau!$A$112")</f>
        <v>345</v>
      </c>
      <c r="B868" s="398" t="s">
        <v>466</v>
      </c>
      <c r="C868" s="400" t="str">
        <f t="array" ref="C868">INDIRECT("Tableau!$M$112")</f>
        <v/>
      </c>
      <c r="D868" s="400" t="str">
        <f t="shared" si="6"/>
        <v>IN</v>
      </c>
      <c r="E868" s="403" t="str">
        <f t="array" ref="E868">INDIRECT("Tableau!$N$112")</f>
        <v/>
      </c>
    </row>
    <row r="869">
      <c r="A869" s="402">
        <f t="array" ref="A869">INDIRECT("Tableau!$A$113")</f>
        <v>346</v>
      </c>
      <c r="B869" s="398" t="s">
        <v>466</v>
      </c>
      <c r="C869" s="400" t="str">
        <f t="array" ref="C869">INDIRECT("Tableau!$M$113")</f>
        <v/>
      </c>
      <c r="D869" s="400" t="str">
        <f t="shared" si="6"/>
        <v>IN</v>
      </c>
      <c r="E869" s="403" t="str">
        <f t="array" ref="E869">INDIRECT("Tableau!$N$113")</f>
        <v/>
      </c>
    </row>
    <row r="870">
      <c r="A870" s="402">
        <f t="array" ref="A870">INDIRECT("Tableau!$A$114")</f>
        <v>359</v>
      </c>
      <c r="B870" s="398" t="s">
        <v>466</v>
      </c>
      <c r="C870" s="400" t="str">
        <f t="array" ref="C870">INDIRECT("Tableau!$M$114")</f>
        <v/>
      </c>
      <c r="D870" s="400" t="str">
        <f t="shared" si="6"/>
        <v>IN</v>
      </c>
      <c r="E870" s="403" t="str">
        <f t="array" ref="E870">INDIRECT("Tableau!$N$114")</f>
        <v/>
      </c>
    </row>
    <row r="871">
      <c r="A871" s="402">
        <f t="array" ref="A871">INDIRECT("Tableau!$A$115")</f>
        <v>360</v>
      </c>
      <c r="B871" s="398" t="s">
        <v>466</v>
      </c>
      <c r="C871" s="400" t="str">
        <f t="array" ref="C871">INDIRECT("Tableau!$M$115")</f>
        <v/>
      </c>
      <c r="D871" s="400" t="str">
        <f t="shared" si="6"/>
        <v>IN</v>
      </c>
      <c r="E871" s="403" t="str">
        <f t="array" ref="E871">INDIRECT("Tableau!$N$115")</f>
        <v/>
      </c>
    </row>
    <row r="872">
      <c r="A872" s="402">
        <f t="array" ref="A872">INDIRECT("Tableau!$A$116")</f>
        <v>361</v>
      </c>
      <c r="B872" s="398" t="s">
        <v>466</v>
      </c>
      <c r="C872" s="400" t="str">
        <f t="array" ref="C872">INDIRECT("Tableau!$M$116")</f>
        <v/>
      </c>
      <c r="D872" s="400" t="str">
        <f t="shared" si="6"/>
        <v>IN</v>
      </c>
      <c r="E872" s="403" t="str">
        <f t="array" ref="E872">INDIRECT("Tableau!$N$116")</f>
        <v/>
      </c>
    </row>
    <row r="873">
      <c r="A873" s="397" t="str">
        <f t="array" ref="A873">INDIRECT("Tableau!$A$117")</f>
        <v/>
      </c>
      <c r="B873" s="398" t="s">
        <v>466</v>
      </c>
      <c r="C873" s="400" t="str">
        <f t="array" ref="C873">INDIRECT("Tableau!$M$117")</f>
        <v/>
      </c>
      <c r="D873" s="400" t="str">
        <f t="shared" si="6"/>
        <v>IN</v>
      </c>
      <c r="E873" s="403" t="str">
        <f t="array" ref="E873">INDIRECT("Tableau!$N$117")</f>
        <v/>
      </c>
    </row>
    <row r="874">
      <c r="A874" s="402">
        <f t="array" ref="A874">INDIRECT("Tableau!$A$118")</f>
        <v>347</v>
      </c>
      <c r="B874" s="398" t="s">
        <v>466</v>
      </c>
      <c r="C874" s="400" t="str">
        <f t="array" ref="C874">INDIRECT("Tableau!$M$118")</f>
        <v>BP Martelange</v>
      </c>
      <c r="D874" s="400" t="str">
        <f t="shared" si="6"/>
        <v>IN</v>
      </c>
      <c r="E874" s="403" t="str">
        <f t="array" ref="E874">INDIRECT("Tableau!$N$118")</f>
        <v/>
      </c>
    </row>
    <row r="875">
      <c r="A875" s="402">
        <f t="array" ref="A875">INDIRECT("Tableau!$A$119")</f>
        <v>348</v>
      </c>
      <c r="B875" s="398" t="s">
        <v>466</v>
      </c>
      <c r="C875" s="400" t="str">
        <f t="array" ref="C875">INDIRECT("Tableau!$M$119")</f>
        <v>Carbelle</v>
      </c>
      <c r="D875" s="400" t="str">
        <f t="shared" si="6"/>
        <v>IN</v>
      </c>
      <c r="E875" s="403" t="str">
        <f t="array" ref="E875">INDIRECT("Tableau!$N$119")</f>
        <v/>
      </c>
    </row>
    <row r="876">
      <c r="A876" s="402">
        <f t="array" ref="A876">INDIRECT("Tableau!$A$120")</f>
        <v>349</v>
      </c>
      <c r="B876" s="398" t="s">
        <v>466</v>
      </c>
      <c r="C876" s="400" t="str">
        <f t="array" ref="C876">INDIRECT("Tableau!$M$120")</f>
        <v>Carbelle</v>
      </c>
      <c r="D876" s="400" t="str">
        <f t="shared" si="6"/>
        <v>IN</v>
      </c>
      <c r="E876" s="403" t="str">
        <f t="array" ref="E876">INDIRECT("Tableau!$N$120")</f>
        <v/>
      </c>
    </row>
    <row r="877">
      <c r="A877" s="402">
        <f t="array" ref="A877">INDIRECT("Tableau!$A$121")</f>
        <v>350</v>
      </c>
      <c r="B877" s="398" t="s">
        <v>466</v>
      </c>
      <c r="C877" s="400" t="str">
        <f t="array" ref="C877">INDIRECT("Tableau!$M$121")</f>
        <v>Carbelle</v>
      </c>
      <c r="D877" s="400" t="str">
        <f t="shared" si="6"/>
        <v>IN</v>
      </c>
      <c r="E877" s="403" t="str">
        <f t="array" ref="E877">INDIRECT("Tableau!$N$121")</f>
        <v/>
      </c>
    </row>
    <row r="878">
      <c r="A878" s="402">
        <f t="array" ref="A878">INDIRECT("Tableau!$A$122")</f>
        <v>351</v>
      </c>
      <c r="B878" s="398" t="s">
        <v>466</v>
      </c>
      <c r="C878" s="400" t="str">
        <f t="array" ref="C878">INDIRECT("Tableau!$M$122")</f>
        <v>Carbelle</v>
      </c>
      <c r="D878" s="400" t="str">
        <f t="shared" si="6"/>
        <v>IN</v>
      </c>
      <c r="E878" s="403" t="str">
        <f t="array" ref="E878">INDIRECT("Tableau!$N$122")</f>
        <v/>
      </c>
    </row>
    <row r="879">
      <c r="A879" s="402">
        <f t="array" ref="A879">INDIRECT("Tableau!$A$123")</f>
        <v>352</v>
      </c>
      <c r="B879" s="398" t="s">
        <v>466</v>
      </c>
      <c r="C879" s="400" t="str">
        <f t="array" ref="C879">INDIRECT("Tableau!$M$123")</f>
        <v/>
      </c>
      <c r="D879" s="400" t="str">
        <f t="shared" si="6"/>
        <v>IN</v>
      </c>
      <c r="E879" s="403" t="str">
        <f t="array" ref="E879">INDIRECT("Tableau!$N$123")</f>
        <v/>
      </c>
    </row>
    <row r="880">
      <c r="A880" s="402">
        <f t="array" ref="A880">INDIRECT("Tableau!$A$124")</f>
        <v>353</v>
      </c>
      <c r="B880" s="398" t="s">
        <v>466</v>
      </c>
      <c r="C880" s="400" t="str">
        <f t="array" ref="C880">INDIRECT("Tableau!$M$124")</f>
        <v/>
      </c>
      <c r="D880" s="400" t="str">
        <f t="shared" si="6"/>
        <v>IN</v>
      </c>
      <c r="E880" s="403" t="str">
        <f t="array" ref="E880">INDIRECT("Tableau!$N$124")</f>
        <v/>
      </c>
    </row>
    <row r="881">
      <c r="A881" s="397" t="str">
        <f t="array" ref="A881">INDIRECT("Tableau!$A$125")</f>
        <v/>
      </c>
      <c r="B881" s="398" t="s">
        <v>466</v>
      </c>
      <c r="C881" s="400" t="str">
        <f t="array" ref="C881">INDIRECT("Tableau!$M$125")</f>
        <v/>
      </c>
      <c r="D881" s="400" t="str">
        <f t="shared" si="6"/>
        <v>IN</v>
      </c>
      <c r="E881" s="403" t="str">
        <f t="array" ref="E881">INDIRECT("Tableau!$N$125")</f>
        <v/>
      </c>
    </row>
    <row r="882">
      <c r="A882" s="402">
        <f t="array" ref="A882">INDIRECT("Tableau!$A$126")</f>
        <v>354</v>
      </c>
      <c r="B882" s="398" t="s">
        <v>466</v>
      </c>
      <c r="C882" s="400" t="str">
        <f t="array" ref="C882">INDIRECT("Tableau!$M$126")</f>
        <v/>
      </c>
      <c r="D882" s="400" t="str">
        <f t="shared" si="6"/>
        <v>IN</v>
      </c>
      <c r="E882" s="403" t="str">
        <f t="array" ref="E882">INDIRECT("Tableau!$N$126")</f>
        <v/>
      </c>
    </row>
    <row r="883">
      <c r="A883" s="402">
        <f t="array" ref="A883">INDIRECT("Tableau!$A$127")</f>
        <v>355</v>
      </c>
      <c r="B883" s="398" t="s">
        <v>466</v>
      </c>
      <c r="C883" s="400" t="str">
        <f t="array" ref="C883">INDIRECT("Tableau!$M$127")</f>
        <v/>
      </c>
      <c r="D883" s="400" t="str">
        <f t="shared" si="6"/>
        <v>IN</v>
      </c>
      <c r="E883" s="403" t="str">
        <f t="array" ref="E883">INDIRECT("Tableau!$N$127")</f>
        <v/>
      </c>
    </row>
    <row r="884">
      <c r="A884" s="402">
        <f t="array" ref="A884">INDIRECT("Tableau!$A$128")</f>
        <v>356</v>
      </c>
      <c r="B884" s="398" t="s">
        <v>466</v>
      </c>
      <c r="C884" s="400" t="str">
        <f t="array" ref="C884">INDIRECT("Tableau!$M$128")</f>
        <v/>
      </c>
      <c r="D884" s="400" t="str">
        <f t="shared" si="6"/>
        <v>IN</v>
      </c>
      <c r="E884" s="403" t="str">
        <f t="array" ref="E884">INDIRECT("Tableau!$N$128")</f>
        <v/>
      </c>
    </row>
    <row r="885">
      <c r="A885" s="402">
        <f t="array" ref="A885">INDIRECT("Tableau!$A$129")</f>
        <v>357</v>
      </c>
      <c r="B885" s="398" t="s">
        <v>466</v>
      </c>
      <c r="C885" s="400" t="str">
        <f t="array" ref="C885">INDIRECT("Tableau!$M$129")</f>
        <v/>
      </c>
      <c r="D885" s="400" t="str">
        <f t="shared" si="6"/>
        <v>IN</v>
      </c>
      <c r="E885" s="403" t="str">
        <f t="array" ref="E885">INDIRECT("Tableau!$N$129")</f>
        <v/>
      </c>
    </row>
    <row r="886">
      <c r="A886" s="397" t="str">
        <f t="array" ref="A886">INDIRECT("Tableau!$A$130")</f>
        <v/>
      </c>
      <c r="B886" s="398" t="s">
        <v>466</v>
      </c>
      <c r="C886" s="400" t="str">
        <f t="array" ref="C886">INDIRECT("Tableau!$M$130")</f>
        <v/>
      </c>
      <c r="D886" s="400" t="str">
        <f t="shared" si="6"/>
        <v>IN</v>
      </c>
      <c r="E886" s="403" t="str">
        <f t="array" ref="E886">INDIRECT("Tableau!$N$130")</f>
        <v/>
      </c>
    </row>
    <row r="887">
      <c r="A887" s="397" t="str">
        <f t="array" ref="A887">INDIRECT("Tableau!$A$131")</f>
        <v/>
      </c>
      <c r="B887" s="398" t="s">
        <v>466</v>
      </c>
      <c r="C887" s="400" t="str">
        <f t="array" ref="C887">INDIRECT("Tableau!$M$131")</f>
        <v/>
      </c>
      <c r="D887" s="400" t="str">
        <f t="shared" si="6"/>
        <v>IN</v>
      </c>
      <c r="E887" s="403" t="str">
        <f t="array" ref="E887">INDIRECT("Tableau!$N$131")</f>
        <v/>
      </c>
    </row>
    <row r="888">
      <c r="A888" s="397" t="str">
        <f t="array" ref="A888">INDIRECT("Tableau!$A$132")</f>
        <v/>
      </c>
      <c r="B888" s="398" t="s">
        <v>466</v>
      </c>
      <c r="C888" s="400" t="str">
        <f t="array" ref="C888">INDIRECT("Tableau!$M$132")</f>
        <v/>
      </c>
      <c r="D888" s="400" t="str">
        <f t="shared" si="6"/>
        <v>IN</v>
      </c>
      <c r="E888" s="403" t="str">
        <f t="array" ref="E888">INDIRECT("Tableau!$N$132")</f>
        <v/>
      </c>
    </row>
    <row r="889">
      <c r="A889" s="397" t="str">
        <f t="array" ref="A889">INDIRECT("Tableau!$A$133")</f>
        <v/>
      </c>
      <c r="B889" s="398" t="s">
        <v>466</v>
      </c>
      <c r="C889" s="400" t="str">
        <f t="array" ref="C889">INDIRECT("Tableau!$M$133")</f>
        <v/>
      </c>
      <c r="D889" s="400" t="str">
        <f t="shared" si="6"/>
        <v>IN</v>
      </c>
      <c r="E889" s="403" t="str">
        <f t="array" ref="E889">INDIRECT("Tableau!$N$133")</f>
        <v/>
      </c>
    </row>
    <row r="890">
      <c r="A890" s="397" t="str">
        <f t="array" ref="A890">INDIRECT("Tableau!$A$134")</f>
        <v/>
      </c>
      <c r="B890" s="398" t="s">
        <v>466</v>
      </c>
      <c r="C890" s="400" t="str">
        <f t="array" ref="C890">INDIRECT("Tableau!$M$134")</f>
        <v/>
      </c>
      <c r="D890" s="400" t="str">
        <f t="shared" si="6"/>
        <v>IN</v>
      </c>
      <c r="E890" s="403" t="str">
        <f t="array" ref="E890">INDIRECT("Tableau!$N$134")</f>
        <v/>
      </c>
    </row>
    <row r="891">
      <c r="A891" s="402">
        <f t="array" ref="A891">INDIRECT("Tableau!$A$135")</f>
        <v>401</v>
      </c>
      <c r="B891" s="398" t="s">
        <v>466</v>
      </c>
      <c r="C891" s="400" t="str">
        <f t="array" ref="C891">INDIRECT("Tableau!$M$135")</f>
        <v>Immo Toma </v>
      </c>
      <c r="D891" s="400" t="str">
        <f t="shared" si="6"/>
        <v>IN</v>
      </c>
      <c r="E891" s="403" t="str">
        <f t="array" ref="E891">INDIRECT("Tableau!$N$135")</f>
        <v/>
      </c>
    </row>
    <row r="892">
      <c r="A892" s="402">
        <f t="array" ref="A892">INDIRECT("Tableau!$A$136")</f>
        <v>402</v>
      </c>
      <c r="B892" s="398" t="s">
        <v>466</v>
      </c>
      <c r="C892" s="400" t="str">
        <f t="array" ref="C892">INDIRECT("Tableau!$M$136")</f>
        <v>Carbelle</v>
      </c>
      <c r="D892" s="400" t="str">
        <f t="shared" si="6"/>
        <v>IN</v>
      </c>
      <c r="E892" s="403" t="str">
        <f t="array" ref="E892">INDIRECT("Tableau!$N$136")</f>
        <v/>
      </c>
    </row>
    <row r="893">
      <c r="A893" s="402">
        <f t="array" ref="A893">INDIRECT("Tableau!$A$137")</f>
        <v>403</v>
      </c>
      <c r="B893" s="398" t="s">
        <v>466</v>
      </c>
      <c r="C893" s="400" t="str">
        <f t="array" ref="C893">INDIRECT("Tableau!$M$137")</f>
        <v>Carbelle</v>
      </c>
      <c r="D893" s="400" t="str">
        <f t="shared" si="6"/>
        <v>IN</v>
      </c>
      <c r="E893" s="403" t="str">
        <f t="array" ref="E893">INDIRECT("Tableau!$N$137")</f>
        <v/>
      </c>
    </row>
    <row r="894">
      <c r="A894" s="402">
        <f t="array" ref="A894">INDIRECT("Tableau!$A$138")</f>
        <v>404</v>
      </c>
      <c r="B894" s="398" t="s">
        <v>466</v>
      </c>
      <c r="C894" s="400" t="str">
        <f t="array" ref="C894">INDIRECT("Tableau!$M$138")</f>
        <v>Carbelle</v>
      </c>
      <c r="D894" s="400" t="str">
        <f t="shared" si="6"/>
        <v>IN</v>
      </c>
      <c r="E894" s="403" t="str">
        <f t="array" ref="E894">INDIRECT("Tableau!$N$138")</f>
        <v/>
      </c>
    </row>
    <row r="895">
      <c r="A895" s="402">
        <f t="array" ref="A895">INDIRECT("Tableau!$A$139")</f>
        <v>405</v>
      </c>
      <c r="B895" s="398" t="s">
        <v>466</v>
      </c>
      <c r="C895" s="400" t="str">
        <f t="array" ref="C895">INDIRECT("Tableau!$M$139")</f>
        <v/>
      </c>
      <c r="D895" s="400" t="str">
        <f t="shared" si="6"/>
        <v>IN</v>
      </c>
      <c r="E895" s="403" t="str">
        <f t="array" ref="E895">INDIRECT("Tableau!$N$139")</f>
        <v/>
      </c>
    </row>
    <row r="896">
      <c r="A896" s="402">
        <f t="array" ref="A896">INDIRECT("Tableau!$A$140")</f>
        <v>406</v>
      </c>
      <c r="B896" s="398" t="s">
        <v>466</v>
      </c>
      <c r="C896" s="400" t="str">
        <f t="array" ref="C896">INDIRECT("Tableau!$M$140")</f>
        <v/>
      </c>
      <c r="D896" s="400" t="str">
        <f t="shared" si="6"/>
        <v>IN</v>
      </c>
      <c r="E896" s="403" t="str">
        <f t="array" ref="E896">INDIRECT("Tableau!$N$140")</f>
        <v/>
      </c>
    </row>
    <row r="897">
      <c r="A897" s="402">
        <f t="array" ref="A897">INDIRECT("Tableau!$A$141")</f>
        <v>407</v>
      </c>
      <c r="B897" s="398" t="s">
        <v>466</v>
      </c>
      <c r="C897" s="400" t="str">
        <f t="array" ref="C897">INDIRECT("Tableau!$M$141")</f>
        <v>Carbelle</v>
      </c>
      <c r="D897" s="400" t="str">
        <f t="shared" si="6"/>
        <v>IN</v>
      </c>
      <c r="E897" s="403" t="str">
        <f t="array" ref="E897">INDIRECT("Tableau!$N$141")</f>
        <v/>
      </c>
    </row>
    <row r="898">
      <c r="A898" s="402">
        <f t="array" ref="A898">INDIRECT("Tableau!$A$142")</f>
        <v>408</v>
      </c>
      <c r="B898" s="398" t="s">
        <v>466</v>
      </c>
      <c r="C898" s="400" t="str">
        <f t="array" ref="C898">INDIRECT("Tableau!$M$142")</f>
        <v>Carbelle</v>
      </c>
      <c r="D898" s="400" t="str">
        <f t="shared" si="6"/>
        <v>IN</v>
      </c>
      <c r="E898" s="403" t="str">
        <f t="array" ref="E898">INDIRECT("Tableau!$N$142")</f>
        <v/>
      </c>
    </row>
    <row r="899">
      <c r="A899" s="402">
        <f t="array" ref="A899">INDIRECT("Tableau!$A$143")</f>
        <v>409</v>
      </c>
      <c r="B899" s="398" t="s">
        <v>466</v>
      </c>
      <c r="C899" s="400" t="str">
        <f t="array" ref="C899">INDIRECT("Tableau!$M$143")</f>
        <v/>
      </c>
      <c r="D899" s="400" t="str">
        <f t="shared" si="6"/>
        <v>IN</v>
      </c>
      <c r="E899" s="403" t="str">
        <f t="array" ref="E899">INDIRECT("Tableau!$N$143")</f>
        <v/>
      </c>
    </row>
    <row r="900">
      <c r="A900" s="397">
        <f t="array" ref="A900">INDIRECT("Tableau!$A$144")</f>
        <v>415</v>
      </c>
      <c r="B900" s="398" t="s">
        <v>466</v>
      </c>
      <c r="C900" s="400" t="str">
        <f t="array" ref="C900">INDIRECT("Tableau!$M$144")</f>
        <v>Carbelle</v>
      </c>
      <c r="D900" s="400" t="str">
        <f t="shared" si="6"/>
        <v>IN</v>
      </c>
      <c r="E900" s="403" t="str">
        <f t="array" ref="E900">INDIRECT("Tableau!$N$144")</f>
        <v/>
      </c>
    </row>
    <row r="901">
      <c r="A901" s="397" t="str">
        <f t="array" ref="A901">INDIRECT("Tableau!$A$145")</f>
        <v/>
      </c>
      <c r="B901" s="398" t="s">
        <v>466</v>
      </c>
      <c r="C901" s="400" t="str">
        <f t="array" ref="C901">INDIRECT("Tableau!$M$145")</f>
        <v/>
      </c>
      <c r="D901" s="400" t="str">
        <f t="shared" si="6"/>
        <v>IN</v>
      </c>
      <c r="E901" s="403" t="str">
        <f t="array" ref="E901">INDIRECT("Tableau!$N$145")</f>
        <v/>
      </c>
    </row>
    <row r="902">
      <c r="A902" s="397" t="str">
        <f t="array" ref="A902">INDIRECT("Tableau!$A$146")</f>
        <v/>
      </c>
      <c r="B902" s="398" t="s">
        <v>466</v>
      </c>
      <c r="C902" s="400" t="str">
        <f t="array" ref="C902">INDIRECT("Tableau!$M$146")</f>
        <v/>
      </c>
      <c r="D902" s="400" t="str">
        <f t="shared" si="6"/>
        <v>IN</v>
      </c>
      <c r="E902" s="403" t="str">
        <f t="array" ref="E902">INDIRECT("Tableau!$N$146")</f>
        <v/>
      </c>
    </row>
    <row r="903">
      <c r="A903" s="397" t="str">
        <f t="array" ref="A903">INDIRECT("Tableau!$A$147")</f>
        <v/>
      </c>
      <c r="B903" s="398" t="s">
        <v>466</v>
      </c>
      <c r="C903" s="400" t="str">
        <f t="array" ref="C903">INDIRECT("Tableau!$M$147")</f>
        <v/>
      </c>
      <c r="D903" s="400" t="str">
        <f t="shared" si="6"/>
        <v>IN</v>
      </c>
      <c r="E903" s="403" t="str">
        <f t="array" ref="E903">INDIRECT("Tableau!$N$147")</f>
        <v/>
      </c>
    </row>
    <row r="904">
      <c r="A904" s="397" t="str">
        <f t="array" ref="A904">INDIRECT("Tableau!$A$148")</f>
        <v/>
      </c>
      <c r="B904" s="398" t="s">
        <v>466</v>
      </c>
      <c r="C904" s="400" t="str">
        <f t="array" ref="C904">INDIRECT("Tableau!$M$148")</f>
        <v/>
      </c>
      <c r="D904" s="400" t="str">
        <f t="shared" si="6"/>
        <v>IN</v>
      </c>
      <c r="E904" s="403" t="str">
        <f t="array" ref="E904">INDIRECT("Tableau!$N$148")</f>
        <v/>
      </c>
    </row>
    <row r="905">
      <c r="A905" s="397" t="str">
        <f t="array" ref="A905">INDIRECT("Tableau!$A$149")</f>
        <v/>
      </c>
      <c r="B905" s="398" t="s">
        <v>466</v>
      </c>
      <c r="C905" s="400" t="str">
        <f t="array" ref="C905">INDIRECT("Tableau!$M$149")</f>
        <v/>
      </c>
      <c r="D905" s="400" t="str">
        <f t="shared" si="6"/>
        <v>IN</v>
      </c>
      <c r="E905" s="403" t="str">
        <f t="array" ref="E905">INDIRECT("Tableau!$N$149")</f>
        <v/>
      </c>
    </row>
    <row r="906">
      <c r="A906" s="397" t="str">
        <f t="array" ref="A906">INDIRECT("Tableau!$A$150")</f>
        <v/>
      </c>
      <c r="B906" s="398" t="s">
        <v>466</v>
      </c>
      <c r="C906" s="400" t="str">
        <f t="array" ref="C906">INDIRECT("Tableau!$M$150")</f>
        <v/>
      </c>
      <c r="D906" s="400" t="str">
        <f t="shared" si="6"/>
        <v>IN</v>
      </c>
      <c r="E906" s="403" t="str">
        <f t="array" ref="E906">INDIRECT("Tableau!$N$150")</f>
        <v/>
      </c>
    </row>
    <row r="907">
      <c r="A907" s="397" t="str">
        <f t="array" ref="A907">INDIRECT("Tableau!$A$151")</f>
        <v/>
      </c>
      <c r="B907" s="398" t="s">
        <v>466</v>
      </c>
      <c r="C907" s="400" t="str">
        <f t="array" ref="C907">INDIRECT("Tableau!$M$151")</f>
        <v/>
      </c>
      <c r="D907" s="400" t="str">
        <f t="shared" si="6"/>
        <v>IN</v>
      </c>
      <c r="E907" s="403" t="str">
        <f t="array" ref="E907">INDIRECT("Tableau!$N$151")</f>
        <v/>
      </c>
    </row>
    <row r="908">
      <c r="A908" s="397" t="str">
        <f t="array" ref="A908">INDIRECT("Tableau!$A$152")</f>
        <v/>
      </c>
      <c r="B908" s="398" t="s">
        <v>466</v>
      </c>
      <c r="C908" s="400" t="str">
        <f t="array" ref="C908">INDIRECT("Tableau!$M$152")</f>
        <v/>
      </c>
      <c r="D908" s="400" t="str">
        <f t="shared" si="6"/>
        <v>IN</v>
      </c>
      <c r="E908" s="403" t="str">
        <f t="array" ref="E908">INDIRECT("Tableau!$N$152")</f>
        <v/>
      </c>
    </row>
    <row r="909">
      <c r="A909" s="397" t="str">
        <f t="array" ref="A909">INDIRECT("Tableau!$A$153")</f>
        <v/>
      </c>
      <c r="B909" s="398" t="s">
        <v>466</v>
      </c>
      <c r="C909" s="400" t="str">
        <f t="array" ref="C909">INDIRECT("Tableau!$M$153")</f>
        <v/>
      </c>
      <c r="D909" s="400" t="str">
        <f t="shared" si="6"/>
        <v>IN</v>
      </c>
      <c r="E909" s="403" t="str">
        <f t="array" ref="E909">INDIRECT("Tableau!$N$153")</f>
        <v/>
      </c>
    </row>
    <row r="910">
      <c r="A910" s="402">
        <f t="array" ref="A910">INDIRECT("Tableau!$A$154")</f>
        <v>501</v>
      </c>
      <c r="B910" s="398" t="s">
        <v>466</v>
      </c>
      <c r="C910" s="400" t="str">
        <f t="array" ref="C910">INDIRECT("Tableau!$M$154")</f>
        <v/>
      </c>
      <c r="D910" s="400" t="str">
        <f t="shared" si="6"/>
        <v>IN</v>
      </c>
      <c r="E910" s="403" t="str">
        <f t="array" ref="E910">INDIRECT("Tableau!$N$154")</f>
        <v/>
      </c>
    </row>
    <row r="911">
      <c r="A911" s="402">
        <f t="array" ref="A911">INDIRECT("Tableau!$A$155")</f>
        <v>502</v>
      </c>
      <c r="B911" s="398" t="s">
        <v>466</v>
      </c>
      <c r="C911" s="400" t="str">
        <f t="array" ref="C911">INDIRECT("Tableau!$M$155")</f>
        <v>DPS</v>
      </c>
      <c r="D911" s="400" t="str">
        <f t="shared" si="6"/>
        <v>IN</v>
      </c>
      <c r="E911" s="403" t="str">
        <f t="array" ref="E911">INDIRECT("Tableau!$N$155")</f>
        <v/>
      </c>
    </row>
    <row r="912">
      <c r="A912" s="397" t="str">
        <f t="array" ref="A912">INDIRECT("Tableau!$A$156")</f>
        <v/>
      </c>
      <c r="B912" s="398" t="s">
        <v>466</v>
      </c>
      <c r="C912" s="400" t="str">
        <f t="array" ref="C912">INDIRECT("Tableau!$M$156")</f>
        <v>DPS</v>
      </c>
      <c r="D912" s="400" t="str">
        <f t="shared" si="6"/>
        <v>IN</v>
      </c>
      <c r="E912" s="403" t="str">
        <f t="array" ref="E912">INDIRECT("Tableau!$N$156")</f>
        <v/>
      </c>
    </row>
    <row r="913">
      <c r="A913" s="397" t="str">
        <f t="array" ref="A913">INDIRECT("Tableau!$A$157")</f>
        <v/>
      </c>
      <c r="B913" s="398" t="s">
        <v>466</v>
      </c>
      <c r="C913" s="400" t="str">
        <f t="array" ref="C913">INDIRECT("Tableau!$M$157")</f>
        <v>DPS</v>
      </c>
      <c r="D913" s="400" t="str">
        <f t="shared" si="6"/>
        <v>IN</v>
      </c>
      <c r="E913" s="403" t="str">
        <f t="array" ref="E913">INDIRECT("Tableau!$N$157")</f>
        <v/>
      </c>
    </row>
    <row r="914">
      <c r="A914" s="402">
        <f t="array" ref="A914">INDIRECT("Tableau!$A$158")</f>
        <v>505</v>
      </c>
      <c r="B914" s="398" t="s">
        <v>466</v>
      </c>
      <c r="C914" s="400" t="str">
        <f t="array" ref="C914">INDIRECT("Tableau!$M$158")</f>
        <v>DPS</v>
      </c>
      <c r="D914" s="400" t="str">
        <f t="shared" si="6"/>
        <v>IN</v>
      </c>
      <c r="E914" s="403" t="str">
        <f t="array" ref="E914">INDIRECT("Tableau!$N$158")</f>
        <v/>
      </c>
    </row>
    <row r="915">
      <c r="A915" s="402">
        <f t="array" ref="A915">INDIRECT("Tableau!$A$159")</f>
        <v>506</v>
      </c>
      <c r="B915" s="398" t="s">
        <v>466</v>
      </c>
      <c r="C915" s="400" t="str">
        <f t="array" ref="C915">INDIRECT("Tableau!$M$159")</f>
        <v/>
      </c>
      <c r="D915" s="400" t="str">
        <f t="shared" si="6"/>
        <v>IN</v>
      </c>
      <c r="E915" s="403" t="str">
        <f t="array" ref="E915">INDIRECT("Tableau!$N$159")</f>
        <v/>
      </c>
    </row>
    <row r="916">
      <c r="A916" s="402">
        <f t="array" ref="A916">INDIRECT("Tableau!$A$160")</f>
        <v>507</v>
      </c>
      <c r="B916" s="398" t="s">
        <v>466</v>
      </c>
      <c r="C916" s="400" t="str">
        <f t="array" ref="C916">INDIRECT("Tableau!$M$160")</f>
        <v>DPS</v>
      </c>
      <c r="D916" s="400" t="str">
        <f t="shared" si="6"/>
        <v>IN</v>
      </c>
      <c r="E916" s="403" t="str">
        <f t="array" ref="E916">INDIRECT("Tableau!$N$160")</f>
        <v/>
      </c>
    </row>
    <row r="917">
      <c r="A917" s="402">
        <f t="array" ref="A917">INDIRECT("Tableau!$A$161")</f>
        <v>508</v>
      </c>
      <c r="B917" s="398" t="s">
        <v>466</v>
      </c>
      <c r="C917" s="400" t="str">
        <f t="array" ref="C917">INDIRECT("Tableau!$M$161")</f>
        <v/>
      </c>
      <c r="D917" s="400" t="str">
        <f t="shared" si="6"/>
        <v>IN</v>
      </c>
      <c r="E917" s="403" t="str">
        <f t="array" ref="E917">INDIRECT("Tableau!$N$161")</f>
        <v/>
      </c>
    </row>
    <row r="918">
      <c r="A918" s="402">
        <f t="array" ref="A918">INDIRECT("Tableau!$A$162")</f>
        <v>509</v>
      </c>
      <c r="B918" s="398" t="s">
        <v>466</v>
      </c>
      <c r="C918" s="400" t="str">
        <f t="array" ref="C918">INDIRECT("Tableau!$M$162")</f>
        <v/>
      </c>
      <c r="D918" s="400" t="str">
        <f t="shared" si="6"/>
        <v>IN</v>
      </c>
      <c r="E918" s="403" t="str">
        <f t="array" ref="E918">INDIRECT("Tableau!$N$162")</f>
        <v/>
      </c>
    </row>
    <row r="919">
      <c r="A919" s="397">
        <f t="array" ref="A919">INDIRECT("Tableau!$A$163")</f>
        <v>510</v>
      </c>
      <c r="B919" s="398" t="s">
        <v>466</v>
      </c>
      <c r="C919" s="400" t="str">
        <f t="array" ref="C919">INDIRECT("Tableau!$M$163")</f>
        <v>DPS</v>
      </c>
      <c r="D919" s="400" t="str">
        <f t="shared" si="6"/>
        <v>IN</v>
      </c>
      <c r="E919" s="403" t="str">
        <f t="array" ref="E919">INDIRECT("Tableau!$N$163")</f>
        <v/>
      </c>
    </row>
    <row r="920">
      <c r="A920" s="397" t="str">
        <f t="array" ref="A920">INDIRECT("Tableau!$A$164")</f>
        <v/>
      </c>
      <c r="B920" s="398" t="s">
        <v>466</v>
      </c>
      <c r="C920" s="400" t="str">
        <f t="array" ref="C920">INDIRECT("Tableau!$M$164")</f>
        <v/>
      </c>
      <c r="D920" s="400" t="str">
        <f t="shared" si="6"/>
        <v>IN</v>
      </c>
      <c r="E920" s="403" t="str">
        <f t="array" ref="E920">INDIRECT("Tableau!$N$164")</f>
        <v/>
      </c>
    </row>
    <row r="921">
      <c r="A921" s="397" t="str">
        <f t="array" ref="A921">INDIRECT("Tableau!$A$165")</f>
        <v/>
      </c>
      <c r="B921" s="398" t="s">
        <v>466</v>
      </c>
      <c r="C921" s="400" t="str">
        <f t="array" ref="C921">INDIRECT("Tableau!$M$165")</f>
        <v/>
      </c>
      <c r="D921" s="400" t="str">
        <f t="shared" si="6"/>
        <v>IN</v>
      </c>
      <c r="E921" s="403" t="str">
        <f t="array" ref="E921">INDIRECT("Tableau!$N$165")</f>
        <v/>
      </c>
    </row>
    <row r="922">
      <c r="A922" s="402">
        <f t="array" ref="A922">INDIRECT("Tableau!$A$166")</f>
        <v>527</v>
      </c>
      <c r="B922" s="398" t="s">
        <v>466</v>
      </c>
      <c r="C922" s="400" t="str">
        <f t="array" ref="C922">INDIRECT("Tableau!$M$166")</f>
        <v/>
      </c>
      <c r="D922" s="400" t="str">
        <f t="shared" si="6"/>
        <v>IN</v>
      </c>
      <c r="E922" s="403" t="str">
        <f t="array" ref="E922">INDIRECT("Tableau!$N$166")</f>
        <v/>
      </c>
    </row>
    <row r="923">
      <c r="A923" s="402">
        <f t="array" ref="A923">INDIRECT("Tableau!$A$167")</f>
        <v>512</v>
      </c>
      <c r="B923" s="398" t="s">
        <v>466</v>
      </c>
      <c r="C923" s="400" t="str">
        <f t="array" ref="C923">INDIRECT("Tableau!$M$167")</f>
        <v>DPS</v>
      </c>
      <c r="D923" s="400" t="str">
        <f t="shared" si="6"/>
        <v>IN</v>
      </c>
      <c r="E923" s="403" t="str">
        <f t="array" ref="E923">INDIRECT("Tableau!$N$167")</f>
        <v/>
      </c>
    </row>
    <row r="924">
      <c r="A924" s="402">
        <f t="array" ref="A924">INDIRECT("Tableau!$A$168")</f>
        <v>513</v>
      </c>
      <c r="B924" s="398" t="s">
        <v>466</v>
      </c>
      <c r="C924" s="400" t="str">
        <f t="array" ref="C924">INDIRECT("Tableau!$M$168")</f>
        <v/>
      </c>
      <c r="D924" s="400" t="str">
        <f t="shared" si="6"/>
        <v>IN</v>
      </c>
      <c r="E924" s="403" t="str">
        <f t="array" ref="E924">INDIRECT("Tableau!$N$168")</f>
        <v/>
      </c>
    </row>
    <row r="925">
      <c r="A925" s="402">
        <f t="array" ref="A925">INDIRECT("Tableau!$A$169")</f>
        <v>514</v>
      </c>
      <c r="B925" s="398" t="s">
        <v>466</v>
      </c>
      <c r="C925" s="400" t="str">
        <f t="array" ref="C925">INDIRECT("Tableau!$M$169")</f>
        <v/>
      </c>
      <c r="D925" s="400" t="str">
        <f t="shared" si="6"/>
        <v>IN</v>
      </c>
      <c r="E925" s="403" t="str">
        <f t="array" ref="E925">INDIRECT("Tableau!$N$169")</f>
        <v/>
      </c>
    </row>
    <row r="926">
      <c r="A926" s="402">
        <f t="array" ref="A926">INDIRECT("Tableau!$A$170")</f>
        <v>515</v>
      </c>
      <c r="B926" s="398" t="s">
        <v>466</v>
      </c>
      <c r="C926" s="400" t="str">
        <f t="array" ref="C926">INDIRECT("Tableau!$M$170")</f>
        <v/>
      </c>
      <c r="D926" s="400" t="str">
        <f t="shared" si="6"/>
        <v>IN</v>
      </c>
      <c r="E926" s="403" t="str">
        <f t="array" ref="E926">INDIRECT("Tableau!$N$170")</f>
        <v/>
      </c>
    </row>
    <row r="927">
      <c r="A927" s="402">
        <f t="array" ref="A927">INDIRECT("Tableau!$A$171")</f>
        <v>517</v>
      </c>
      <c r="B927" s="398" t="s">
        <v>466</v>
      </c>
      <c r="C927" s="400" t="str">
        <f t="array" ref="C927">INDIRECT("Tableau!$M$171")</f>
        <v/>
      </c>
      <c r="D927" s="400" t="str">
        <f t="shared" si="6"/>
        <v>IN</v>
      </c>
      <c r="E927" s="403" t="str">
        <f t="array" ref="E927">INDIRECT("Tableau!$N$171")</f>
        <v/>
      </c>
    </row>
    <row r="928">
      <c r="A928" s="402">
        <f t="array" ref="A928">INDIRECT("Tableau!$A$172")</f>
        <v>518</v>
      </c>
      <c r="B928" s="398" t="s">
        <v>466</v>
      </c>
      <c r="C928" s="400" t="str">
        <f t="array" ref="C928">INDIRECT("Tableau!$M$172")</f>
        <v/>
      </c>
      <c r="D928" s="400" t="str">
        <f t="shared" si="6"/>
        <v>IN</v>
      </c>
      <c r="E928" s="403" t="str">
        <f t="array" ref="E928">INDIRECT("Tableau!$N$172")</f>
        <v/>
      </c>
    </row>
    <row r="929">
      <c r="A929" s="397" t="str">
        <f t="array" ref="A929">INDIRECT("Tableau!$A$173")</f>
        <v/>
      </c>
      <c r="B929" s="398" t="s">
        <v>466</v>
      </c>
      <c r="C929" s="400" t="str">
        <f t="array" ref="C929">INDIRECT("Tableau!$M$173")</f>
        <v/>
      </c>
      <c r="D929" s="400" t="str">
        <f t="shared" si="6"/>
        <v>IN</v>
      </c>
      <c r="E929" s="403" t="str">
        <f t="array" ref="E929">INDIRECT("Tableau!$N$173")</f>
        <v/>
      </c>
    </row>
    <row r="930">
      <c r="A930" s="402">
        <f t="array" ref="A930">INDIRECT("Tableau!$A$174")</f>
        <v>520</v>
      </c>
      <c r="B930" s="398" t="s">
        <v>466</v>
      </c>
      <c r="C930" s="400" t="str">
        <f t="array" ref="C930">INDIRECT("Tableau!$M$174")</f>
        <v/>
      </c>
      <c r="D930" s="400" t="str">
        <f t="shared" si="6"/>
        <v>IN</v>
      </c>
      <c r="E930" s="403" t="str">
        <f t="array" ref="E930">INDIRECT("Tableau!$N$174")</f>
        <v/>
      </c>
    </row>
    <row r="931">
      <c r="A931" s="402">
        <f t="array" ref="A931">INDIRECT("Tableau!$A$175")</f>
        <v>521</v>
      </c>
      <c r="B931" s="398" t="s">
        <v>466</v>
      </c>
      <c r="C931" s="400" t="str">
        <f t="array" ref="C931">INDIRECT("Tableau!$M$175")</f>
        <v/>
      </c>
      <c r="D931" s="400" t="str">
        <f t="shared" si="6"/>
        <v>IN</v>
      </c>
      <c r="E931" s="403" t="str">
        <f t="array" ref="E931">INDIRECT("Tableau!$N$175")</f>
        <v/>
      </c>
    </row>
    <row r="932">
      <c r="A932" s="402">
        <f t="array" ref="A932">INDIRECT("Tableau!$A$176")</f>
        <v>525</v>
      </c>
      <c r="B932" s="398" t="s">
        <v>466</v>
      </c>
      <c r="C932" s="400" t="str">
        <f t="array" ref="C932">INDIRECT("Tableau!$M$176")</f>
        <v/>
      </c>
      <c r="D932" s="400" t="str">
        <f t="shared" si="6"/>
        <v>IN</v>
      </c>
      <c r="E932" s="403" t="str">
        <f t="array" ref="E932">INDIRECT("Tableau!$N$176")</f>
        <v/>
      </c>
    </row>
    <row r="933">
      <c r="A933" s="402">
        <f t="array" ref="A933">INDIRECT("Tableau!$A$177")</f>
        <v>530</v>
      </c>
      <c r="B933" s="398" t="s">
        <v>466</v>
      </c>
      <c r="C933" s="400" t="str">
        <f t="array" ref="C933">INDIRECT("Tableau!$M$177")</f>
        <v>DPS</v>
      </c>
      <c r="D933" s="400" t="str">
        <f t="shared" si="6"/>
        <v>IN</v>
      </c>
      <c r="E933" s="403" t="str">
        <f t="array" ref="E933">INDIRECT("Tableau!$N$177")</f>
        <v/>
      </c>
    </row>
    <row r="934">
      <c r="A934" s="397" t="str">
        <f t="array" ref="A934">INDIRECT("Tableau!$A$178")</f>
        <v/>
      </c>
      <c r="B934" s="398" t="s">
        <v>466</v>
      </c>
      <c r="C934" s="400" t="str">
        <f t="array" ref="C934">INDIRECT("Tableau!$M$178")</f>
        <v/>
      </c>
      <c r="D934" s="400" t="str">
        <f t="shared" si="6"/>
        <v>IN</v>
      </c>
      <c r="E934" s="403" t="str">
        <f t="array" ref="E934">INDIRECT("Tableau!$N$178")</f>
        <v/>
      </c>
    </row>
    <row r="935">
      <c r="A935" s="397" t="str">
        <f t="array" ref="A935">INDIRECT("Tableau!$A$179")</f>
        <v/>
      </c>
      <c r="B935" s="398" t="s">
        <v>466</v>
      </c>
      <c r="C935" s="400" t="str">
        <f t="array" ref="C935">INDIRECT("Tableau!$M$179")</f>
        <v/>
      </c>
      <c r="D935" s="400" t="str">
        <f t="shared" si="6"/>
        <v>IN</v>
      </c>
      <c r="E935" s="403" t="str">
        <f t="array" ref="E935">INDIRECT("Tableau!$N$179")</f>
        <v/>
      </c>
    </row>
    <row r="936">
      <c r="A936" s="397" t="str">
        <f t="array" ref="A936">INDIRECT("Tableau!$A$180")</f>
        <v/>
      </c>
      <c r="B936" s="398" t="s">
        <v>466</v>
      </c>
      <c r="C936" s="400" t="str">
        <f t="array" ref="C936">INDIRECT("Tableau!$M$180")</f>
        <v/>
      </c>
      <c r="D936" s="400" t="str">
        <f t="shared" si="6"/>
        <v>IN</v>
      </c>
      <c r="E936" s="403" t="str">
        <f t="array" ref="E936">INDIRECT("Tableau!$N$180")</f>
        <v/>
      </c>
    </row>
    <row r="937">
      <c r="A937" s="397" t="str">
        <f t="array" ref="A937">INDIRECT("Tableau!$A$181")</f>
        <v/>
      </c>
      <c r="B937" s="398" t="s">
        <v>466</v>
      </c>
      <c r="C937" s="400" t="str">
        <f t="array" ref="C937">INDIRECT("Tableau!$M$181")</f>
        <v/>
      </c>
      <c r="D937" s="400" t="str">
        <f t="shared" si="6"/>
        <v>IN</v>
      </c>
      <c r="E937" s="403" t="str">
        <f t="array" ref="E937">INDIRECT("Tableau!$N$181")</f>
        <v/>
      </c>
    </row>
    <row r="938">
      <c r="A938" s="397" t="str">
        <f t="array" ref="A938">INDIRECT("Tableau!$A$182")</f>
        <v/>
      </c>
      <c r="B938" s="398" t="s">
        <v>466</v>
      </c>
      <c r="C938" s="400" t="str">
        <f t="array" ref="C938">INDIRECT("Tableau!$M$182")</f>
        <v/>
      </c>
      <c r="D938" s="400" t="str">
        <f t="shared" si="6"/>
        <v>IN</v>
      </c>
      <c r="E938" s="403" t="str">
        <f t="array" ref="E938">INDIRECT("Tableau!$N$182")</f>
        <v/>
      </c>
    </row>
    <row r="939">
      <c r="A939" s="397" t="str">
        <f t="array" ref="A939">INDIRECT("Tableau!$A$183")</f>
        <v/>
      </c>
      <c r="B939" s="398" t="s">
        <v>466</v>
      </c>
      <c r="C939" s="400" t="str">
        <f t="array" ref="C939">INDIRECT("Tableau!$M$183")</f>
        <v/>
      </c>
      <c r="D939" s="400" t="str">
        <f t="shared" si="6"/>
        <v>IN</v>
      </c>
      <c r="E939" s="403" t="str">
        <f t="array" ref="E939">INDIRECT("Tableau!$N$183")</f>
        <v/>
      </c>
    </row>
    <row r="940">
      <c r="A940" s="397" t="str">
        <f t="array" ref="A940">INDIRECT("Tableau!$A$184")</f>
        <v/>
      </c>
      <c r="B940" s="398" t="s">
        <v>466</v>
      </c>
      <c r="C940" s="400" t="str">
        <f t="array" ref="C940">INDIRECT("Tableau!$M$184")</f>
        <v/>
      </c>
      <c r="D940" s="400" t="str">
        <f t="shared" si="6"/>
        <v>IN</v>
      </c>
      <c r="E940" s="403" t="str">
        <f t="array" ref="E940">INDIRECT("Tableau!$N$184")</f>
        <v/>
      </c>
    </row>
    <row r="941">
      <c r="A941" s="397" t="str">
        <f t="array" ref="A941">INDIRECT("Tableau!$A$185")</f>
        <v/>
      </c>
      <c r="B941" s="398" t="s">
        <v>466</v>
      </c>
      <c r="C941" s="400" t="str">
        <f t="array" ref="C941">INDIRECT("Tableau!$M$185")</f>
        <v/>
      </c>
      <c r="D941" s="400" t="str">
        <f t="shared" si="6"/>
        <v>IN</v>
      </c>
      <c r="E941" s="403" t="str">
        <f t="array" ref="E941">INDIRECT("Tableau!$N$185")</f>
        <v/>
      </c>
    </row>
    <row r="942">
      <c r="A942" s="397" t="str">
        <f t="array" ref="A942">INDIRECT("Tableau!$A$186")</f>
        <v/>
      </c>
      <c r="B942" s="398" t="s">
        <v>466</v>
      </c>
      <c r="C942" s="400" t="str">
        <f t="array" ref="C942">INDIRECT("Tableau!$M$186")</f>
        <v/>
      </c>
      <c r="D942" s="400" t="str">
        <f t="shared" si="6"/>
        <v>IN</v>
      </c>
      <c r="E942" s="403" t="str">
        <f t="array" ref="E942">INDIRECT("Tableau!$N$186")</f>
        <v/>
      </c>
    </row>
    <row r="943">
      <c r="A943" s="397" t="str">
        <f t="array" ref="A943">INDIRECT("Tableau!$A$187")</f>
        <v/>
      </c>
      <c r="B943" s="398" t="s">
        <v>466</v>
      </c>
      <c r="C943" s="400" t="str">
        <f t="array" ref="C943">INDIRECT("Tableau!$M$187")</f>
        <v/>
      </c>
      <c r="D943" s="400" t="str">
        <f t="shared" si="6"/>
        <v>IN</v>
      </c>
      <c r="E943" s="403" t="str">
        <f t="array" ref="E943">INDIRECT("Tableau!$N$187")</f>
        <v/>
      </c>
    </row>
    <row r="944">
      <c r="A944" s="397" t="str">
        <f t="array" ref="A944">INDIRECT("Tableau!$A$188")</f>
        <v/>
      </c>
      <c r="B944" s="398" t="s">
        <v>466</v>
      </c>
      <c r="C944" s="400" t="str">
        <f t="array" ref="C944">INDIRECT("Tableau!$M$188")</f>
        <v/>
      </c>
      <c r="D944" s="400" t="str">
        <f t="shared" si="6"/>
        <v>IN</v>
      </c>
      <c r="E944" s="403" t="str">
        <f t="array" ref="E944">INDIRECT("Tableau!$N$188")</f>
        <v/>
      </c>
    </row>
    <row r="945">
      <c r="A945" s="397" t="str">
        <f t="array" ref="A945">INDIRECT("Tableau!$A$189")</f>
        <v/>
      </c>
      <c r="B945" s="398" t="s">
        <v>466</v>
      </c>
      <c r="C945" s="400" t="str">
        <f t="array" ref="C945">INDIRECT("Tableau!$M$189")</f>
        <v/>
      </c>
      <c r="D945" s="400" t="str">
        <f t="shared" si="6"/>
        <v>IN</v>
      </c>
      <c r="E945" s="403" t="str">
        <f t="array" ref="E945">INDIRECT("Tableau!$N$189")</f>
        <v/>
      </c>
    </row>
    <row r="946">
      <c r="A946" s="397" t="str">
        <f t="array" ref="A946">INDIRECT("Tableau!$A$190")</f>
        <v/>
      </c>
      <c r="B946" s="398" t="s">
        <v>466</v>
      </c>
      <c r="C946" s="400" t="str">
        <f t="array" ref="C946">INDIRECT("Tableau!$M$190")</f>
        <v/>
      </c>
      <c r="D946" s="400" t="str">
        <f t="shared" si="6"/>
        <v>IN</v>
      </c>
      <c r="E946" s="403" t="str">
        <f t="array" ref="E946">INDIRECT("Tableau!$N$190")</f>
        <v/>
      </c>
    </row>
    <row r="947">
      <c r="A947" s="397" t="str">
        <f t="array" ref="A947">INDIRECT("Tableau!$A$2")</f>
        <v/>
      </c>
      <c r="B947" s="398" t="s">
        <v>466</v>
      </c>
      <c r="C947" s="400" t="str">
        <f t="array" ref="C947">INDIRECT("Tableau!$O$2")</f>
        <v/>
      </c>
      <c r="D947" s="400" t="str">
        <f t="shared" ref="D947:D1135" si="7">INDIRECT("Tableau!$P$1")</f>
        <v>OUT</v>
      </c>
      <c r="E947" s="403" t="str">
        <f t="array" ref="E947">INDIRECT("Tableau!$P$2")</f>
        <v/>
      </c>
    </row>
    <row r="948">
      <c r="A948" s="402">
        <f t="array" ref="A948">INDIRECT("Tableau!$A$3")</f>
        <v>102</v>
      </c>
      <c r="B948" s="398" t="s">
        <v>466</v>
      </c>
      <c r="C948" s="400" t="str">
        <f t="array" ref="C948">INDIRECT("Tableau!$O$3")</f>
        <v/>
      </c>
      <c r="D948" s="400" t="str">
        <f t="shared" si="7"/>
        <v>OUT</v>
      </c>
      <c r="E948" s="403" t="str">
        <f t="array" ref="E948">INDIRECT("Tableau!$P$3")</f>
        <v/>
      </c>
    </row>
    <row r="949">
      <c r="A949" s="397" t="str">
        <f t="array" ref="A949">INDIRECT("Tableau!$A$4")</f>
        <v/>
      </c>
      <c r="B949" s="398" t="s">
        <v>466</v>
      </c>
      <c r="C949" s="400" t="str">
        <f t="array" ref="C949">INDIRECT("Tableau!$O$4")</f>
        <v/>
      </c>
      <c r="D949" s="400" t="str">
        <f t="shared" si="7"/>
        <v>OUT</v>
      </c>
      <c r="E949" s="403" t="str">
        <f t="array" ref="E949">INDIRECT("Tableau!$P$4")</f>
        <v/>
      </c>
    </row>
    <row r="950">
      <c r="A950" s="402">
        <f t="array" ref="A950">INDIRECT("Tableau!$A$5")</f>
        <v>104</v>
      </c>
      <c r="B950" s="398" t="s">
        <v>466</v>
      </c>
      <c r="C950" s="400" t="str">
        <f t="array" ref="C950">INDIRECT("Tableau!$O$5")</f>
        <v/>
      </c>
      <c r="D950" s="400" t="str">
        <f t="shared" si="7"/>
        <v>OUT</v>
      </c>
      <c r="E950" s="403" t="str">
        <f t="array" ref="E950">INDIRECT("Tableau!$P$5")</f>
        <v/>
      </c>
    </row>
    <row r="951">
      <c r="A951" s="402">
        <f t="array" ref="A951">INDIRECT("Tableau!$A$6")</f>
        <v>105</v>
      </c>
      <c r="B951" s="398" t="s">
        <v>466</v>
      </c>
      <c r="C951" s="400" t="str">
        <f t="array" ref="C951">INDIRECT("Tableau!$O$6")</f>
        <v/>
      </c>
      <c r="D951" s="400" t="str">
        <f t="shared" si="7"/>
        <v>OUT</v>
      </c>
      <c r="E951" s="403" t="str">
        <f t="array" ref="E951">INDIRECT("Tableau!$P$6")</f>
        <v/>
      </c>
    </row>
    <row r="952">
      <c r="A952" s="402">
        <f t="array" ref="A952">INDIRECT("Tableau!$A$7")</f>
        <v>106</v>
      </c>
      <c r="B952" s="398" t="s">
        <v>466</v>
      </c>
      <c r="C952" s="400" t="str">
        <f t="array" ref="C952">INDIRECT("Tableau!$O$7")</f>
        <v/>
      </c>
      <c r="D952" s="400" t="str">
        <f t="shared" si="7"/>
        <v>OUT</v>
      </c>
      <c r="E952" s="403" t="str">
        <f t="array" ref="E952">INDIRECT("Tableau!$P$7")</f>
        <v/>
      </c>
    </row>
    <row r="953">
      <c r="A953" s="402">
        <f t="array" ref="A953">INDIRECT("Tableau!$A$8")</f>
        <v>107</v>
      </c>
      <c r="B953" s="398" t="s">
        <v>466</v>
      </c>
      <c r="C953" s="400" t="str">
        <f t="array" ref="C953">INDIRECT("Tableau!$O$8")</f>
        <v/>
      </c>
      <c r="D953" s="400" t="str">
        <f t="shared" si="7"/>
        <v>OUT</v>
      </c>
      <c r="E953" s="403" t="str">
        <f t="array" ref="E953">INDIRECT("Tableau!$P$8")</f>
        <v/>
      </c>
    </row>
    <row r="954">
      <c r="A954" s="397">
        <f t="array" ref="A954">INDIRECT("Tableau!$A$9")</f>
        <v>108</v>
      </c>
      <c r="B954" s="398" t="s">
        <v>466</v>
      </c>
      <c r="C954" s="400" t="str">
        <f t="array" ref="C954">INDIRECT("Tableau!$O$9")</f>
        <v/>
      </c>
      <c r="D954" s="400" t="str">
        <f t="shared" si="7"/>
        <v>OUT</v>
      </c>
      <c r="E954" s="403" t="str">
        <f t="array" ref="E954">INDIRECT("Tableau!$P$9")</f>
        <v/>
      </c>
    </row>
    <row r="955">
      <c r="A955" s="402">
        <f t="array" ref="A955">INDIRECT("Tableau!$A$10")</f>
        <v>109</v>
      </c>
      <c r="B955" s="398" t="s">
        <v>466</v>
      </c>
      <c r="C955" s="400" t="str">
        <f t="array" ref="C955">INDIRECT("Tableau!$O$10")</f>
        <v/>
      </c>
      <c r="D955" s="400" t="str">
        <f t="shared" si="7"/>
        <v>OUT</v>
      </c>
      <c r="E955" s="403" t="str">
        <f t="array" ref="E955">INDIRECT("Tableau!$P$10")</f>
        <v/>
      </c>
    </row>
    <row r="956">
      <c r="A956" s="402">
        <f t="array" ref="A956">INDIRECT("Tableau!$A$11")</f>
        <v>110</v>
      </c>
      <c r="B956" s="398" t="s">
        <v>466</v>
      </c>
      <c r="C956" s="400" t="str">
        <f t="array" ref="C956">INDIRECT("Tableau!$O$11")</f>
        <v/>
      </c>
      <c r="D956" s="400" t="str">
        <f t="shared" si="7"/>
        <v>OUT</v>
      </c>
      <c r="E956" s="403" t="str">
        <f t="array" ref="E956">INDIRECT("Tableau!$P$11")</f>
        <v/>
      </c>
    </row>
    <row r="957">
      <c r="A957" s="402">
        <f t="array" ref="A957">INDIRECT("Tableau!$A$12")</f>
        <v>111</v>
      </c>
      <c r="B957" s="398" t="s">
        <v>466</v>
      </c>
      <c r="C957" s="400" t="str">
        <f t="array" ref="C957">INDIRECT("Tableau!$O$12")</f>
        <v/>
      </c>
      <c r="D957" s="400" t="str">
        <f t="shared" si="7"/>
        <v>OUT</v>
      </c>
      <c r="E957" s="403" t="str">
        <f t="array" ref="E957">INDIRECT("Tableau!$P$12")</f>
        <v/>
      </c>
    </row>
    <row r="958">
      <c r="A958" s="402">
        <f t="array" ref="A958">INDIRECT("Tableau!$A$13")</f>
        <v>112</v>
      </c>
      <c r="B958" s="398" t="s">
        <v>466</v>
      </c>
      <c r="C958" s="400" t="str">
        <f t="array" ref="C958">INDIRECT("Tableau!$O$13")</f>
        <v/>
      </c>
      <c r="D958" s="400" t="str">
        <f t="shared" si="7"/>
        <v>OUT</v>
      </c>
      <c r="E958" s="403" t="str">
        <f t="array" ref="E958">INDIRECT("Tableau!$P$13")</f>
        <v/>
      </c>
    </row>
    <row r="959">
      <c r="A959" s="402">
        <f t="array" ref="A959">INDIRECT("Tableau!$A$14")</f>
        <v>113</v>
      </c>
      <c r="B959" s="398" t="s">
        <v>466</v>
      </c>
      <c r="C959" s="400" t="str">
        <f t="array" ref="C959">INDIRECT("Tableau!$O$14")</f>
        <v/>
      </c>
      <c r="D959" s="400" t="str">
        <f t="shared" si="7"/>
        <v>OUT</v>
      </c>
      <c r="E959" s="403" t="str">
        <f t="array" ref="E959">INDIRECT("Tableau!$P$14")</f>
        <v/>
      </c>
    </row>
    <row r="960">
      <c r="A960" s="397">
        <f t="array" ref="A960">INDIRECT("Tableau!$A$15")</f>
        <v>114</v>
      </c>
      <c r="B960" s="398" t="s">
        <v>466</v>
      </c>
      <c r="C960" s="400" t="str">
        <f t="array" ref="C960">INDIRECT("Tableau!$O$15")</f>
        <v/>
      </c>
      <c r="D960" s="400" t="str">
        <f t="shared" si="7"/>
        <v>OUT</v>
      </c>
      <c r="E960" s="403" t="str">
        <f t="array" ref="E960">INDIRECT("Tableau!$P$15")</f>
        <v/>
      </c>
    </row>
    <row r="961">
      <c r="A961" s="397" t="str">
        <f t="array" ref="A961">INDIRECT("Tableau!$A$16")</f>
        <v/>
      </c>
      <c r="B961" s="398" t="s">
        <v>466</v>
      </c>
      <c r="C961" s="400" t="str">
        <f t="array" ref="C961">INDIRECT("Tableau!$O$16")</f>
        <v/>
      </c>
      <c r="D961" s="400" t="str">
        <f t="shared" si="7"/>
        <v>OUT</v>
      </c>
      <c r="E961" s="403" t="str">
        <f t="array" ref="E961">INDIRECT("Tableau!$P$16")</f>
        <v/>
      </c>
    </row>
    <row r="962">
      <c r="A962" s="397" t="str">
        <f t="array" ref="A962">INDIRECT("Tableau!$A$17")</f>
        <v/>
      </c>
      <c r="B962" s="398" t="s">
        <v>466</v>
      </c>
      <c r="C962" s="400" t="str">
        <f t="array" ref="C962">INDIRECT("Tableau!$O$17")</f>
        <v/>
      </c>
      <c r="D962" s="400" t="str">
        <f t="shared" si="7"/>
        <v>OUT</v>
      </c>
      <c r="E962" s="403" t="str">
        <f t="array" ref="E962">INDIRECT("Tableau!$P$17")</f>
        <v/>
      </c>
    </row>
    <row r="963">
      <c r="A963" s="397" t="str">
        <f t="array" ref="A963">INDIRECT("Tableau!$A$18")</f>
        <v/>
      </c>
      <c r="B963" s="398" t="s">
        <v>466</v>
      </c>
      <c r="C963" s="400" t="str">
        <f t="array" ref="C963">INDIRECT("Tableau!$O$18")</f>
        <v/>
      </c>
      <c r="D963" s="400" t="str">
        <f t="shared" si="7"/>
        <v>OUT</v>
      </c>
      <c r="E963" s="403" t="str">
        <f t="array" ref="E963">INDIRECT("Tableau!$P$18")</f>
        <v/>
      </c>
    </row>
    <row r="964">
      <c r="A964" s="397" t="str">
        <f t="array" ref="A964">INDIRECT("Tableau!$A$19")</f>
        <v/>
      </c>
      <c r="B964" s="398" t="s">
        <v>466</v>
      </c>
      <c r="C964" s="400" t="str">
        <f t="array" ref="C964">INDIRECT("Tableau!$O$19")</f>
        <v/>
      </c>
      <c r="D964" s="400" t="str">
        <f t="shared" si="7"/>
        <v>OUT</v>
      </c>
      <c r="E964" s="403" t="str">
        <f t="array" ref="E964">INDIRECT("Tableau!$P$19")</f>
        <v/>
      </c>
    </row>
    <row r="965">
      <c r="A965" s="397" t="str">
        <f t="array" ref="A965">INDIRECT("Tableau!$A$20")</f>
        <v/>
      </c>
      <c r="B965" s="398" t="s">
        <v>466</v>
      </c>
      <c r="C965" s="400" t="str">
        <f t="array" ref="C965">INDIRECT("Tableau!$O$20")</f>
        <v/>
      </c>
      <c r="D965" s="400" t="str">
        <f t="shared" si="7"/>
        <v>OUT</v>
      </c>
      <c r="E965" s="403" t="str">
        <f t="array" ref="E965">INDIRECT("Tableau!$P$20")</f>
        <v/>
      </c>
    </row>
    <row r="966">
      <c r="A966" s="397" t="str">
        <f t="array" ref="A966">INDIRECT("Tableau!$A$21")</f>
        <v/>
      </c>
      <c r="B966" s="398" t="s">
        <v>466</v>
      </c>
      <c r="C966" s="400" t="str">
        <f t="array" ref="C966">INDIRECT("Tableau!$O$21")</f>
        <v/>
      </c>
      <c r="D966" s="400" t="str">
        <f t="shared" si="7"/>
        <v>OUT</v>
      </c>
      <c r="E966" s="403" t="str">
        <f t="array" ref="E966">INDIRECT("Tableau!$P$21")</f>
        <v/>
      </c>
    </row>
    <row r="967">
      <c r="A967" s="397" t="str">
        <f t="array" ref="A967">INDIRECT("Tableau!$A$22")</f>
        <v/>
      </c>
      <c r="B967" s="398" t="s">
        <v>466</v>
      </c>
      <c r="C967" s="400" t="str">
        <f t="array" ref="C967">INDIRECT("Tableau!$O$22")</f>
        <v/>
      </c>
      <c r="D967" s="400" t="str">
        <f t="shared" si="7"/>
        <v>OUT</v>
      </c>
      <c r="E967" s="403" t="str">
        <f t="array" ref="E967">INDIRECT("Tableau!$P$22")</f>
        <v/>
      </c>
    </row>
    <row r="968">
      <c r="A968" s="397" t="str">
        <f t="array" ref="A968">INDIRECT("Tableau!$A$23")</f>
        <v/>
      </c>
      <c r="B968" s="398" t="s">
        <v>466</v>
      </c>
      <c r="C968" s="400" t="str">
        <f t="array" ref="C968">INDIRECT("Tableau!$O$23")</f>
        <v/>
      </c>
      <c r="D968" s="400" t="str">
        <f t="shared" si="7"/>
        <v>OUT</v>
      </c>
      <c r="E968" s="403" t="str">
        <f t="array" ref="E968">INDIRECT("Tableau!$P$23")</f>
        <v/>
      </c>
    </row>
    <row r="969">
      <c r="A969" s="397" t="str">
        <f t="array" ref="A969">INDIRECT("Tableau!$A$24")</f>
        <v/>
      </c>
      <c r="B969" s="398" t="s">
        <v>466</v>
      </c>
      <c r="C969" s="400" t="str">
        <f t="array" ref="C969">INDIRECT("Tableau!$O$24")</f>
        <v/>
      </c>
      <c r="D969" s="400" t="str">
        <f t="shared" si="7"/>
        <v>OUT</v>
      </c>
      <c r="E969" s="403" t="str">
        <f t="array" ref="E969">INDIRECT("Tableau!$P$24")</f>
        <v/>
      </c>
    </row>
    <row r="970">
      <c r="A970" s="397" t="str">
        <f t="array" ref="A970">INDIRECT("Tableau!$A$25")</f>
        <v/>
      </c>
      <c r="B970" s="398" t="s">
        <v>466</v>
      </c>
      <c r="C970" s="400" t="str">
        <f t="array" ref="C970">INDIRECT("Tableau!$O$25")</f>
        <v/>
      </c>
      <c r="D970" s="400" t="str">
        <f t="shared" si="7"/>
        <v>OUT</v>
      </c>
      <c r="E970" s="403" t="str">
        <f t="array" ref="E970">INDIRECT("Tableau!$P$25")</f>
        <v/>
      </c>
    </row>
    <row r="971">
      <c r="A971" s="402">
        <f t="array" ref="A971">INDIRECT("Tableau!$A$26")</f>
        <v>201</v>
      </c>
      <c r="B971" s="398" t="s">
        <v>466</v>
      </c>
      <c r="C971" s="400" t="str">
        <f t="array" ref="C971">INDIRECT("Tableau!$O$26")</f>
        <v/>
      </c>
      <c r="D971" s="400" t="str">
        <f t="shared" si="7"/>
        <v>OUT</v>
      </c>
      <c r="E971" s="403" t="str">
        <f t="array" ref="E971">INDIRECT("Tableau!$P$26")</f>
        <v/>
      </c>
    </row>
    <row r="972">
      <c r="A972" s="402">
        <f t="array" ref="A972">INDIRECT("Tableau!$A$27")</f>
        <v>202</v>
      </c>
      <c r="B972" s="398" t="s">
        <v>466</v>
      </c>
      <c r="C972" s="400" t="str">
        <f t="array" ref="C972">INDIRECT("Tableau!$O$27")</f>
        <v/>
      </c>
      <c r="D972" s="400" t="str">
        <f t="shared" si="7"/>
        <v>OUT</v>
      </c>
      <c r="E972" s="403" t="str">
        <f t="array" ref="E972">INDIRECT("Tableau!$P$27")</f>
        <v/>
      </c>
    </row>
    <row r="973">
      <c r="A973" s="402">
        <f t="array" ref="A973">INDIRECT("Tableau!$A$28")</f>
        <v>203</v>
      </c>
      <c r="B973" s="398" t="s">
        <v>466</v>
      </c>
      <c r="C973" s="400" t="str">
        <f t="array" ref="C973">INDIRECT("Tableau!$O$28")</f>
        <v/>
      </c>
      <c r="D973" s="400" t="str">
        <f t="shared" si="7"/>
        <v>OUT</v>
      </c>
      <c r="E973" s="403" t="str">
        <f t="array" ref="E973">INDIRECT("Tableau!$P$28")</f>
        <v/>
      </c>
    </row>
    <row r="974">
      <c r="A974" s="402">
        <f t="array" ref="A974">INDIRECT("Tableau!$A$29")</f>
        <v>204</v>
      </c>
      <c r="B974" s="398" t="s">
        <v>466</v>
      </c>
      <c r="C974" s="400" t="str">
        <f t="array" ref="C974">INDIRECT("Tableau!$O$29")</f>
        <v/>
      </c>
      <c r="D974" s="400" t="str">
        <f t="shared" si="7"/>
        <v>OUT</v>
      </c>
      <c r="E974" s="403" t="str">
        <f t="array" ref="E974">INDIRECT("Tableau!$P$29")</f>
        <v/>
      </c>
    </row>
    <row r="975">
      <c r="A975" s="402">
        <f t="array" ref="A975">INDIRECT("Tableau!$A$30")</f>
        <v>205</v>
      </c>
      <c r="B975" s="398" t="s">
        <v>466</v>
      </c>
      <c r="C975" s="400" t="str">
        <f t="array" ref="C975">INDIRECT("Tableau!$O$30")</f>
        <v/>
      </c>
      <c r="D975" s="400" t="str">
        <f t="shared" si="7"/>
        <v>OUT</v>
      </c>
      <c r="E975" s="403" t="str">
        <f t="array" ref="E975">INDIRECT("Tableau!$P$30")</f>
        <v/>
      </c>
    </row>
    <row r="976">
      <c r="A976" s="402">
        <f t="array" ref="A976">INDIRECT("Tableau!$A$31")</f>
        <v>206</v>
      </c>
      <c r="B976" s="398" t="s">
        <v>466</v>
      </c>
      <c r="C976" s="400" t="str">
        <f t="array" ref="C976">INDIRECT("Tableau!$O$31")</f>
        <v/>
      </c>
      <c r="D976" s="400" t="str">
        <f t="shared" si="7"/>
        <v>OUT</v>
      </c>
      <c r="E976" s="403" t="str">
        <f t="array" ref="E976">INDIRECT("Tableau!$P$31")</f>
        <v/>
      </c>
    </row>
    <row r="977">
      <c r="A977" s="402">
        <f t="array" ref="A977">INDIRECT("Tableau!$A$32")</f>
        <v>207</v>
      </c>
      <c r="B977" s="398" t="s">
        <v>466</v>
      </c>
      <c r="C977" s="400" t="str">
        <f t="array" ref="C977">INDIRECT("Tableau!$O$32")</f>
        <v/>
      </c>
      <c r="D977" s="400" t="str">
        <f t="shared" si="7"/>
        <v>OUT</v>
      </c>
      <c r="E977" s="403" t="str">
        <f t="array" ref="E977">INDIRECT("Tableau!$P$32")</f>
        <v/>
      </c>
    </row>
    <row r="978">
      <c r="A978" s="402">
        <f t="array" ref="A978">INDIRECT("Tableau!$A$33")</f>
        <v>208</v>
      </c>
      <c r="B978" s="398" t="s">
        <v>466</v>
      </c>
      <c r="C978" s="400" t="str">
        <f t="array" ref="C978">INDIRECT("Tableau!$O$33")</f>
        <v/>
      </c>
      <c r="D978" s="400" t="str">
        <f t="shared" si="7"/>
        <v>OUT</v>
      </c>
      <c r="E978" s="403" t="str">
        <f t="array" ref="E978">INDIRECT("Tableau!$P$33")</f>
        <v/>
      </c>
    </row>
    <row r="979">
      <c r="A979" s="402">
        <f t="array" ref="A979">INDIRECT("Tableau!$A$34")</f>
        <v>209</v>
      </c>
      <c r="B979" s="398" t="s">
        <v>466</v>
      </c>
      <c r="C979" s="400" t="str">
        <f t="array" ref="C979">INDIRECT("Tableau!$O$34")</f>
        <v/>
      </c>
      <c r="D979" s="400" t="str">
        <f t="shared" si="7"/>
        <v>OUT</v>
      </c>
      <c r="E979" s="403" t="str">
        <f t="array" ref="E979">INDIRECT("Tableau!$P$34")</f>
        <v/>
      </c>
    </row>
    <row r="980">
      <c r="A980" s="402">
        <f t="array" ref="A980">INDIRECT("Tableau!$A$35")</f>
        <v>210</v>
      </c>
      <c r="B980" s="398" t="s">
        <v>466</v>
      </c>
      <c r="C980" s="400" t="str">
        <f t="array" ref="C980">INDIRECT("Tableau!$O$35")</f>
        <v/>
      </c>
      <c r="D980" s="400" t="str">
        <f t="shared" si="7"/>
        <v>OUT</v>
      </c>
      <c r="E980" s="403" t="str">
        <f t="array" ref="E980">INDIRECT("Tableau!$P$35")</f>
        <v/>
      </c>
    </row>
    <row r="981">
      <c r="A981" s="402">
        <f t="array" ref="A981">INDIRECT("Tableau!$A$36")</f>
        <v>211</v>
      </c>
      <c r="B981" s="398" t="s">
        <v>466</v>
      </c>
      <c r="C981" s="400" t="str">
        <f t="array" ref="C981">INDIRECT("Tableau!$O$36")</f>
        <v/>
      </c>
      <c r="D981" s="400" t="str">
        <f t="shared" si="7"/>
        <v>OUT</v>
      </c>
      <c r="E981" s="403" t="str">
        <f t="array" ref="E981">INDIRECT("Tableau!$P$36")</f>
        <v/>
      </c>
    </row>
    <row r="982">
      <c r="A982" s="402">
        <f t="array" ref="A982">INDIRECT("Tableau!$A$37")</f>
        <v>212</v>
      </c>
      <c r="B982" s="398" t="s">
        <v>466</v>
      </c>
      <c r="C982" s="400" t="str">
        <f t="array" ref="C982">INDIRECT("Tableau!$O$37")</f>
        <v/>
      </c>
      <c r="D982" s="400" t="str">
        <f t="shared" si="7"/>
        <v>OUT</v>
      </c>
      <c r="E982" s="403" t="str">
        <f t="array" ref="E982">INDIRECT("Tableau!$P$37")</f>
        <v/>
      </c>
    </row>
    <row r="983">
      <c r="A983" s="402">
        <f t="array" ref="A983">INDIRECT("Tableau!$A$38")</f>
        <v>213</v>
      </c>
      <c r="B983" s="398" t="s">
        <v>466</v>
      </c>
      <c r="C983" s="400" t="str">
        <f t="array" ref="C983">INDIRECT("Tableau!$O$38")</f>
        <v/>
      </c>
      <c r="D983" s="400" t="str">
        <f t="shared" si="7"/>
        <v>OUT</v>
      </c>
      <c r="E983" s="403" t="str">
        <f t="array" ref="E983">INDIRECT("Tableau!$P$38")</f>
        <v/>
      </c>
    </row>
    <row r="984">
      <c r="A984" s="402">
        <f t="array" ref="A984">INDIRECT("Tableau!$A$39")</f>
        <v>214</v>
      </c>
      <c r="B984" s="398" t="s">
        <v>466</v>
      </c>
      <c r="C984" s="400" t="str">
        <f t="array" ref="C984">INDIRECT("Tableau!$O$39")</f>
        <v/>
      </c>
      <c r="D984" s="400" t="str">
        <f t="shared" si="7"/>
        <v>OUT</v>
      </c>
      <c r="E984" s="403" t="str">
        <f t="array" ref="E984">INDIRECT("Tableau!$P$39")</f>
        <v/>
      </c>
    </row>
    <row r="985">
      <c r="A985" s="402">
        <f t="array" ref="A985">INDIRECT("Tableau!$A$40")</f>
        <v>215</v>
      </c>
      <c r="B985" s="398" t="s">
        <v>466</v>
      </c>
      <c r="C985" s="400" t="str">
        <f t="array" ref="C985">INDIRECT("Tableau!$O$40")</f>
        <v/>
      </c>
      <c r="D985" s="400" t="str">
        <f t="shared" si="7"/>
        <v>OUT</v>
      </c>
      <c r="E985" s="403" t="str">
        <f t="array" ref="E985">INDIRECT("Tableau!$P$40")</f>
        <v/>
      </c>
    </row>
    <row r="986">
      <c r="A986" s="402">
        <f t="array" ref="A986">INDIRECT("Tableau!$A$41")</f>
        <v>216</v>
      </c>
      <c r="B986" s="398" t="s">
        <v>466</v>
      </c>
      <c r="C986" s="400" t="str">
        <f t="array" ref="C986">INDIRECT("Tableau!$O$41")</f>
        <v/>
      </c>
      <c r="D986" s="400" t="str">
        <f t="shared" si="7"/>
        <v>OUT</v>
      </c>
      <c r="E986" s="403" t="str">
        <f t="array" ref="E986">INDIRECT("Tableau!$P$41")</f>
        <v/>
      </c>
    </row>
    <row r="987">
      <c r="A987" s="402">
        <f t="array" ref="A987">INDIRECT("Tableau!$A$42")</f>
        <v>227</v>
      </c>
      <c r="B987" s="398" t="s">
        <v>466</v>
      </c>
      <c r="C987" s="400" t="str">
        <f t="array" ref="C987">INDIRECT("Tableau!$O$42")</f>
        <v/>
      </c>
      <c r="D987" s="400" t="str">
        <f t="shared" si="7"/>
        <v>OUT</v>
      </c>
      <c r="E987" s="403" t="str">
        <f t="array" ref="E987">INDIRECT("Tableau!$P$42")</f>
        <v/>
      </c>
    </row>
    <row r="988">
      <c r="A988" s="402">
        <f t="array" ref="A988">INDIRECT("Tableau!$A$43")</f>
        <v>217</v>
      </c>
      <c r="B988" s="398" t="s">
        <v>466</v>
      </c>
      <c r="C988" s="400" t="str">
        <f t="array" ref="C988">INDIRECT("Tableau!$O$43")</f>
        <v/>
      </c>
      <c r="D988" s="400" t="str">
        <f t="shared" si="7"/>
        <v>OUT</v>
      </c>
      <c r="E988" s="403" t="str">
        <f t="array" ref="E988">INDIRECT("Tableau!$P$43")</f>
        <v/>
      </c>
    </row>
    <row r="989">
      <c r="A989" s="402">
        <f t="array" ref="A989">INDIRECT("Tableau!$A$44")</f>
        <v>218</v>
      </c>
      <c r="B989" s="398" t="s">
        <v>466</v>
      </c>
      <c r="C989" s="400" t="str">
        <f t="array" ref="C989">INDIRECT("Tableau!$O$44")</f>
        <v/>
      </c>
      <c r="D989" s="400" t="str">
        <f t="shared" si="7"/>
        <v>OUT</v>
      </c>
      <c r="E989" s="497" t="str">
        <f t="array" ref="E989">INDIRECT("Tableau!$P$44")</f>
        <v/>
      </c>
    </row>
    <row r="990">
      <c r="A990" s="397" t="str">
        <f t="array" ref="A990">INDIRECT("Tableau!$A$45")</f>
        <v/>
      </c>
      <c r="B990" s="398" t="s">
        <v>466</v>
      </c>
      <c r="C990" s="400" t="str">
        <f t="array" ref="C990">INDIRECT("Tableau!$O$45")</f>
        <v/>
      </c>
      <c r="D990" s="400" t="str">
        <f t="shared" si="7"/>
        <v>OUT</v>
      </c>
      <c r="E990" s="497" t="str">
        <f t="array" ref="E990">INDIRECT("Tableau!$P$45")</f>
        <v/>
      </c>
    </row>
    <row r="991">
      <c r="A991" s="402">
        <f t="array" ref="A991">INDIRECT("Tableau!$A$46")</f>
        <v>220</v>
      </c>
      <c r="B991" s="398" t="s">
        <v>466</v>
      </c>
      <c r="C991" s="400" t="str">
        <f t="array" ref="C991">INDIRECT("Tableau!$O$46")</f>
        <v/>
      </c>
      <c r="D991" s="400" t="str">
        <f t="shared" si="7"/>
        <v>OUT</v>
      </c>
      <c r="E991" s="497" t="str">
        <f t="array" ref="E991">INDIRECT("Tableau!$P$46")</f>
        <v/>
      </c>
    </row>
    <row r="992">
      <c r="A992" s="402">
        <f t="array" ref="A992">INDIRECT("Tableau!$A$47")</f>
        <v>221</v>
      </c>
      <c r="B992" s="398" t="s">
        <v>466</v>
      </c>
      <c r="C992" s="400" t="str">
        <f t="array" ref="C992">INDIRECT("Tableau!$O$47")</f>
        <v/>
      </c>
      <c r="D992" s="400" t="str">
        <f t="shared" si="7"/>
        <v>OUT</v>
      </c>
      <c r="E992" s="497" t="str">
        <f t="array" ref="E992">INDIRECT("Tableau!$P$47")</f>
        <v/>
      </c>
    </row>
    <row r="993">
      <c r="A993" s="402">
        <f t="array" ref="A993">INDIRECT("Tableau!$A$48")</f>
        <v>226</v>
      </c>
      <c r="B993" s="398" t="s">
        <v>466</v>
      </c>
      <c r="C993" s="400" t="str">
        <f t="array" ref="C993">INDIRECT("Tableau!$O$48")</f>
        <v/>
      </c>
      <c r="D993" s="400" t="str">
        <f t="shared" si="7"/>
        <v>OUT</v>
      </c>
      <c r="E993" s="497" t="str">
        <f t="array" ref="E993">INDIRECT("Tableau!$P$48")</f>
        <v/>
      </c>
    </row>
    <row r="994">
      <c r="A994" s="402">
        <f t="array" ref="A994">INDIRECT("Tableau!$A$49")</f>
        <v>222</v>
      </c>
      <c r="B994" s="398" t="s">
        <v>466</v>
      </c>
      <c r="C994" s="400" t="str">
        <f t="array" ref="C994">INDIRECT("Tableau!$O$49")</f>
        <v/>
      </c>
      <c r="D994" s="400" t="str">
        <f t="shared" si="7"/>
        <v>OUT</v>
      </c>
      <c r="E994" s="497" t="str">
        <f t="array" ref="E994">INDIRECT("Tableau!$P$49")</f>
        <v/>
      </c>
    </row>
    <row r="995">
      <c r="A995" s="402">
        <f t="array" ref="A995">INDIRECT("Tableau!$A$50")</f>
        <v>224</v>
      </c>
      <c r="B995" s="398" t="s">
        <v>466</v>
      </c>
      <c r="C995" s="400" t="str">
        <f t="array" ref="C995">INDIRECT("Tableau!$O$50")</f>
        <v/>
      </c>
      <c r="D995" s="400" t="str">
        <f t="shared" si="7"/>
        <v>OUT</v>
      </c>
      <c r="E995" s="497" t="str">
        <f t="array" ref="E995">INDIRECT("Tableau!$P$50")</f>
        <v/>
      </c>
    </row>
    <row r="996">
      <c r="A996" s="397">
        <f t="array" ref="A996">INDIRECT("Tableau!$A$51")</f>
        <v>223</v>
      </c>
      <c r="B996" s="398" t="s">
        <v>466</v>
      </c>
      <c r="C996" s="400" t="str">
        <f t="array" ref="C996">INDIRECT("Tableau!$O$51")</f>
        <v/>
      </c>
      <c r="D996" s="400" t="str">
        <f t="shared" si="7"/>
        <v>OUT</v>
      </c>
      <c r="E996" s="497" t="str">
        <f t="array" ref="E996">INDIRECT("Tableau!$P$51")</f>
        <v/>
      </c>
    </row>
    <row r="997">
      <c r="A997" s="402">
        <f t="array" ref="A997">INDIRECT("Tableau!$A$52")</f>
        <v>225</v>
      </c>
      <c r="B997" s="398" t="s">
        <v>466</v>
      </c>
      <c r="C997" s="400" t="str">
        <f t="array" ref="C997">INDIRECT("Tableau!$O$52")</f>
        <v/>
      </c>
      <c r="D997" s="400" t="str">
        <f t="shared" si="7"/>
        <v>OUT</v>
      </c>
      <c r="E997" s="497" t="str">
        <f t="array" ref="E997">INDIRECT("Tableau!$P$52")</f>
        <v/>
      </c>
    </row>
    <row r="998">
      <c r="A998" s="402">
        <f t="array" ref="A998">INDIRECT("Tableau!$A$53")</f>
        <v>230</v>
      </c>
      <c r="B998" s="398" t="s">
        <v>466</v>
      </c>
      <c r="C998" s="400" t="str">
        <f t="array" ref="C998">INDIRECT("Tableau!$O$53")</f>
        <v/>
      </c>
      <c r="D998" s="400" t="str">
        <f t="shared" si="7"/>
        <v>OUT</v>
      </c>
      <c r="E998" s="497" t="str">
        <f t="array" ref="E998">INDIRECT("Tableau!$P$53")</f>
        <v/>
      </c>
    </row>
    <row r="999">
      <c r="A999" s="397">
        <f t="array" ref="A999">INDIRECT("Tableau!$A$54")</f>
        <v>231</v>
      </c>
      <c r="B999" s="398" t="s">
        <v>466</v>
      </c>
      <c r="C999" s="400" t="str">
        <f t="array" ref="C999">INDIRECT("Tableau!$O$54")</f>
        <v/>
      </c>
      <c r="D999" s="400" t="str">
        <f t="shared" si="7"/>
        <v>OUT</v>
      </c>
      <c r="E999" s="497" t="str">
        <f t="array" ref="E999">INDIRECT("Tableau!$P$54")</f>
        <v/>
      </c>
    </row>
    <row r="1000">
      <c r="A1000" s="397" t="str">
        <f t="array" ref="A1000">INDIRECT("Tableau!$A$55")</f>
        <v/>
      </c>
      <c r="B1000" s="398" t="s">
        <v>466</v>
      </c>
      <c r="C1000" s="400" t="str">
        <f t="array" ref="C1000">INDIRECT("Tableau!$O$55")</f>
        <v/>
      </c>
      <c r="D1000" s="400" t="str">
        <f t="shared" si="7"/>
        <v>OUT</v>
      </c>
      <c r="E1000" s="497" t="str">
        <f t="array" ref="E1000">INDIRECT("Tableau!$P$55")</f>
        <v/>
      </c>
    </row>
    <row r="1001">
      <c r="A1001" s="397" t="str">
        <f t="array" ref="A1001">INDIRECT("Tableau!$A$56")</f>
        <v/>
      </c>
      <c r="B1001" s="398" t="s">
        <v>466</v>
      </c>
      <c r="C1001" s="400" t="str">
        <f t="array" ref="C1001">INDIRECT("Tableau!$O$56")</f>
        <v/>
      </c>
      <c r="D1001" s="400" t="str">
        <f t="shared" si="7"/>
        <v>OUT</v>
      </c>
      <c r="E1001" s="497" t="str">
        <f t="array" ref="E1001">INDIRECT("Tableau!$P$56")</f>
        <v/>
      </c>
    </row>
    <row r="1002">
      <c r="A1002" s="397" t="str">
        <f t="array" ref="A1002">INDIRECT("Tableau!$A$57")</f>
        <v/>
      </c>
      <c r="B1002" s="398" t="s">
        <v>466</v>
      </c>
      <c r="C1002" s="400" t="str">
        <f t="array" ref="C1002">INDIRECT("Tableau!$O$57")</f>
        <v/>
      </c>
      <c r="D1002" s="400" t="str">
        <f t="shared" si="7"/>
        <v>OUT</v>
      </c>
      <c r="E1002" s="497" t="str">
        <f t="array" ref="E1002">INDIRECT("Tableau!$P$57")</f>
        <v/>
      </c>
    </row>
    <row r="1003">
      <c r="A1003" s="397" t="str">
        <f t="array" ref="A1003">INDIRECT("Tableau!$A$58")</f>
        <v/>
      </c>
      <c r="B1003" s="398" t="s">
        <v>466</v>
      </c>
      <c r="C1003" s="400" t="str">
        <f t="array" ref="C1003">INDIRECT("Tableau!$O$58")</f>
        <v/>
      </c>
      <c r="D1003" s="400" t="str">
        <f t="shared" si="7"/>
        <v>OUT</v>
      </c>
      <c r="E1003" s="497" t="str">
        <f t="array" ref="E1003">INDIRECT("Tableau!$P$58")</f>
        <v/>
      </c>
    </row>
    <row r="1004">
      <c r="A1004" s="397" t="str">
        <f t="array" ref="A1004">INDIRECT("Tableau!$A$59")</f>
        <v/>
      </c>
      <c r="B1004" s="398" t="s">
        <v>466</v>
      </c>
      <c r="C1004" s="400" t="str">
        <f t="array" ref="C1004">INDIRECT("Tableau!$O$59")</f>
        <v/>
      </c>
      <c r="D1004" s="400" t="str">
        <f t="shared" si="7"/>
        <v>OUT</v>
      </c>
      <c r="E1004" s="497" t="str">
        <f t="array" ref="E1004">INDIRECT("Tableau!$P$59")</f>
        <v/>
      </c>
    </row>
    <row r="1005">
      <c r="A1005" s="397" t="str">
        <f t="array" ref="A1005">INDIRECT("Tableau!$A$60")</f>
        <v/>
      </c>
      <c r="B1005" s="398" t="s">
        <v>466</v>
      </c>
      <c r="C1005" s="400" t="str">
        <f t="array" ref="C1005">INDIRECT("Tableau!$O$60")</f>
        <v/>
      </c>
      <c r="D1005" s="400" t="str">
        <f t="shared" si="7"/>
        <v>OUT</v>
      </c>
      <c r="E1005" s="497" t="str">
        <f t="array" ref="E1005">INDIRECT("Tableau!$P$60")</f>
        <v/>
      </c>
    </row>
    <row r="1006">
      <c r="A1006" s="397" t="str">
        <f t="array" ref="A1006">INDIRECT("Tableau!$A$61")</f>
        <v/>
      </c>
      <c r="B1006" s="398" t="s">
        <v>466</v>
      </c>
      <c r="C1006" s="400" t="str">
        <f t="array" ref="C1006">INDIRECT("Tableau!$O$61")</f>
        <v/>
      </c>
      <c r="D1006" s="400" t="str">
        <f t="shared" si="7"/>
        <v>OUT</v>
      </c>
      <c r="E1006" s="497" t="str">
        <f t="array" ref="E1006">INDIRECT("Tableau!$P$61")</f>
        <v/>
      </c>
    </row>
    <row r="1007">
      <c r="A1007" s="397" t="str">
        <f t="array" ref="A1007">INDIRECT("Tableau!$A$62")</f>
        <v/>
      </c>
      <c r="B1007" s="398" t="s">
        <v>466</v>
      </c>
      <c r="C1007" s="400" t="str">
        <f t="array" ref="C1007">INDIRECT("Tableau!$O$62")</f>
        <v/>
      </c>
      <c r="D1007" s="400" t="str">
        <f t="shared" si="7"/>
        <v>OUT</v>
      </c>
      <c r="E1007" s="497" t="str">
        <f t="array" ref="E1007">INDIRECT("Tableau!$P$62")</f>
        <v/>
      </c>
    </row>
    <row r="1008">
      <c r="A1008" s="397" t="str">
        <f t="array" ref="A1008">INDIRECT("Tableau!$A$63")</f>
        <v/>
      </c>
      <c r="B1008" s="398" t="s">
        <v>466</v>
      </c>
      <c r="C1008" s="400" t="str">
        <f t="array" ref="C1008">INDIRECT("Tableau!$O$63")</f>
        <v/>
      </c>
      <c r="D1008" s="400" t="str">
        <f t="shared" si="7"/>
        <v>OUT</v>
      </c>
      <c r="E1008" s="497" t="str">
        <f t="array" ref="E1008">INDIRECT("Tableau!$P$63")</f>
        <v/>
      </c>
    </row>
    <row r="1009">
      <c r="A1009" s="397" t="str">
        <f t="array" ref="A1009">INDIRECT("Tableau!$A$64")</f>
        <v/>
      </c>
      <c r="B1009" s="398" t="s">
        <v>466</v>
      </c>
      <c r="C1009" s="400" t="str">
        <f t="array" ref="C1009">INDIRECT("Tableau!$O$64")</f>
        <v/>
      </c>
      <c r="D1009" s="400" t="str">
        <f t="shared" si="7"/>
        <v>OUT</v>
      </c>
      <c r="E1009" s="497" t="str">
        <f t="array" ref="E1009">INDIRECT("Tableau!$P$64")</f>
        <v/>
      </c>
    </row>
    <row r="1010">
      <c r="A1010" s="402">
        <f t="array" ref="A1010">INDIRECT("Tableau!$A$65")</f>
        <v>301</v>
      </c>
      <c r="B1010" s="398" t="s">
        <v>466</v>
      </c>
      <c r="C1010" s="400" t="str">
        <f t="array" ref="C1010">INDIRECT("Tableau!$O$65")</f>
        <v/>
      </c>
      <c r="D1010" s="400" t="str">
        <f t="shared" si="7"/>
        <v>OUT</v>
      </c>
      <c r="E1010" s="497" t="str">
        <f t="array" ref="E1010">INDIRECT("Tableau!$P$65")</f>
        <v/>
      </c>
    </row>
    <row r="1011">
      <c r="A1011" s="397" t="str">
        <f t="array" ref="A1011">INDIRECT("Tableau!$A$66")</f>
        <v/>
      </c>
      <c r="B1011" s="398" t="s">
        <v>466</v>
      </c>
      <c r="C1011" s="400" t="str">
        <f t="array" ref="C1011">INDIRECT("Tableau!$O$66")</f>
        <v/>
      </c>
      <c r="D1011" s="400" t="str">
        <f t="shared" si="7"/>
        <v>OUT</v>
      </c>
      <c r="E1011" s="497" t="str">
        <f t="array" ref="E1011">INDIRECT("Tableau!$P$66")</f>
        <v/>
      </c>
    </row>
    <row r="1012">
      <c r="A1012" s="402">
        <f t="array" ref="A1012">INDIRECT("Tableau!$A$67")</f>
        <v>303</v>
      </c>
      <c r="B1012" s="398" t="s">
        <v>466</v>
      </c>
      <c r="C1012" s="400" t="str">
        <f t="array" ref="C1012">INDIRECT("Tableau!$O$67")</f>
        <v/>
      </c>
      <c r="D1012" s="400" t="str">
        <f t="shared" si="7"/>
        <v>OUT</v>
      </c>
      <c r="E1012" s="497" t="str">
        <f t="array" ref="E1012">INDIRECT("Tableau!$P$67")</f>
        <v/>
      </c>
    </row>
    <row r="1013">
      <c r="A1013" s="402">
        <f t="array" ref="A1013">INDIRECT("Tableau!$A$68")</f>
        <v>304</v>
      </c>
      <c r="B1013" s="398" t="s">
        <v>466</v>
      </c>
      <c r="C1013" s="400" t="str">
        <f t="array" ref="C1013">INDIRECT("Tableau!$O$68")</f>
        <v/>
      </c>
      <c r="D1013" s="400" t="str">
        <f t="shared" si="7"/>
        <v>OUT</v>
      </c>
      <c r="E1013" s="497" t="str">
        <f t="array" ref="E1013">INDIRECT("Tableau!$P$68")</f>
        <v/>
      </c>
    </row>
    <row r="1014">
      <c r="A1014" s="402">
        <f t="array" ref="A1014">INDIRECT("Tableau!$A$69")</f>
        <v>305</v>
      </c>
      <c r="B1014" s="398" t="s">
        <v>466</v>
      </c>
      <c r="C1014" s="400" t="str">
        <f t="array" ref="C1014">INDIRECT("Tableau!$O$69")</f>
        <v/>
      </c>
      <c r="D1014" s="400" t="str">
        <f t="shared" si="7"/>
        <v>OUT</v>
      </c>
      <c r="E1014" s="497" t="str">
        <f t="array" ref="E1014">INDIRECT("Tableau!$P$69")</f>
        <v/>
      </c>
    </row>
    <row r="1015">
      <c r="A1015" s="402">
        <f t="array" ref="A1015">INDIRECT("Tableau!$A$70")</f>
        <v>306</v>
      </c>
      <c r="B1015" s="398" t="s">
        <v>466</v>
      </c>
      <c r="C1015" s="400" t="str">
        <f t="array" ref="C1015">INDIRECT("Tableau!$O$70")</f>
        <v/>
      </c>
      <c r="D1015" s="400" t="str">
        <f t="shared" si="7"/>
        <v>OUT</v>
      </c>
      <c r="E1015" s="497" t="str">
        <f t="array" ref="E1015">INDIRECT("Tableau!$P$70")</f>
        <v/>
      </c>
    </row>
    <row r="1016">
      <c r="A1016" s="402">
        <f t="array" ref="A1016">INDIRECT("Tableau!$A$71")</f>
        <v>307</v>
      </c>
      <c r="B1016" s="398" t="s">
        <v>466</v>
      </c>
      <c r="C1016" s="400" t="str">
        <f t="array" ref="C1016">INDIRECT("Tableau!$O$71")</f>
        <v/>
      </c>
      <c r="D1016" s="400" t="str">
        <f t="shared" si="7"/>
        <v>OUT</v>
      </c>
      <c r="E1016" s="497" t="str">
        <f t="array" ref="E1016">INDIRECT("Tableau!$P$71")</f>
        <v/>
      </c>
    </row>
    <row r="1017">
      <c r="A1017" s="397">
        <f t="array" ref="A1017">INDIRECT("Tableau!$A$72")</f>
        <v>367</v>
      </c>
      <c r="B1017" s="398" t="s">
        <v>466</v>
      </c>
      <c r="C1017" s="400" t="str">
        <f t="array" ref="C1017">INDIRECT("Tableau!$O$72")</f>
        <v/>
      </c>
      <c r="D1017" s="400" t="str">
        <f t="shared" si="7"/>
        <v>OUT</v>
      </c>
      <c r="E1017" s="497" t="str">
        <f t="array" ref="E1017">INDIRECT("Tableau!$P$72")</f>
        <v/>
      </c>
    </row>
    <row r="1018">
      <c r="A1018" s="402">
        <f t="array" ref="A1018">INDIRECT("Tableau!$A$73")</f>
        <v>308</v>
      </c>
      <c r="B1018" s="398" t="s">
        <v>466</v>
      </c>
      <c r="C1018" s="400" t="str">
        <f t="array" ref="C1018">INDIRECT("Tableau!$O$73")</f>
        <v/>
      </c>
      <c r="D1018" s="400" t="str">
        <f t="shared" si="7"/>
        <v>OUT</v>
      </c>
      <c r="E1018" s="497" t="str">
        <f t="array" ref="E1018">INDIRECT("Tableau!$P$73")</f>
        <v/>
      </c>
    </row>
    <row r="1019">
      <c r="A1019" s="397">
        <f t="array" ref="A1019">INDIRECT("Tableau!$A$74")</f>
        <v>319</v>
      </c>
      <c r="B1019" s="398" t="s">
        <v>466</v>
      </c>
      <c r="C1019" s="400" t="str">
        <f t="array" ref="C1019">INDIRECT("Tableau!$O$74")</f>
        <v/>
      </c>
      <c r="D1019" s="400" t="str">
        <f t="shared" si="7"/>
        <v>OUT</v>
      </c>
      <c r="E1019" s="497" t="str">
        <f t="array" ref="E1019">INDIRECT("Tableau!$P$74")</f>
        <v/>
      </c>
    </row>
    <row r="1020">
      <c r="A1020" s="402">
        <f t="array" ref="A1020">INDIRECT("Tableau!$A$75")</f>
        <v>309</v>
      </c>
      <c r="B1020" s="398" t="s">
        <v>466</v>
      </c>
      <c r="C1020" s="400" t="str">
        <f t="array" ref="C1020">INDIRECT("Tableau!$O$75")</f>
        <v/>
      </c>
      <c r="D1020" s="400" t="str">
        <f t="shared" si="7"/>
        <v>OUT</v>
      </c>
      <c r="E1020" s="497" t="str">
        <f t="array" ref="E1020">INDIRECT("Tableau!$P$75")</f>
        <v/>
      </c>
    </row>
    <row r="1021">
      <c r="A1021" s="402">
        <f t="array" ref="A1021">INDIRECT("Tableau!$A$76")</f>
        <v>310</v>
      </c>
      <c r="B1021" s="398" t="s">
        <v>466</v>
      </c>
      <c r="C1021" s="400" t="str">
        <f t="array" ref="C1021">INDIRECT("Tableau!$O$76")</f>
        <v/>
      </c>
      <c r="D1021" s="400" t="str">
        <f t="shared" si="7"/>
        <v>OUT</v>
      </c>
      <c r="E1021" s="403" t="str">
        <f t="array" ref="E1021">INDIRECT("Tableau!$P$76")</f>
        <v/>
      </c>
    </row>
    <row r="1022">
      <c r="A1022" s="402">
        <f t="array" ref="A1022">INDIRECT("Tableau!$A$77")</f>
        <v>311</v>
      </c>
      <c r="B1022" s="398" t="s">
        <v>466</v>
      </c>
      <c r="C1022" s="400" t="str">
        <f t="array" ref="C1022">INDIRECT("Tableau!$O$77")</f>
        <v/>
      </c>
      <c r="D1022" s="400" t="str">
        <f t="shared" si="7"/>
        <v>OUT</v>
      </c>
      <c r="E1022" s="403" t="str">
        <f t="array" ref="E1022">INDIRECT("Tableau!$P$77")</f>
        <v/>
      </c>
    </row>
    <row r="1023">
      <c r="A1023" s="402">
        <f t="array" ref="A1023">INDIRECT("Tableau!$A$78")</f>
        <v>312</v>
      </c>
      <c r="B1023" s="398" t="s">
        <v>466</v>
      </c>
      <c r="C1023" s="400" t="str">
        <f t="array" ref="C1023">INDIRECT("Tableau!$O$78")</f>
        <v/>
      </c>
      <c r="D1023" s="400" t="str">
        <f t="shared" si="7"/>
        <v>OUT</v>
      </c>
      <c r="E1023" s="403" t="str">
        <f t="array" ref="E1023">INDIRECT("Tableau!$P$78")</f>
        <v/>
      </c>
    </row>
    <row r="1024">
      <c r="A1024" s="402">
        <f t="array" ref="A1024">INDIRECT("Tableau!$A$79")</f>
        <v>313</v>
      </c>
      <c r="B1024" s="398" t="s">
        <v>466</v>
      </c>
      <c r="C1024" s="400" t="str">
        <f t="array" ref="C1024">INDIRECT("Tableau!$O$79")</f>
        <v/>
      </c>
      <c r="D1024" s="400" t="str">
        <f t="shared" si="7"/>
        <v>OUT</v>
      </c>
      <c r="E1024" s="403" t="str">
        <f t="array" ref="E1024">INDIRECT("Tableau!$P$79")</f>
        <v/>
      </c>
    </row>
    <row r="1025">
      <c r="A1025" s="402">
        <f t="array" ref="A1025">INDIRECT("Tableau!$A$80")</f>
        <v>314</v>
      </c>
      <c r="B1025" s="398" t="s">
        <v>466</v>
      </c>
      <c r="C1025" s="400" t="str">
        <f t="array" ref="C1025">INDIRECT("Tableau!$O$80")</f>
        <v/>
      </c>
      <c r="D1025" s="400" t="str">
        <f t="shared" si="7"/>
        <v>OUT</v>
      </c>
      <c r="E1025" s="403" t="str">
        <f t="array" ref="E1025">INDIRECT("Tableau!$P$80")</f>
        <v/>
      </c>
    </row>
    <row r="1026">
      <c r="A1026" s="402">
        <f t="array" ref="A1026">INDIRECT("Tableau!$A$81")</f>
        <v>315</v>
      </c>
      <c r="B1026" s="398" t="s">
        <v>466</v>
      </c>
      <c r="C1026" s="400" t="str">
        <f t="array" ref="C1026">INDIRECT("Tableau!$O$81")</f>
        <v/>
      </c>
      <c r="D1026" s="400" t="str">
        <f t="shared" si="7"/>
        <v>OUT</v>
      </c>
      <c r="E1026" s="403" t="str">
        <f t="array" ref="E1026">INDIRECT("Tableau!$P$81")</f>
        <v/>
      </c>
    </row>
    <row r="1027">
      <c r="A1027" s="402">
        <f t="array" ref="A1027">INDIRECT("Tableau!$A$82")</f>
        <v>316</v>
      </c>
      <c r="B1027" s="398" t="s">
        <v>466</v>
      </c>
      <c r="C1027" s="400" t="str">
        <f t="array" ref="C1027">INDIRECT("Tableau!$O$82")</f>
        <v/>
      </c>
      <c r="D1027" s="400" t="str">
        <f t="shared" si="7"/>
        <v>OUT</v>
      </c>
      <c r="E1027" s="403" t="str">
        <f t="array" ref="E1027">INDIRECT("Tableau!$P$82")</f>
        <v/>
      </c>
    </row>
    <row r="1028">
      <c r="A1028" s="402">
        <f t="array" ref="A1028">INDIRECT("Tableau!$A$83")</f>
        <v>317</v>
      </c>
      <c r="B1028" s="398" t="s">
        <v>466</v>
      </c>
      <c r="C1028" s="400" t="str">
        <f t="array" ref="C1028">INDIRECT("Tableau!$O$83")</f>
        <v/>
      </c>
      <c r="D1028" s="400" t="str">
        <f t="shared" si="7"/>
        <v>OUT</v>
      </c>
      <c r="E1028" s="403" t="str">
        <f t="array" ref="E1028">INDIRECT("Tableau!$P$83")</f>
        <v/>
      </c>
    </row>
    <row r="1029">
      <c r="A1029" s="402">
        <f t="array" ref="A1029">INDIRECT("Tableau!$A$84")</f>
        <v>318</v>
      </c>
      <c r="B1029" s="398" t="s">
        <v>466</v>
      </c>
      <c r="C1029" s="400" t="str">
        <f t="array" ref="C1029">INDIRECT("Tableau!$O$84")</f>
        <v/>
      </c>
      <c r="D1029" s="400" t="str">
        <f t="shared" si="7"/>
        <v>OUT</v>
      </c>
      <c r="E1029" s="403" t="str">
        <f t="array" ref="E1029">INDIRECT("Tableau!$P$84")</f>
        <v/>
      </c>
    </row>
    <row r="1030">
      <c r="A1030" s="402">
        <f t="array" ref="A1030">INDIRECT("Tableau!$A$85")</f>
        <v>320</v>
      </c>
      <c r="B1030" s="398" t="s">
        <v>466</v>
      </c>
      <c r="C1030" s="400" t="str">
        <f t="array" ref="C1030">INDIRECT("Tableau!$O$85")</f>
        <v/>
      </c>
      <c r="D1030" s="400" t="str">
        <f t="shared" si="7"/>
        <v>OUT</v>
      </c>
      <c r="E1030" s="403" t="str">
        <f t="array" ref="E1030">INDIRECT("Tableau!$P$85")</f>
        <v/>
      </c>
    </row>
    <row r="1031">
      <c r="A1031" s="402">
        <f t="array" ref="A1031">INDIRECT("Tableau!$A$86")</f>
        <v>321</v>
      </c>
      <c r="B1031" s="398" t="s">
        <v>466</v>
      </c>
      <c r="C1031" s="400" t="str">
        <f t="array" ref="C1031">INDIRECT("Tableau!$O$86")</f>
        <v/>
      </c>
      <c r="D1031" s="400" t="str">
        <f t="shared" si="7"/>
        <v>OUT</v>
      </c>
      <c r="E1031" s="403" t="str">
        <f t="array" ref="E1031">INDIRECT("Tableau!$P$86")</f>
        <v/>
      </c>
    </row>
    <row r="1032">
      <c r="A1032" s="397" t="str">
        <f t="array" ref="A1032">INDIRECT("Tableau!$A$87")</f>
        <v/>
      </c>
      <c r="B1032" s="398" t="s">
        <v>466</v>
      </c>
      <c r="C1032" s="400" t="str">
        <f t="array" ref="C1032">INDIRECT("Tableau!$O$87")</f>
        <v/>
      </c>
      <c r="D1032" s="400" t="str">
        <f t="shared" si="7"/>
        <v>OUT</v>
      </c>
      <c r="E1032" s="403" t="str">
        <f t="array" ref="E1032">INDIRECT("Tableau!$P$87")</f>
        <v/>
      </c>
    </row>
    <row r="1033">
      <c r="A1033" s="402">
        <f t="array" ref="A1033">INDIRECT("Tableau!$A$88")</f>
        <v>323</v>
      </c>
      <c r="B1033" s="398" t="s">
        <v>466</v>
      </c>
      <c r="C1033" s="400" t="str">
        <f t="array" ref="C1033">INDIRECT("Tableau!$O$88")</f>
        <v/>
      </c>
      <c r="D1033" s="400" t="str">
        <f t="shared" si="7"/>
        <v>OUT</v>
      </c>
      <c r="E1033" s="403" t="str">
        <f t="array" ref="E1033">INDIRECT("Tableau!$P$88")</f>
        <v/>
      </c>
    </row>
    <row r="1034">
      <c r="A1034" s="402">
        <f t="array" ref="A1034">INDIRECT("Tableau!$A$89")</f>
        <v>324</v>
      </c>
      <c r="B1034" s="398" t="s">
        <v>466</v>
      </c>
      <c r="C1034" s="400" t="str">
        <f t="array" ref="C1034">INDIRECT("Tableau!$O$89")</f>
        <v/>
      </c>
      <c r="D1034" s="400" t="str">
        <f t="shared" si="7"/>
        <v>OUT</v>
      </c>
      <c r="E1034" s="403" t="str">
        <f t="array" ref="E1034">INDIRECT("Tableau!$P$89")</f>
        <v/>
      </c>
    </row>
    <row r="1035">
      <c r="A1035" s="402">
        <f t="array" ref="A1035">INDIRECT("Tableau!$A$90")</f>
        <v>325</v>
      </c>
      <c r="B1035" s="398" t="s">
        <v>466</v>
      </c>
      <c r="C1035" s="400" t="str">
        <f t="array" ref="C1035">INDIRECT("Tableau!$O$90")</f>
        <v/>
      </c>
      <c r="D1035" s="400" t="str">
        <f t="shared" si="7"/>
        <v>OUT</v>
      </c>
      <c r="E1035" s="403" t="str">
        <f t="array" ref="E1035">INDIRECT("Tableau!$P$90")</f>
        <v/>
      </c>
    </row>
    <row r="1036">
      <c r="A1036" s="402">
        <f t="array" ref="A1036">INDIRECT("Tableau!$A$91")</f>
        <v>326</v>
      </c>
      <c r="B1036" s="398" t="s">
        <v>466</v>
      </c>
      <c r="C1036" s="400" t="str">
        <f t="array" ref="C1036">INDIRECT("Tableau!$O$91")</f>
        <v/>
      </c>
      <c r="D1036" s="400" t="str">
        <f t="shared" si="7"/>
        <v>OUT</v>
      </c>
      <c r="E1036" s="403" t="str">
        <f t="array" ref="E1036">INDIRECT("Tableau!$P$91")</f>
        <v/>
      </c>
    </row>
    <row r="1037">
      <c r="A1037" s="402">
        <f t="array" ref="A1037">INDIRECT("Tableau!$A$92")</f>
        <v>327</v>
      </c>
      <c r="B1037" s="398" t="s">
        <v>466</v>
      </c>
      <c r="C1037" s="400" t="str">
        <f t="array" ref="C1037">INDIRECT("Tableau!$O$92")</f>
        <v/>
      </c>
      <c r="D1037" s="400" t="str">
        <f t="shared" si="7"/>
        <v>OUT</v>
      </c>
      <c r="E1037" s="403" t="str">
        <f t="array" ref="E1037">INDIRECT("Tableau!$P$92")</f>
        <v/>
      </c>
    </row>
    <row r="1038">
      <c r="A1038" s="402">
        <f t="array" ref="A1038">INDIRECT("Tableau!$A$93")</f>
        <v>328</v>
      </c>
      <c r="B1038" s="398" t="s">
        <v>466</v>
      </c>
      <c r="C1038" s="400" t="str">
        <f t="array" ref="C1038">INDIRECT("Tableau!$O$93")</f>
        <v/>
      </c>
      <c r="D1038" s="400" t="str">
        <f t="shared" si="7"/>
        <v>OUT</v>
      </c>
      <c r="E1038" s="403" t="str">
        <f t="array" ref="E1038">INDIRECT("Tableau!$P$93")</f>
        <v/>
      </c>
    </row>
    <row r="1039">
      <c r="A1039" s="402">
        <f t="array" ref="A1039">INDIRECT("Tableau!$A$94")</f>
        <v>329</v>
      </c>
      <c r="B1039" s="398" t="s">
        <v>466</v>
      </c>
      <c r="C1039" s="400" t="str">
        <f t="array" ref="C1039">INDIRECT("Tableau!$O$94")</f>
        <v/>
      </c>
      <c r="D1039" s="400" t="str">
        <f t="shared" si="7"/>
        <v>OUT</v>
      </c>
      <c r="E1039" s="403" t="str">
        <f t="array" ref="E1039">INDIRECT("Tableau!$P$94")</f>
        <v/>
      </c>
    </row>
    <row r="1040">
      <c r="A1040" s="402">
        <f t="array" ref="A1040">INDIRECT("Tableau!$A$95")</f>
        <v>330</v>
      </c>
      <c r="B1040" s="398" t="s">
        <v>466</v>
      </c>
      <c r="C1040" s="400" t="str">
        <f t="array" ref="C1040">INDIRECT("Tableau!$O$95")</f>
        <v/>
      </c>
      <c r="D1040" s="400" t="str">
        <f t="shared" si="7"/>
        <v>OUT</v>
      </c>
      <c r="E1040" s="403" t="str">
        <f t="array" ref="E1040">INDIRECT("Tableau!$P$95")</f>
        <v/>
      </c>
    </row>
    <row r="1041">
      <c r="A1041" s="402">
        <f t="array" ref="A1041">INDIRECT("Tableau!$A$96")</f>
        <v>331</v>
      </c>
      <c r="B1041" s="398" t="s">
        <v>466</v>
      </c>
      <c r="C1041" s="400" t="str">
        <f t="array" ref="C1041">INDIRECT("Tableau!$O$96")</f>
        <v/>
      </c>
      <c r="D1041" s="400" t="str">
        <f t="shared" si="7"/>
        <v>OUT</v>
      </c>
      <c r="E1041" s="403" t="str">
        <f t="array" ref="E1041">INDIRECT("Tableau!$P$96")</f>
        <v/>
      </c>
    </row>
    <row r="1042">
      <c r="A1042" s="402">
        <f t="array" ref="A1042">INDIRECT("Tableau!$A$97")</f>
        <v>332</v>
      </c>
      <c r="B1042" s="398" t="s">
        <v>466</v>
      </c>
      <c r="C1042" s="400" t="str">
        <f t="array" ref="C1042">INDIRECT("Tableau!$O$97")</f>
        <v/>
      </c>
      <c r="D1042" s="400" t="str">
        <f t="shared" si="7"/>
        <v>OUT</v>
      </c>
      <c r="E1042" s="403" t="str">
        <f t="array" ref="E1042">INDIRECT("Tableau!$P$97")</f>
        <v/>
      </c>
    </row>
    <row r="1043">
      <c r="A1043" s="402">
        <f t="array" ref="A1043">INDIRECT("Tableau!$A$98")</f>
        <v>333</v>
      </c>
      <c r="B1043" s="398" t="s">
        <v>466</v>
      </c>
      <c r="C1043" s="400" t="str">
        <f t="array" ref="C1043">INDIRECT("Tableau!$O$98")</f>
        <v/>
      </c>
      <c r="D1043" s="400" t="str">
        <f t="shared" si="7"/>
        <v>OUT</v>
      </c>
      <c r="E1043" s="403" t="str">
        <f t="array" ref="E1043">INDIRECT("Tableau!$P$98")</f>
        <v/>
      </c>
    </row>
    <row r="1044">
      <c r="A1044" s="402">
        <f t="array" ref="A1044">INDIRECT("Tableau!$A$99")</f>
        <v>334</v>
      </c>
      <c r="B1044" s="398" t="s">
        <v>466</v>
      </c>
      <c r="C1044" s="400" t="str">
        <f t="array" ref="C1044">INDIRECT("Tableau!$O$99")</f>
        <v>Bloqué</v>
      </c>
      <c r="D1044" s="400" t="str">
        <f t="shared" si="7"/>
        <v>OUT</v>
      </c>
      <c r="E1044" s="403" t="str">
        <f t="array" ref="E1044">INDIRECT("Tableau!$P$99")</f>
        <v/>
      </c>
    </row>
    <row r="1045">
      <c r="A1045" s="402">
        <f t="array" ref="A1045">INDIRECT("Tableau!$A$100")</f>
        <v>335</v>
      </c>
      <c r="B1045" s="398" t="s">
        <v>466</v>
      </c>
      <c r="C1045" s="400" t="str">
        <f t="array" ref="C1045">INDIRECT("Tableau!$O$100")</f>
        <v/>
      </c>
      <c r="D1045" s="400" t="str">
        <f t="shared" si="7"/>
        <v>OUT</v>
      </c>
      <c r="E1045" s="403" t="str">
        <f t="array" ref="E1045">INDIRECT("Tableau!$P$100")</f>
        <v/>
      </c>
    </row>
    <row r="1046">
      <c r="A1046" s="402">
        <f t="array" ref="A1046">INDIRECT("Tableau!$A$101")</f>
        <v>336</v>
      </c>
      <c r="B1046" s="398" t="s">
        <v>466</v>
      </c>
      <c r="C1046" s="400" t="str">
        <f t="array" ref="C1046">INDIRECT("Tableau!$O$101")</f>
        <v/>
      </c>
      <c r="D1046" s="400" t="str">
        <f t="shared" si="7"/>
        <v>OUT</v>
      </c>
      <c r="E1046" s="403" t="str">
        <f t="array" ref="E1046">INDIRECT("Tableau!$P$101")</f>
        <v/>
      </c>
    </row>
    <row r="1047">
      <c r="A1047" s="402">
        <f t="array" ref="A1047">INDIRECT("Tableau!$A$102")</f>
        <v>337</v>
      </c>
      <c r="B1047" s="398" t="s">
        <v>466</v>
      </c>
      <c r="C1047" s="400" t="str">
        <f t="array" ref="C1047">INDIRECT("Tableau!$O$102")</f>
        <v/>
      </c>
      <c r="D1047" s="400" t="str">
        <f t="shared" si="7"/>
        <v>OUT</v>
      </c>
      <c r="E1047" s="403" t="str">
        <f t="array" ref="E1047">INDIRECT("Tableau!$P$102")</f>
        <v/>
      </c>
    </row>
    <row r="1048">
      <c r="A1048" s="402">
        <f t="array" ref="A1048">INDIRECT("Tableau!$A$103")</f>
        <v>338</v>
      </c>
      <c r="B1048" s="398" t="s">
        <v>466</v>
      </c>
      <c r="C1048" s="400" t="str">
        <f t="array" ref="C1048">INDIRECT("Tableau!$O$103")</f>
        <v/>
      </c>
      <c r="D1048" s="400" t="str">
        <f t="shared" si="7"/>
        <v>OUT</v>
      </c>
      <c r="E1048" s="403" t="str">
        <f t="array" ref="E1048">INDIRECT("Tableau!$P$103")</f>
        <v/>
      </c>
    </row>
    <row r="1049">
      <c r="A1049" s="402">
        <f t="array" ref="A1049">INDIRECT("Tableau!$A$104")</f>
        <v>339</v>
      </c>
      <c r="B1049" s="398" t="s">
        <v>466</v>
      </c>
      <c r="C1049" s="400" t="str">
        <f t="array" ref="C1049">INDIRECT("Tableau!$O$104")</f>
        <v/>
      </c>
      <c r="D1049" s="400" t="str">
        <f t="shared" si="7"/>
        <v>OUT</v>
      </c>
      <c r="E1049" s="403" t="str">
        <f t="array" ref="E1049">INDIRECT("Tableau!$P$104")</f>
        <v/>
      </c>
    </row>
    <row r="1050">
      <c r="A1050" s="402">
        <f t="array" ref="A1050">INDIRECT("Tableau!$A$105")</f>
        <v>340</v>
      </c>
      <c r="B1050" s="398" t="s">
        <v>466</v>
      </c>
      <c r="C1050" s="400" t="str">
        <f t="array" ref="C1050">INDIRECT("Tableau!$O$105")</f>
        <v/>
      </c>
      <c r="D1050" s="400" t="str">
        <f t="shared" si="7"/>
        <v>OUT</v>
      </c>
      <c r="E1050" s="403" t="str">
        <f t="array" ref="E1050">INDIRECT("Tableau!$P$105")</f>
        <v/>
      </c>
    </row>
    <row r="1051">
      <c r="A1051" s="402">
        <f t="array" ref="A1051">INDIRECT("Tableau!$A$106")</f>
        <v>341</v>
      </c>
      <c r="B1051" s="398" t="s">
        <v>466</v>
      </c>
      <c r="C1051" s="400" t="str">
        <f t="array" ref="C1051">INDIRECT("Tableau!$O$106")</f>
        <v/>
      </c>
      <c r="D1051" s="400" t="str">
        <f t="shared" si="7"/>
        <v>OUT</v>
      </c>
      <c r="E1051" s="403" t="str">
        <f t="array" ref="E1051">INDIRECT("Tableau!$P$106")</f>
        <v/>
      </c>
    </row>
    <row r="1052">
      <c r="A1052" s="402">
        <f t="array" ref="A1052">INDIRECT("Tableau!$A$107")</f>
        <v>365</v>
      </c>
      <c r="B1052" s="398" t="s">
        <v>466</v>
      </c>
      <c r="C1052" s="400" t="str">
        <f t="array" ref="C1052">INDIRECT("Tableau!$O$107")</f>
        <v/>
      </c>
      <c r="D1052" s="400" t="str">
        <f t="shared" si="7"/>
        <v>OUT</v>
      </c>
      <c r="E1052" s="403" t="str">
        <f t="array" ref="E1052">INDIRECT("Tableau!$P$107")</f>
        <v/>
      </c>
    </row>
    <row r="1053">
      <c r="A1053" s="402">
        <f t="array" ref="A1053">INDIRECT("Tableau!$A$108")</f>
        <v>342</v>
      </c>
      <c r="B1053" s="398" t="s">
        <v>466</v>
      </c>
      <c r="C1053" s="400" t="str">
        <f t="array" ref="C1053">INDIRECT("Tableau!$O$108")</f>
        <v>DPS</v>
      </c>
      <c r="D1053" s="400" t="str">
        <f t="shared" si="7"/>
        <v>OUT</v>
      </c>
      <c r="E1053" s="403" t="str">
        <f t="array" ref="E1053">INDIRECT("Tableau!$P$108")</f>
        <v/>
      </c>
    </row>
    <row r="1054">
      <c r="A1054" s="402">
        <f t="array" ref="A1054">INDIRECT("Tableau!$A$109")</f>
        <v>343</v>
      </c>
      <c r="B1054" s="398" t="s">
        <v>466</v>
      </c>
      <c r="C1054" s="400" t="str">
        <f t="array" ref="C1054">INDIRECT("Tableau!$O$109")</f>
        <v>Urbaine</v>
      </c>
      <c r="D1054" s="400" t="str">
        <f t="shared" si="7"/>
        <v>OUT</v>
      </c>
      <c r="E1054" s="403" t="str">
        <f t="array" ref="E1054">INDIRECT("Tableau!$P$109")</f>
        <v/>
      </c>
    </row>
    <row r="1055">
      <c r="A1055" s="402">
        <f t="array" ref="A1055">INDIRECT("Tableau!$A$110")</f>
        <v>344</v>
      </c>
      <c r="B1055" s="398" t="s">
        <v>466</v>
      </c>
      <c r="C1055" s="400" t="str">
        <f t="array" ref="C1055">INDIRECT("Tableau!$O$110")</f>
        <v>Optic &amp; vous</v>
      </c>
      <c r="D1055" s="400" t="str">
        <f t="shared" si="7"/>
        <v>OUT</v>
      </c>
      <c r="E1055" s="403" t="str">
        <f t="array" ref="E1055">INDIRECT("Tableau!$P$110")</f>
        <v/>
      </c>
    </row>
    <row r="1056">
      <c r="A1056" s="402">
        <f t="array" ref="A1056">INDIRECT("Tableau!$A$111")</f>
        <v>363</v>
      </c>
      <c r="B1056" s="398" t="s">
        <v>466</v>
      </c>
      <c r="C1056" s="400" t="str">
        <f t="array" ref="C1056">INDIRECT("Tableau!$O$111")</f>
        <v/>
      </c>
      <c r="D1056" s="400" t="str">
        <f t="shared" si="7"/>
        <v>OUT</v>
      </c>
      <c r="E1056" s="403" t="str">
        <f t="array" ref="E1056">INDIRECT("Tableau!$P$111")</f>
        <v/>
      </c>
    </row>
    <row r="1057">
      <c r="A1057" s="402">
        <f t="array" ref="A1057">INDIRECT("Tableau!$A$112")</f>
        <v>345</v>
      </c>
      <c r="B1057" s="398" t="s">
        <v>466</v>
      </c>
      <c r="C1057" s="400" t="str">
        <f t="array" ref="C1057">INDIRECT("Tableau!$O$112")</f>
        <v/>
      </c>
      <c r="D1057" s="400" t="str">
        <f t="shared" si="7"/>
        <v>OUT</v>
      </c>
      <c r="E1057" s="403" t="str">
        <f t="array" ref="E1057">INDIRECT("Tableau!$P$112")</f>
        <v/>
      </c>
    </row>
    <row r="1058">
      <c r="A1058" s="402">
        <f t="array" ref="A1058">INDIRECT("Tableau!$A$113")</f>
        <v>346</v>
      </c>
      <c r="B1058" s="398" t="s">
        <v>466</v>
      </c>
      <c r="C1058" s="400" t="str">
        <f t="array" ref="C1058">INDIRECT("Tableau!$O$113")</f>
        <v/>
      </c>
      <c r="D1058" s="400" t="str">
        <f t="shared" si="7"/>
        <v>OUT</v>
      </c>
      <c r="E1058" s="403" t="str">
        <f t="array" ref="E1058">INDIRECT("Tableau!$P$113")</f>
        <v/>
      </c>
    </row>
    <row r="1059">
      <c r="A1059" s="402">
        <f t="array" ref="A1059">INDIRECT("Tableau!$A$114")</f>
        <v>359</v>
      </c>
      <c r="B1059" s="398" t="s">
        <v>466</v>
      </c>
      <c r="C1059" s="400" t="str">
        <f t="array" ref="C1059">INDIRECT("Tableau!$O$114")</f>
        <v/>
      </c>
      <c r="D1059" s="400" t="str">
        <f t="shared" si="7"/>
        <v>OUT</v>
      </c>
      <c r="E1059" s="403" t="str">
        <f t="array" ref="E1059">INDIRECT("Tableau!$P$114")</f>
        <v/>
      </c>
    </row>
    <row r="1060">
      <c r="A1060" s="402">
        <f t="array" ref="A1060">INDIRECT("Tableau!$A$115")</f>
        <v>360</v>
      </c>
      <c r="B1060" s="398" t="s">
        <v>466</v>
      </c>
      <c r="C1060" s="400" t="str">
        <f t="array" ref="C1060">INDIRECT("Tableau!$O$115")</f>
        <v/>
      </c>
      <c r="D1060" s="400" t="str">
        <f t="shared" si="7"/>
        <v>OUT</v>
      </c>
      <c r="E1060" s="403" t="str">
        <f t="array" ref="E1060">INDIRECT("Tableau!$P$115")</f>
        <v/>
      </c>
    </row>
    <row r="1061">
      <c r="A1061" s="402">
        <f t="array" ref="A1061">INDIRECT("Tableau!$A$116")</f>
        <v>361</v>
      </c>
      <c r="B1061" s="398" t="s">
        <v>466</v>
      </c>
      <c r="C1061" s="400" t="str">
        <f t="array" ref="C1061">INDIRECT("Tableau!$O$116")</f>
        <v/>
      </c>
      <c r="D1061" s="400" t="str">
        <f t="shared" si="7"/>
        <v>OUT</v>
      </c>
      <c r="E1061" s="403" t="str">
        <f t="array" ref="E1061">INDIRECT("Tableau!$P$116")</f>
        <v/>
      </c>
    </row>
    <row r="1062">
      <c r="A1062" s="397" t="str">
        <f t="array" ref="A1062">INDIRECT("Tableau!$A$117")</f>
        <v/>
      </c>
      <c r="B1062" s="398" t="s">
        <v>466</v>
      </c>
      <c r="C1062" s="400" t="str">
        <f t="array" ref="C1062">INDIRECT("Tableau!$O$117")</f>
        <v/>
      </c>
      <c r="D1062" s="400" t="str">
        <f t="shared" si="7"/>
        <v>OUT</v>
      </c>
      <c r="E1062" s="403" t="str">
        <f t="array" ref="E1062">INDIRECT("Tableau!$P$117")</f>
        <v/>
      </c>
    </row>
    <row r="1063">
      <c r="A1063" s="402">
        <f t="array" ref="A1063">INDIRECT("Tableau!$A$118")</f>
        <v>347</v>
      </c>
      <c r="B1063" s="398" t="s">
        <v>466</v>
      </c>
      <c r="C1063" s="400" t="str">
        <f t="array" ref="C1063">INDIRECT("Tableau!$O$118")</f>
        <v>Carbelle</v>
      </c>
      <c r="D1063" s="400" t="str">
        <f t="shared" si="7"/>
        <v>OUT</v>
      </c>
      <c r="E1063" s="403" t="str">
        <f t="array" ref="E1063">INDIRECT("Tableau!$P$118")</f>
        <v/>
      </c>
    </row>
    <row r="1064">
      <c r="A1064" s="402">
        <f t="array" ref="A1064">INDIRECT("Tableau!$A$119")</f>
        <v>348</v>
      </c>
      <c r="B1064" s="398" t="s">
        <v>466</v>
      </c>
      <c r="C1064" s="400" t="str">
        <f t="array" ref="C1064">INDIRECT("Tableau!$O$119")</f>
        <v/>
      </c>
      <c r="D1064" s="400" t="str">
        <f t="shared" si="7"/>
        <v>OUT</v>
      </c>
      <c r="E1064" s="403" t="str">
        <f t="array" ref="E1064">INDIRECT("Tableau!$P$119")</f>
        <v/>
      </c>
    </row>
    <row r="1065">
      <c r="A1065" s="402">
        <f t="array" ref="A1065">INDIRECT("Tableau!$A$120")</f>
        <v>349</v>
      </c>
      <c r="B1065" s="398" t="s">
        <v>466</v>
      </c>
      <c r="C1065" s="400" t="str">
        <f t="array" ref="C1065">INDIRECT("Tableau!$O$120")</f>
        <v/>
      </c>
      <c r="D1065" s="400" t="str">
        <f t="shared" si="7"/>
        <v>OUT</v>
      </c>
      <c r="E1065" s="403" t="str">
        <f t="array" ref="E1065">INDIRECT("Tableau!$P$120")</f>
        <v/>
      </c>
    </row>
    <row r="1066">
      <c r="A1066" s="402">
        <f t="array" ref="A1066">INDIRECT("Tableau!$A$121")</f>
        <v>350</v>
      </c>
      <c r="B1066" s="398" t="s">
        <v>466</v>
      </c>
      <c r="C1066" s="400" t="str">
        <f t="array" ref="C1066">INDIRECT("Tableau!$O$121")</f>
        <v/>
      </c>
      <c r="D1066" s="400" t="str">
        <f t="shared" si="7"/>
        <v>OUT</v>
      </c>
      <c r="E1066" s="403" t="str">
        <f t="array" ref="E1066">INDIRECT("Tableau!$P$121")</f>
        <v/>
      </c>
    </row>
    <row r="1067">
      <c r="A1067" s="402">
        <f t="array" ref="A1067">INDIRECT("Tableau!$A$122")</f>
        <v>351</v>
      </c>
      <c r="B1067" s="398" t="s">
        <v>466</v>
      </c>
      <c r="C1067" s="400" t="str">
        <f t="array" ref="C1067">INDIRECT("Tableau!$O$122")</f>
        <v/>
      </c>
      <c r="D1067" s="400" t="str">
        <f t="shared" si="7"/>
        <v>OUT</v>
      </c>
      <c r="E1067" s="403" t="str">
        <f t="array" ref="E1067">INDIRECT("Tableau!$P$122")</f>
        <v/>
      </c>
    </row>
    <row r="1068">
      <c r="A1068" s="402">
        <f t="array" ref="A1068">INDIRECT("Tableau!$A$123")</f>
        <v>352</v>
      </c>
      <c r="B1068" s="398" t="s">
        <v>466</v>
      </c>
      <c r="C1068" s="400" t="str">
        <f t="array" ref="C1068">INDIRECT("Tableau!$O$123")</f>
        <v/>
      </c>
      <c r="D1068" s="400" t="str">
        <f t="shared" si="7"/>
        <v>OUT</v>
      </c>
      <c r="E1068" s="403" t="str">
        <f t="array" ref="E1068">INDIRECT("Tableau!$P$123")</f>
        <v/>
      </c>
    </row>
    <row r="1069">
      <c r="A1069" s="402">
        <f t="array" ref="A1069">INDIRECT("Tableau!$A$124")</f>
        <v>353</v>
      </c>
      <c r="B1069" s="398" t="s">
        <v>466</v>
      </c>
      <c r="C1069" s="400" t="str">
        <f t="array" ref="C1069">INDIRECT("Tableau!$O$124")</f>
        <v/>
      </c>
      <c r="D1069" s="400" t="str">
        <f t="shared" si="7"/>
        <v>OUT</v>
      </c>
      <c r="E1069" s="403" t="str">
        <f t="array" ref="E1069">INDIRECT("Tableau!$P$124")</f>
        <v/>
      </c>
    </row>
    <row r="1070">
      <c r="A1070" s="397" t="str">
        <f t="array" ref="A1070">INDIRECT("Tableau!$A$125")</f>
        <v/>
      </c>
      <c r="B1070" s="398" t="s">
        <v>466</v>
      </c>
      <c r="C1070" s="400" t="str">
        <f t="array" ref="C1070">INDIRECT("Tableau!$O$125")</f>
        <v/>
      </c>
      <c r="D1070" s="400" t="str">
        <f t="shared" si="7"/>
        <v>OUT</v>
      </c>
      <c r="E1070" s="403" t="str">
        <f t="array" ref="E1070">INDIRECT("Tableau!$P$125")</f>
        <v/>
      </c>
    </row>
    <row r="1071">
      <c r="A1071" s="402">
        <f t="array" ref="A1071">INDIRECT("Tableau!$A$126")</f>
        <v>354</v>
      </c>
      <c r="B1071" s="398" t="s">
        <v>466</v>
      </c>
      <c r="C1071" s="400" t="str">
        <f t="array" ref="C1071">INDIRECT("Tableau!$O$126")</f>
        <v/>
      </c>
      <c r="D1071" s="400" t="str">
        <f t="shared" si="7"/>
        <v>OUT</v>
      </c>
      <c r="E1071" s="403" t="str">
        <f t="array" ref="E1071">INDIRECT("Tableau!$P$126")</f>
        <v/>
      </c>
    </row>
    <row r="1072">
      <c r="A1072" s="402">
        <f t="array" ref="A1072">INDIRECT("Tableau!$A$127")</f>
        <v>355</v>
      </c>
      <c r="B1072" s="398" t="s">
        <v>466</v>
      </c>
      <c r="C1072" s="400" t="str">
        <f t="array" ref="C1072">INDIRECT("Tableau!$O$127")</f>
        <v/>
      </c>
      <c r="D1072" s="400" t="str">
        <f t="shared" si="7"/>
        <v>OUT</v>
      </c>
      <c r="E1072" s="403" t="str">
        <f t="array" ref="E1072">INDIRECT("Tableau!$P$127")</f>
        <v/>
      </c>
    </row>
    <row r="1073">
      <c r="A1073" s="402">
        <f t="array" ref="A1073">INDIRECT("Tableau!$A$128")</f>
        <v>356</v>
      </c>
      <c r="B1073" s="398" t="s">
        <v>466</v>
      </c>
      <c r="C1073" s="400" t="str">
        <f t="array" ref="C1073">INDIRECT("Tableau!$O$128")</f>
        <v/>
      </c>
      <c r="D1073" s="400" t="str">
        <f t="shared" si="7"/>
        <v>OUT</v>
      </c>
      <c r="E1073" s="403" t="str">
        <f t="array" ref="E1073">INDIRECT("Tableau!$P$128")</f>
        <v/>
      </c>
    </row>
    <row r="1074">
      <c r="A1074" s="402">
        <f t="array" ref="A1074">INDIRECT("Tableau!$A$129")</f>
        <v>357</v>
      </c>
      <c r="B1074" s="398" t="s">
        <v>466</v>
      </c>
      <c r="C1074" s="400" t="str">
        <f t="array" ref="C1074">INDIRECT("Tableau!$O$129")</f>
        <v/>
      </c>
      <c r="D1074" s="400" t="str">
        <f t="shared" si="7"/>
        <v>OUT</v>
      </c>
      <c r="E1074" s="403" t="str">
        <f t="array" ref="E1074">INDIRECT("Tableau!$P$129")</f>
        <v/>
      </c>
    </row>
    <row r="1075">
      <c r="A1075" s="397" t="str">
        <f t="array" ref="A1075">INDIRECT("Tableau!$A$130")</f>
        <v/>
      </c>
      <c r="B1075" s="398" t="s">
        <v>466</v>
      </c>
      <c r="C1075" s="400" t="str">
        <f t="array" ref="C1075">INDIRECT("Tableau!$O$130")</f>
        <v/>
      </c>
      <c r="D1075" s="400" t="str">
        <f t="shared" si="7"/>
        <v>OUT</v>
      </c>
      <c r="E1075" s="403" t="str">
        <f t="array" ref="E1075">INDIRECT("Tableau!$P$130")</f>
        <v/>
      </c>
    </row>
    <row r="1076">
      <c r="A1076" s="397" t="str">
        <f t="array" ref="A1076">INDIRECT("Tableau!$A$131")</f>
        <v/>
      </c>
      <c r="B1076" s="398" t="s">
        <v>466</v>
      </c>
      <c r="C1076" s="400" t="str">
        <f t="array" ref="C1076">INDIRECT("Tableau!$O$131")</f>
        <v/>
      </c>
      <c r="D1076" s="400" t="str">
        <f t="shared" si="7"/>
        <v>OUT</v>
      </c>
      <c r="E1076" s="403" t="str">
        <f t="array" ref="E1076">INDIRECT("Tableau!$P$131")</f>
        <v/>
      </c>
    </row>
    <row r="1077">
      <c r="A1077" s="397" t="str">
        <f t="array" ref="A1077">INDIRECT("Tableau!$A$132")</f>
        <v/>
      </c>
      <c r="B1077" s="398" t="s">
        <v>466</v>
      </c>
      <c r="C1077" s="400" t="str">
        <f t="array" ref="C1077">INDIRECT("Tableau!$O$132")</f>
        <v/>
      </c>
      <c r="D1077" s="400" t="str">
        <f t="shared" si="7"/>
        <v>OUT</v>
      </c>
      <c r="E1077" s="403" t="str">
        <f t="array" ref="E1077">INDIRECT("Tableau!$P$132")</f>
        <v/>
      </c>
    </row>
    <row r="1078">
      <c r="A1078" s="397" t="str">
        <f t="array" ref="A1078">INDIRECT("Tableau!$A$133")</f>
        <v/>
      </c>
      <c r="B1078" s="398" t="s">
        <v>466</v>
      </c>
      <c r="C1078" s="400" t="str">
        <f t="array" ref="C1078">INDIRECT("Tableau!$O$133")</f>
        <v/>
      </c>
      <c r="D1078" s="400" t="str">
        <f t="shared" si="7"/>
        <v>OUT</v>
      </c>
      <c r="E1078" s="403" t="str">
        <f t="array" ref="E1078">INDIRECT("Tableau!$P$133")</f>
        <v/>
      </c>
    </row>
    <row r="1079">
      <c r="A1079" s="397" t="str">
        <f t="array" ref="A1079">INDIRECT("Tableau!$A$134")</f>
        <v/>
      </c>
      <c r="B1079" s="398" t="s">
        <v>466</v>
      </c>
      <c r="C1079" s="400" t="str">
        <f t="array" ref="C1079">INDIRECT("Tableau!$O$134")</f>
        <v/>
      </c>
      <c r="D1079" s="400" t="str">
        <f t="shared" si="7"/>
        <v>OUT</v>
      </c>
      <c r="E1079" s="403" t="str">
        <f t="array" ref="E1079">INDIRECT("Tableau!$P$134")</f>
        <v/>
      </c>
    </row>
    <row r="1080">
      <c r="A1080" s="402">
        <f t="array" ref="A1080">INDIRECT("Tableau!$A$135")</f>
        <v>401</v>
      </c>
      <c r="B1080" s="398" t="s">
        <v>466</v>
      </c>
      <c r="C1080" s="400" t="str">
        <f t="array" ref="C1080">INDIRECT("Tableau!$O$135")</f>
        <v>Carbelle</v>
      </c>
      <c r="D1080" s="400" t="str">
        <f t="shared" si="7"/>
        <v>OUT</v>
      </c>
      <c r="E1080" s="403" t="str">
        <f t="array" ref="E1080">INDIRECT("Tableau!$P$135")</f>
        <v/>
      </c>
    </row>
    <row r="1081">
      <c r="A1081" s="402">
        <f t="array" ref="A1081">INDIRECT("Tableau!$A$136")</f>
        <v>402</v>
      </c>
      <c r="B1081" s="398" t="s">
        <v>466</v>
      </c>
      <c r="C1081" s="400" t="str">
        <f t="array" ref="C1081">INDIRECT("Tableau!$O$136")</f>
        <v/>
      </c>
      <c r="D1081" s="400" t="str">
        <f t="shared" si="7"/>
        <v>OUT</v>
      </c>
      <c r="E1081" s="403" t="str">
        <f t="array" ref="E1081">INDIRECT("Tableau!$P$136")</f>
        <v/>
      </c>
    </row>
    <row r="1082">
      <c r="A1082" s="402">
        <f t="array" ref="A1082">INDIRECT("Tableau!$A$137")</f>
        <v>403</v>
      </c>
      <c r="B1082" s="398" t="s">
        <v>466</v>
      </c>
      <c r="C1082" s="400" t="str">
        <f t="array" ref="C1082">INDIRECT("Tableau!$O$137")</f>
        <v/>
      </c>
      <c r="D1082" s="400" t="str">
        <f t="shared" si="7"/>
        <v>OUT</v>
      </c>
      <c r="E1082" s="403" t="str">
        <f t="array" ref="E1082">INDIRECT("Tableau!$P$137")</f>
        <v/>
      </c>
    </row>
    <row r="1083">
      <c r="A1083" s="402">
        <f t="array" ref="A1083">INDIRECT("Tableau!$A$138")</f>
        <v>404</v>
      </c>
      <c r="B1083" s="398" t="s">
        <v>466</v>
      </c>
      <c r="C1083" s="400" t="str">
        <f t="array" ref="C1083">INDIRECT("Tableau!$O$138")</f>
        <v/>
      </c>
      <c r="D1083" s="400" t="str">
        <f t="shared" si="7"/>
        <v>OUT</v>
      </c>
      <c r="E1083" s="403" t="str">
        <f t="array" ref="E1083">INDIRECT("Tableau!$P$138")</f>
        <v/>
      </c>
    </row>
    <row r="1084">
      <c r="A1084" s="402">
        <f t="array" ref="A1084">INDIRECT("Tableau!$A$139")</f>
        <v>405</v>
      </c>
      <c r="B1084" s="398" t="s">
        <v>466</v>
      </c>
      <c r="C1084" s="400" t="str">
        <f t="array" ref="C1084">INDIRECT("Tableau!$O$139")</f>
        <v/>
      </c>
      <c r="D1084" s="400" t="str">
        <f t="shared" si="7"/>
        <v>OUT</v>
      </c>
      <c r="E1084" s="403" t="str">
        <f t="array" ref="E1084">INDIRECT("Tableau!$P$139")</f>
        <v/>
      </c>
    </row>
    <row r="1085">
      <c r="A1085" s="402">
        <f t="array" ref="A1085">INDIRECT("Tableau!$A$140")</f>
        <v>406</v>
      </c>
      <c r="B1085" s="398" t="s">
        <v>466</v>
      </c>
      <c r="C1085" s="400" t="str">
        <f t="array" ref="C1085">INDIRECT("Tableau!$O$140")</f>
        <v/>
      </c>
      <c r="D1085" s="400" t="str">
        <f t="shared" si="7"/>
        <v>OUT</v>
      </c>
      <c r="E1085" s="403" t="str">
        <f t="array" ref="E1085">INDIRECT("Tableau!$P$140")</f>
        <v/>
      </c>
    </row>
    <row r="1086">
      <c r="A1086" s="402">
        <f t="array" ref="A1086">INDIRECT("Tableau!$A$141")</f>
        <v>407</v>
      </c>
      <c r="B1086" s="398" t="s">
        <v>466</v>
      </c>
      <c r="C1086" s="400" t="str">
        <f t="array" ref="C1086">INDIRECT("Tableau!$O$141")</f>
        <v/>
      </c>
      <c r="D1086" s="400" t="str">
        <f t="shared" si="7"/>
        <v>OUT</v>
      </c>
      <c r="E1086" s="403" t="str">
        <f t="array" ref="E1086">INDIRECT("Tableau!$P$141")</f>
        <v/>
      </c>
    </row>
    <row r="1087">
      <c r="A1087" s="402">
        <f t="array" ref="A1087">INDIRECT("Tableau!$A$142")</f>
        <v>408</v>
      </c>
      <c r="B1087" s="398" t="s">
        <v>466</v>
      </c>
      <c r="C1087" s="400" t="str">
        <f t="array" ref="C1087">INDIRECT("Tableau!$O$142")</f>
        <v/>
      </c>
      <c r="D1087" s="400" t="str">
        <f t="shared" si="7"/>
        <v>OUT</v>
      </c>
      <c r="E1087" s="403" t="str">
        <f t="array" ref="E1087">INDIRECT("Tableau!$P$142")</f>
        <v/>
      </c>
    </row>
    <row r="1088">
      <c r="A1088" s="402">
        <f t="array" ref="A1088">INDIRECT("Tableau!$A$143")</f>
        <v>409</v>
      </c>
      <c r="B1088" s="398" t="s">
        <v>466</v>
      </c>
      <c r="C1088" s="400" t="str">
        <f t="array" ref="C1088">INDIRECT("Tableau!$O$143")</f>
        <v>DEMA</v>
      </c>
      <c r="D1088" s="400" t="str">
        <f t="shared" si="7"/>
        <v>OUT</v>
      </c>
      <c r="E1088" s="403" t="str">
        <f t="array" ref="E1088">INDIRECT("Tableau!$P$143")</f>
        <v/>
      </c>
    </row>
    <row r="1089">
      <c r="A1089" s="397">
        <f t="array" ref="A1089">INDIRECT("Tableau!$A$144")</f>
        <v>415</v>
      </c>
      <c r="B1089" s="398" t="s">
        <v>466</v>
      </c>
      <c r="C1089" s="400" t="str">
        <f t="array" ref="C1089">INDIRECT("Tableau!$O$144")</f>
        <v/>
      </c>
      <c r="D1089" s="400" t="str">
        <f t="shared" si="7"/>
        <v>OUT</v>
      </c>
      <c r="E1089" s="403" t="str">
        <f t="array" ref="E1089">INDIRECT("Tableau!$P$144")</f>
        <v/>
      </c>
    </row>
    <row r="1090">
      <c r="A1090" s="397" t="str">
        <f t="array" ref="A1090">INDIRECT("Tableau!$A$145")</f>
        <v/>
      </c>
      <c r="B1090" s="398" t="s">
        <v>466</v>
      </c>
      <c r="C1090" s="400" t="str">
        <f t="array" ref="C1090">INDIRECT("Tableau!$O$145")</f>
        <v/>
      </c>
      <c r="D1090" s="400" t="str">
        <f t="shared" si="7"/>
        <v>OUT</v>
      </c>
      <c r="E1090" s="403" t="str">
        <f t="array" ref="E1090">INDIRECT("Tableau!$P$145")</f>
        <v/>
      </c>
    </row>
    <row r="1091">
      <c r="A1091" s="397" t="str">
        <f t="array" ref="A1091">INDIRECT("Tableau!$A$146")</f>
        <v/>
      </c>
      <c r="B1091" s="398" t="s">
        <v>466</v>
      </c>
      <c r="C1091" s="400" t="str">
        <f t="array" ref="C1091">INDIRECT("Tableau!$O$146")</f>
        <v/>
      </c>
      <c r="D1091" s="400" t="str">
        <f t="shared" si="7"/>
        <v>OUT</v>
      </c>
      <c r="E1091" s="403" t="str">
        <f t="array" ref="E1091">INDIRECT("Tableau!$P$146")</f>
        <v/>
      </c>
    </row>
    <row r="1092">
      <c r="A1092" s="397" t="str">
        <f t="array" ref="A1092">INDIRECT("Tableau!$A$147")</f>
        <v/>
      </c>
      <c r="B1092" s="398" t="s">
        <v>466</v>
      </c>
      <c r="C1092" s="400" t="str">
        <f t="array" ref="C1092">INDIRECT("Tableau!$O$147")</f>
        <v/>
      </c>
      <c r="D1092" s="400" t="str">
        <f t="shared" si="7"/>
        <v>OUT</v>
      </c>
      <c r="E1092" s="403" t="str">
        <f t="array" ref="E1092">INDIRECT("Tableau!$P$147")</f>
        <v/>
      </c>
    </row>
    <row r="1093">
      <c r="A1093" s="397" t="str">
        <f t="array" ref="A1093">INDIRECT("Tableau!$A$148")</f>
        <v/>
      </c>
      <c r="B1093" s="398" t="s">
        <v>466</v>
      </c>
      <c r="C1093" s="400" t="str">
        <f t="array" ref="C1093">INDIRECT("Tableau!$O$148")</f>
        <v/>
      </c>
      <c r="D1093" s="400" t="str">
        <f t="shared" si="7"/>
        <v>OUT</v>
      </c>
      <c r="E1093" s="403" t="str">
        <f t="array" ref="E1093">INDIRECT("Tableau!$P$148")</f>
        <v/>
      </c>
    </row>
    <row r="1094">
      <c r="A1094" s="397" t="str">
        <f t="array" ref="A1094">INDIRECT("Tableau!$A$149")</f>
        <v/>
      </c>
      <c r="B1094" s="398" t="s">
        <v>466</v>
      </c>
      <c r="C1094" s="400" t="str">
        <f t="array" ref="C1094">INDIRECT("Tableau!$O$149")</f>
        <v/>
      </c>
      <c r="D1094" s="400" t="str">
        <f t="shared" si="7"/>
        <v>OUT</v>
      </c>
      <c r="E1094" s="403" t="str">
        <f t="array" ref="E1094">INDIRECT("Tableau!$P$149")</f>
        <v/>
      </c>
    </row>
    <row r="1095">
      <c r="A1095" s="397" t="str">
        <f t="array" ref="A1095">INDIRECT("Tableau!$A$150")</f>
        <v/>
      </c>
      <c r="B1095" s="398" t="s">
        <v>466</v>
      </c>
      <c r="C1095" s="400" t="str">
        <f t="array" ref="C1095">INDIRECT("Tableau!$O$150")</f>
        <v/>
      </c>
      <c r="D1095" s="400" t="str">
        <f t="shared" si="7"/>
        <v>OUT</v>
      </c>
      <c r="E1095" s="403" t="str">
        <f t="array" ref="E1095">INDIRECT("Tableau!$P$150")</f>
        <v/>
      </c>
    </row>
    <row r="1096">
      <c r="A1096" s="397" t="str">
        <f t="array" ref="A1096">INDIRECT("Tableau!$A$151")</f>
        <v/>
      </c>
      <c r="B1096" s="398" t="s">
        <v>466</v>
      </c>
      <c r="C1096" s="400" t="str">
        <f t="array" ref="C1096">INDIRECT("Tableau!$O$151")</f>
        <v/>
      </c>
      <c r="D1096" s="400" t="str">
        <f t="shared" si="7"/>
        <v>OUT</v>
      </c>
      <c r="E1096" s="403" t="str">
        <f t="array" ref="E1096">INDIRECT("Tableau!$P$151")</f>
        <v/>
      </c>
    </row>
    <row r="1097">
      <c r="A1097" s="397" t="str">
        <f t="array" ref="A1097">INDIRECT("Tableau!$A$152")</f>
        <v/>
      </c>
      <c r="B1097" s="398" t="s">
        <v>466</v>
      </c>
      <c r="C1097" s="400" t="str">
        <f t="array" ref="C1097">INDIRECT("Tableau!$O$152")</f>
        <v/>
      </c>
      <c r="D1097" s="400" t="str">
        <f t="shared" si="7"/>
        <v>OUT</v>
      </c>
      <c r="E1097" s="403" t="str">
        <f t="array" ref="E1097">INDIRECT("Tableau!$P$152")</f>
        <v/>
      </c>
    </row>
    <row r="1098">
      <c r="A1098" s="397" t="str">
        <f t="array" ref="A1098">INDIRECT("Tableau!$A$153")</f>
        <v/>
      </c>
      <c r="B1098" s="398" t="s">
        <v>466</v>
      </c>
      <c r="C1098" s="400" t="str">
        <f t="array" ref="C1098">INDIRECT("Tableau!$O$153")</f>
        <v/>
      </c>
      <c r="D1098" s="400" t="str">
        <f t="shared" si="7"/>
        <v>OUT</v>
      </c>
      <c r="E1098" s="403" t="str">
        <f t="array" ref="E1098">INDIRECT("Tableau!$P$153")</f>
        <v/>
      </c>
    </row>
    <row r="1099">
      <c r="A1099" s="402">
        <f t="array" ref="A1099">INDIRECT("Tableau!$A$154")</f>
        <v>501</v>
      </c>
      <c r="B1099" s="398" t="s">
        <v>466</v>
      </c>
      <c r="C1099" s="400" t="str">
        <f t="array" ref="C1099">INDIRECT("Tableau!$O$154")</f>
        <v>DPS</v>
      </c>
      <c r="D1099" s="400" t="str">
        <f t="shared" si="7"/>
        <v>OUT</v>
      </c>
      <c r="E1099" s="403" t="str">
        <f t="array" ref="E1099">INDIRECT("Tableau!$P$154")</f>
        <v/>
      </c>
    </row>
    <row r="1100">
      <c r="A1100" s="402">
        <f t="array" ref="A1100">INDIRECT("Tableau!$A$155")</f>
        <v>502</v>
      </c>
      <c r="B1100" s="398" t="s">
        <v>466</v>
      </c>
      <c r="C1100" s="400" t="str">
        <f t="array" ref="C1100">INDIRECT("Tableau!$O$155")</f>
        <v>Carbelle</v>
      </c>
      <c r="D1100" s="400" t="str">
        <f t="shared" si="7"/>
        <v>OUT</v>
      </c>
      <c r="E1100" s="403" t="str">
        <f t="array" ref="E1100">INDIRECT("Tableau!$P$155")</f>
        <v/>
      </c>
    </row>
    <row r="1101">
      <c r="A1101" s="397" t="str">
        <f t="array" ref="A1101">INDIRECT("Tableau!$A$156")</f>
        <v/>
      </c>
      <c r="B1101" s="398" t="s">
        <v>466</v>
      </c>
      <c r="C1101" s="400" t="str">
        <f t="array" ref="C1101">INDIRECT("Tableau!$O$156")</f>
        <v>Carbelle</v>
      </c>
      <c r="D1101" s="400" t="str">
        <f t="shared" si="7"/>
        <v>OUT</v>
      </c>
      <c r="E1101" s="403" t="str">
        <f t="array" ref="E1101">INDIRECT("Tableau!$P$156")</f>
        <v/>
      </c>
    </row>
    <row r="1102">
      <c r="A1102" s="397" t="str">
        <f t="array" ref="A1102">INDIRECT("Tableau!$A$157")</f>
        <v/>
      </c>
      <c r="B1102" s="398" t="s">
        <v>466</v>
      </c>
      <c r="C1102" s="400" t="str">
        <f t="array" ref="C1102">INDIRECT("Tableau!$O$157")</f>
        <v>Carbelle</v>
      </c>
      <c r="D1102" s="400" t="str">
        <f t="shared" si="7"/>
        <v>OUT</v>
      </c>
      <c r="E1102" s="403" t="str">
        <f t="array" ref="E1102">INDIRECT("Tableau!$P$157")</f>
        <v/>
      </c>
    </row>
    <row r="1103">
      <c r="A1103" s="402">
        <f t="array" ref="A1103">INDIRECT("Tableau!$A$158")</f>
        <v>505</v>
      </c>
      <c r="B1103" s="398" t="s">
        <v>466</v>
      </c>
      <c r="C1103" s="400" t="str">
        <f t="array" ref="C1103">INDIRECT("Tableau!$O$158")</f>
        <v>Carbelle</v>
      </c>
      <c r="D1103" s="400" t="str">
        <f t="shared" si="7"/>
        <v>OUT</v>
      </c>
      <c r="E1103" s="403" t="str">
        <f t="array" ref="E1103">INDIRECT("Tableau!$P$158")</f>
        <v/>
      </c>
    </row>
    <row r="1104">
      <c r="A1104" s="402">
        <f t="array" ref="A1104">INDIRECT("Tableau!$A$159")</f>
        <v>506</v>
      </c>
      <c r="B1104" s="398" t="s">
        <v>466</v>
      </c>
      <c r="C1104" s="400" t="str">
        <f t="array" ref="C1104">INDIRECT("Tableau!$O$159")</f>
        <v>DPS</v>
      </c>
      <c r="D1104" s="400" t="str">
        <f t="shared" si="7"/>
        <v>OUT</v>
      </c>
      <c r="E1104" s="403" t="str">
        <f t="array" ref="E1104">INDIRECT("Tableau!$P$159")</f>
        <v/>
      </c>
    </row>
    <row r="1105">
      <c r="A1105" s="402">
        <f t="array" ref="A1105">INDIRECT("Tableau!$A$160")</f>
        <v>507</v>
      </c>
      <c r="B1105" s="398" t="s">
        <v>466</v>
      </c>
      <c r="C1105" s="400" t="str">
        <f t="array" ref="C1105">INDIRECT("Tableau!$O$160")</f>
        <v/>
      </c>
      <c r="D1105" s="400" t="str">
        <f t="shared" si="7"/>
        <v>OUT</v>
      </c>
      <c r="E1105" s="403" t="str">
        <f t="array" ref="E1105">INDIRECT("Tableau!$P$160")</f>
        <v/>
      </c>
    </row>
    <row r="1106">
      <c r="A1106" s="402">
        <f t="array" ref="A1106">INDIRECT("Tableau!$A$161")</f>
        <v>508</v>
      </c>
      <c r="B1106" s="398" t="s">
        <v>466</v>
      </c>
      <c r="C1106" s="400" t="str">
        <f t="array" ref="C1106">INDIRECT("Tableau!$O$161")</f>
        <v>DPS</v>
      </c>
      <c r="D1106" s="400" t="str">
        <f t="shared" si="7"/>
        <v>OUT</v>
      </c>
      <c r="E1106" s="403" t="str">
        <f t="array" ref="E1106">INDIRECT("Tableau!$P$161")</f>
        <v/>
      </c>
    </row>
    <row r="1107">
      <c r="A1107" s="402">
        <f t="array" ref="A1107">INDIRECT("Tableau!$A$162")</f>
        <v>509</v>
      </c>
      <c r="B1107" s="398" t="s">
        <v>466</v>
      </c>
      <c r="C1107" s="400" t="str">
        <f t="array" ref="C1107">INDIRECT("Tableau!$O$162")</f>
        <v/>
      </c>
      <c r="D1107" s="400" t="str">
        <f t="shared" si="7"/>
        <v>OUT</v>
      </c>
      <c r="E1107" s="403" t="str">
        <f t="array" ref="E1107">INDIRECT("Tableau!$P$162")</f>
        <v/>
      </c>
    </row>
    <row r="1108">
      <c r="A1108" s="397">
        <f t="array" ref="A1108">INDIRECT("Tableau!$A$163")</f>
        <v>510</v>
      </c>
      <c r="B1108" s="398" t="s">
        <v>466</v>
      </c>
      <c r="C1108" s="400" t="str">
        <f t="array" ref="C1108">INDIRECT("Tableau!$O$163")</f>
        <v/>
      </c>
      <c r="D1108" s="400" t="str">
        <f t="shared" si="7"/>
        <v>OUT</v>
      </c>
      <c r="E1108" s="403" t="str">
        <f t="array" ref="E1108">INDIRECT("Tableau!$P$163")</f>
        <v/>
      </c>
    </row>
    <row r="1109">
      <c r="A1109" s="397" t="str">
        <f t="array" ref="A1109">INDIRECT("Tableau!$A$164")</f>
        <v/>
      </c>
      <c r="B1109" s="398" t="s">
        <v>466</v>
      </c>
      <c r="C1109" s="400" t="str">
        <f t="array" ref="C1109">INDIRECT("Tableau!$O$164")</f>
        <v/>
      </c>
      <c r="D1109" s="400" t="str">
        <f t="shared" si="7"/>
        <v>OUT</v>
      </c>
      <c r="E1109" s="403" t="str">
        <f t="array" ref="E1109">INDIRECT("Tableau!$P$164")</f>
        <v/>
      </c>
    </row>
    <row r="1110">
      <c r="A1110" s="397" t="str">
        <f t="array" ref="A1110">INDIRECT("Tableau!$A$165")</f>
        <v/>
      </c>
      <c r="B1110" s="398" t="s">
        <v>466</v>
      </c>
      <c r="C1110" s="400" t="str">
        <f t="array" ref="C1110">INDIRECT("Tableau!$O$165")</f>
        <v/>
      </c>
      <c r="D1110" s="400" t="str">
        <f t="shared" si="7"/>
        <v>OUT</v>
      </c>
      <c r="E1110" s="403" t="str">
        <f t="array" ref="E1110">INDIRECT("Tableau!$P$165")</f>
        <v/>
      </c>
    </row>
    <row r="1111">
      <c r="A1111" s="402">
        <f t="array" ref="A1111">INDIRECT("Tableau!$A$166")</f>
        <v>527</v>
      </c>
      <c r="B1111" s="398" t="s">
        <v>466</v>
      </c>
      <c r="C1111" s="400" t="str">
        <f t="array" ref="C1111">INDIRECT("Tableau!$O$166")</f>
        <v/>
      </c>
      <c r="D1111" s="400" t="str">
        <f t="shared" si="7"/>
        <v>OUT</v>
      </c>
      <c r="E1111" s="403" t="str">
        <f t="array" ref="E1111">INDIRECT("Tableau!$P$166")</f>
        <v/>
      </c>
    </row>
    <row r="1112">
      <c r="A1112" s="402">
        <f t="array" ref="A1112">INDIRECT("Tableau!$A$167")</f>
        <v>512</v>
      </c>
      <c r="B1112" s="398" t="s">
        <v>466</v>
      </c>
      <c r="C1112" s="400" t="str">
        <f t="array" ref="C1112">INDIRECT("Tableau!$O$167")</f>
        <v/>
      </c>
      <c r="D1112" s="400" t="str">
        <f t="shared" si="7"/>
        <v>OUT</v>
      </c>
      <c r="E1112" s="403" t="str">
        <f t="array" ref="E1112">INDIRECT("Tableau!$P$167")</f>
        <v/>
      </c>
    </row>
    <row r="1113">
      <c r="A1113" s="402">
        <f t="array" ref="A1113">INDIRECT("Tableau!$A$168")</f>
        <v>513</v>
      </c>
      <c r="B1113" s="398" t="s">
        <v>466</v>
      </c>
      <c r="C1113" s="400" t="str">
        <f t="array" ref="C1113">INDIRECT("Tableau!$O$168")</f>
        <v/>
      </c>
      <c r="D1113" s="400" t="str">
        <f t="shared" si="7"/>
        <v>OUT</v>
      </c>
      <c r="E1113" s="403" t="str">
        <f t="array" ref="E1113">INDIRECT("Tableau!$P$168")</f>
        <v/>
      </c>
    </row>
    <row r="1114">
      <c r="A1114" s="402">
        <f t="array" ref="A1114">INDIRECT("Tableau!$A$169")</f>
        <v>514</v>
      </c>
      <c r="B1114" s="398" t="s">
        <v>466</v>
      </c>
      <c r="C1114" s="400" t="str">
        <f t="array" ref="C1114">INDIRECT("Tableau!$O$169")</f>
        <v/>
      </c>
      <c r="D1114" s="400" t="str">
        <f t="shared" si="7"/>
        <v>OUT</v>
      </c>
      <c r="E1114" s="403" t="str">
        <f t="array" ref="E1114">INDIRECT("Tableau!$P$169")</f>
        <v/>
      </c>
    </row>
    <row r="1115">
      <c r="A1115" s="402">
        <f t="array" ref="A1115">INDIRECT("Tableau!$A$170")</f>
        <v>515</v>
      </c>
      <c r="B1115" s="398" t="s">
        <v>466</v>
      </c>
      <c r="C1115" s="400" t="str">
        <f t="array" ref="C1115">INDIRECT("Tableau!$O$170")</f>
        <v/>
      </c>
      <c r="D1115" s="400" t="str">
        <f t="shared" si="7"/>
        <v>OUT</v>
      </c>
      <c r="E1115" s="403" t="str">
        <f t="array" ref="E1115">INDIRECT("Tableau!$P$170")</f>
        <v/>
      </c>
    </row>
    <row r="1116">
      <c r="A1116" s="402">
        <f t="array" ref="A1116">INDIRECT("Tableau!$A$171")</f>
        <v>517</v>
      </c>
      <c r="B1116" s="398" t="s">
        <v>466</v>
      </c>
      <c r="C1116" s="400" t="str">
        <f t="array" ref="C1116">INDIRECT("Tableau!$O$171")</f>
        <v/>
      </c>
      <c r="D1116" s="400" t="str">
        <f t="shared" si="7"/>
        <v>OUT</v>
      </c>
      <c r="E1116" s="403" t="str">
        <f t="array" ref="E1116">INDIRECT("Tableau!$P$171")</f>
        <v/>
      </c>
    </row>
    <row r="1117">
      <c r="A1117" s="402">
        <f t="array" ref="A1117">INDIRECT("Tableau!$A$172")</f>
        <v>518</v>
      </c>
      <c r="B1117" s="398" t="s">
        <v>466</v>
      </c>
      <c r="C1117" s="400" t="str">
        <f t="array" ref="C1117">INDIRECT("Tableau!$O$172")</f>
        <v/>
      </c>
      <c r="D1117" s="400" t="str">
        <f t="shared" si="7"/>
        <v>OUT</v>
      </c>
      <c r="E1117" s="403" t="str">
        <f t="array" ref="E1117">INDIRECT("Tableau!$P$172")</f>
        <v/>
      </c>
    </row>
    <row r="1118">
      <c r="A1118" s="397" t="str">
        <f t="array" ref="A1118">INDIRECT("Tableau!$A$173")</f>
        <v/>
      </c>
      <c r="B1118" s="398" t="s">
        <v>466</v>
      </c>
      <c r="C1118" s="400" t="str">
        <f t="array" ref="C1118">INDIRECT("Tableau!$O$173")</f>
        <v/>
      </c>
      <c r="D1118" s="400" t="str">
        <f t="shared" si="7"/>
        <v>OUT</v>
      </c>
      <c r="E1118" s="403" t="str">
        <f t="array" ref="E1118">INDIRECT("Tableau!$P$173")</f>
        <v/>
      </c>
    </row>
    <row r="1119">
      <c r="A1119" s="402">
        <f t="array" ref="A1119">INDIRECT("Tableau!$A$174")</f>
        <v>520</v>
      </c>
      <c r="B1119" s="398" t="s">
        <v>466</v>
      </c>
      <c r="C1119" s="400" t="str">
        <f t="array" ref="C1119">INDIRECT("Tableau!$O$174")</f>
        <v/>
      </c>
      <c r="D1119" s="400" t="str">
        <f t="shared" si="7"/>
        <v>OUT</v>
      </c>
      <c r="E1119" s="403" t="str">
        <f t="array" ref="E1119">INDIRECT("Tableau!$P$174")</f>
        <v/>
      </c>
    </row>
    <row r="1120">
      <c r="A1120" s="402">
        <f t="array" ref="A1120">INDIRECT("Tableau!$A$175")</f>
        <v>521</v>
      </c>
      <c r="B1120" s="398" t="s">
        <v>466</v>
      </c>
      <c r="C1120" s="400" t="str">
        <f t="array" ref="C1120">INDIRECT("Tableau!$O$175")</f>
        <v/>
      </c>
      <c r="D1120" s="400" t="str">
        <f t="shared" si="7"/>
        <v>OUT</v>
      </c>
      <c r="E1120" s="403" t="str">
        <f t="array" ref="E1120">INDIRECT("Tableau!$P$175")</f>
        <v/>
      </c>
    </row>
    <row r="1121">
      <c r="A1121" s="402">
        <f t="array" ref="A1121">INDIRECT("Tableau!$A$176")</f>
        <v>525</v>
      </c>
      <c r="B1121" s="398" t="s">
        <v>466</v>
      </c>
      <c r="C1121" s="400" t="str">
        <f t="array" ref="C1121">INDIRECT("Tableau!$O$176")</f>
        <v>DEMA</v>
      </c>
      <c r="D1121" s="400" t="str">
        <f t="shared" si="7"/>
        <v>OUT</v>
      </c>
      <c r="E1121" s="403" t="str">
        <f t="array" ref="E1121">INDIRECT("Tableau!$P$176")</f>
        <v/>
      </c>
    </row>
    <row r="1122">
      <c r="A1122" s="402">
        <f t="array" ref="A1122">INDIRECT("Tableau!$A$177")</f>
        <v>530</v>
      </c>
      <c r="B1122" s="398" t="s">
        <v>466</v>
      </c>
      <c r="C1122" s="400" t="str">
        <f t="array" ref="C1122">INDIRECT("Tableau!$O$177")</f>
        <v/>
      </c>
      <c r="D1122" s="400" t="str">
        <f t="shared" si="7"/>
        <v>OUT</v>
      </c>
      <c r="E1122" s="403" t="str">
        <f t="array" ref="E1122">INDIRECT("Tableau!$P$177")</f>
        <v/>
      </c>
    </row>
    <row r="1123">
      <c r="A1123" s="397" t="str">
        <f t="array" ref="A1123">INDIRECT("Tableau!$A$178")</f>
        <v/>
      </c>
      <c r="B1123" s="398" t="s">
        <v>466</v>
      </c>
      <c r="C1123" s="400" t="str">
        <f t="array" ref="C1123">INDIRECT("Tableau!$O$178")</f>
        <v/>
      </c>
      <c r="D1123" s="400" t="str">
        <f t="shared" si="7"/>
        <v>OUT</v>
      </c>
      <c r="E1123" s="403" t="str">
        <f t="array" ref="E1123">INDIRECT("Tableau!$P$178")</f>
        <v/>
      </c>
    </row>
    <row r="1124">
      <c r="A1124" s="397" t="str">
        <f t="array" ref="A1124">INDIRECT("Tableau!$A$179")</f>
        <v/>
      </c>
      <c r="B1124" s="398" t="s">
        <v>466</v>
      </c>
      <c r="C1124" s="400" t="str">
        <f t="array" ref="C1124">INDIRECT("Tableau!$O$179")</f>
        <v/>
      </c>
      <c r="D1124" s="400" t="str">
        <f t="shared" si="7"/>
        <v>OUT</v>
      </c>
      <c r="E1124" s="403" t="str">
        <f t="array" ref="E1124">INDIRECT("Tableau!$P$179")</f>
        <v/>
      </c>
    </row>
    <row r="1125">
      <c r="A1125" s="397" t="str">
        <f t="array" ref="A1125">INDIRECT("Tableau!$A$180")</f>
        <v/>
      </c>
      <c r="B1125" s="398" t="s">
        <v>466</v>
      </c>
      <c r="C1125" s="400" t="str">
        <f t="array" ref="C1125">INDIRECT("Tableau!$O$180")</f>
        <v/>
      </c>
      <c r="D1125" s="400" t="str">
        <f t="shared" si="7"/>
        <v>OUT</v>
      </c>
      <c r="E1125" s="403" t="str">
        <f t="array" ref="E1125">INDIRECT("Tableau!$P$180")</f>
        <v/>
      </c>
    </row>
    <row r="1126">
      <c r="A1126" s="397" t="str">
        <f t="array" ref="A1126">INDIRECT("Tableau!$A$181")</f>
        <v/>
      </c>
      <c r="B1126" s="398" t="s">
        <v>466</v>
      </c>
      <c r="C1126" s="400" t="str">
        <f t="array" ref="C1126">INDIRECT("Tableau!$O$181")</f>
        <v/>
      </c>
      <c r="D1126" s="400" t="str">
        <f t="shared" si="7"/>
        <v>OUT</v>
      </c>
      <c r="E1126" s="403" t="str">
        <f t="array" ref="E1126">INDIRECT("Tableau!$P$181")</f>
        <v/>
      </c>
    </row>
    <row r="1127">
      <c r="A1127" s="397" t="str">
        <f t="array" ref="A1127">INDIRECT("Tableau!$A$182")</f>
        <v/>
      </c>
      <c r="B1127" s="398" t="s">
        <v>466</v>
      </c>
      <c r="C1127" s="400" t="str">
        <f t="array" ref="C1127">INDIRECT("Tableau!$O$182")</f>
        <v/>
      </c>
      <c r="D1127" s="400" t="str">
        <f t="shared" si="7"/>
        <v>OUT</v>
      </c>
      <c r="E1127" s="403" t="str">
        <f t="array" ref="E1127">INDIRECT("Tableau!$P$182")</f>
        <v/>
      </c>
    </row>
    <row r="1128">
      <c r="A1128" s="397" t="str">
        <f t="array" ref="A1128">INDIRECT("Tableau!$A$183")</f>
        <v/>
      </c>
      <c r="B1128" s="398" t="s">
        <v>466</v>
      </c>
      <c r="C1128" s="400" t="str">
        <f t="array" ref="C1128">INDIRECT("Tableau!$O$183")</f>
        <v/>
      </c>
      <c r="D1128" s="400" t="str">
        <f t="shared" si="7"/>
        <v>OUT</v>
      </c>
      <c r="E1128" s="403" t="str">
        <f t="array" ref="E1128">INDIRECT("Tableau!$P$183")</f>
        <v/>
      </c>
    </row>
    <row r="1129">
      <c r="A1129" s="397" t="str">
        <f t="array" ref="A1129">INDIRECT("Tableau!$A$184")</f>
        <v/>
      </c>
      <c r="B1129" s="398" t="s">
        <v>466</v>
      </c>
      <c r="C1129" s="400" t="str">
        <f t="array" ref="C1129">INDIRECT("Tableau!$O$184")</f>
        <v/>
      </c>
      <c r="D1129" s="400" t="str">
        <f t="shared" si="7"/>
        <v>OUT</v>
      </c>
      <c r="E1129" s="403" t="str">
        <f t="array" ref="E1129">INDIRECT("Tableau!$P$184")</f>
        <v/>
      </c>
    </row>
    <row r="1130">
      <c r="A1130" s="397" t="str">
        <f t="array" ref="A1130">INDIRECT("Tableau!$A$185")</f>
        <v/>
      </c>
      <c r="B1130" s="398" t="s">
        <v>466</v>
      </c>
      <c r="C1130" s="400" t="str">
        <f t="array" ref="C1130">INDIRECT("Tableau!$O$185")</f>
        <v/>
      </c>
      <c r="D1130" s="400" t="str">
        <f t="shared" si="7"/>
        <v>OUT</v>
      </c>
      <c r="E1130" s="403" t="str">
        <f t="array" ref="E1130">INDIRECT("Tableau!$P$185")</f>
        <v/>
      </c>
    </row>
    <row r="1131">
      <c r="A1131" s="397" t="str">
        <f t="array" ref="A1131">INDIRECT("Tableau!$A$186")</f>
        <v/>
      </c>
      <c r="B1131" s="398" t="s">
        <v>466</v>
      </c>
      <c r="C1131" s="400" t="str">
        <f t="array" ref="C1131">INDIRECT("Tableau!$O$186")</f>
        <v/>
      </c>
      <c r="D1131" s="400" t="str">
        <f t="shared" si="7"/>
        <v>OUT</v>
      </c>
      <c r="E1131" s="403" t="str">
        <f t="array" ref="E1131">INDIRECT("Tableau!$P$186")</f>
        <v/>
      </c>
    </row>
    <row r="1132">
      <c r="A1132" s="397" t="str">
        <f t="array" ref="A1132">INDIRECT("Tableau!$A$187")</f>
        <v/>
      </c>
      <c r="B1132" s="398" t="s">
        <v>466</v>
      </c>
      <c r="C1132" s="400" t="str">
        <f t="array" ref="C1132">INDIRECT("Tableau!$O$187")</f>
        <v/>
      </c>
      <c r="D1132" s="400" t="str">
        <f t="shared" si="7"/>
        <v>OUT</v>
      </c>
      <c r="E1132" s="403" t="str">
        <f t="array" ref="E1132">INDIRECT("Tableau!$P$187")</f>
        <v/>
      </c>
    </row>
    <row r="1133">
      <c r="A1133" s="397" t="str">
        <f t="array" ref="A1133">INDIRECT("Tableau!$A$188")</f>
        <v/>
      </c>
      <c r="B1133" s="398" t="s">
        <v>466</v>
      </c>
      <c r="C1133" s="400" t="str">
        <f t="array" ref="C1133">INDIRECT("Tableau!$O$188")</f>
        <v/>
      </c>
      <c r="D1133" s="400" t="str">
        <f t="shared" si="7"/>
        <v>OUT</v>
      </c>
      <c r="E1133" s="403" t="str">
        <f t="array" ref="E1133">INDIRECT("Tableau!$P$188")</f>
        <v/>
      </c>
    </row>
    <row r="1134">
      <c r="A1134" s="397" t="str">
        <f t="array" ref="A1134">INDIRECT("Tableau!$A$189")</f>
        <v/>
      </c>
      <c r="B1134" s="398" t="s">
        <v>466</v>
      </c>
      <c r="C1134" s="400" t="str">
        <f t="array" ref="C1134">INDIRECT("Tableau!$O$189")</f>
        <v/>
      </c>
      <c r="D1134" s="400" t="str">
        <f t="shared" si="7"/>
        <v>OUT</v>
      </c>
      <c r="E1134" s="403" t="str">
        <f t="array" ref="E1134">INDIRECT("Tableau!$P$189")</f>
        <v/>
      </c>
    </row>
    <row r="1135">
      <c r="A1135" s="397" t="str">
        <f t="array" ref="A1135">INDIRECT("Tableau!$A$190")</f>
        <v/>
      </c>
      <c r="B1135" s="398" t="s">
        <v>466</v>
      </c>
      <c r="C1135" s="400" t="str">
        <f t="array" ref="C1135">INDIRECT("Tableau!$O$190")</f>
        <v/>
      </c>
      <c r="D1135" s="400" t="str">
        <f t="shared" si="7"/>
        <v>OUT</v>
      </c>
      <c r="E1135" s="403" t="str">
        <f t="array" ref="E1135">INDIRECT("Tableau!$P$190")</f>
        <v/>
      </c>
    </row>
    <row r="1136">
      <c r="A1136" s="397" t="str">
        <f t="array" ref="A1136">INDIRECT("Tableau!$A$2")</f>
        <v/>
      </c>
      <c r="B1136" s="398" t="s">
        <v>472</v>
      </c>
      <c r="C1136" s="400" t="str">
        <f t="array" ref="C1136">INDIRECT("Tableau!$Q$2")</f>
        <v/>
      </c>
      <c r="D1136" s="400" t="str">
        <f t="shared" ref="D1136:D1324" si="8">INDIRECT("Tableau!$R$1")</f>
        <v>IN</v>
      </c>
      <c r="E1136" s="403" t="str">
        <f t="array" ref="E1136">INDIRECT("Tableau!$R$2")</f>
        <v/>
      </c>
    </row>
    <row r="1137">
      <c r="A1137" s="402">
        <f t="array" ref="A1137">INDIRECT("Tableau!$A$3")</f>
        <v>102</v>
      </c>
      <c r="B1137" s="398" t="s">
        <v>472</v>
      </c>
      <c r="C1137" s="400" t="str">
        <f t="array" ref="C1137">INDIRECT("Tableau!$Q$3")</f>
        <v/>
      </c>
      <c r="D1137" s="400" t="str">
        <f t="shared" si="8"/>
        <v>IN</v>
      </c>
      <c r="E1137" s="403" t="str">
        <f t="array" ref="E1137">INDIRECT("Tableau!$R$3")</f>
        <v/>
      </c>
    </row>
    <row r="1138">
      <c r="A1138" s="397" t="str">
        <f t="array" ref="A1138">INDIRECT("Tableau!$A$4")</f>
        <v/>
      </c>
      <c r="B1138" s="398" t="s">
        <v>472</v>
      </c>
      <c r="C1138" s="400" t="str">
        <f t="array" ref="C1138">INDIRECT("Tableau!$Q$4")</f>
        <v/>
      </c>
      <c r="D1138" s="400" t="str">
        <f t="shared" si="8"/>
        <v>IN</v>
      </c>
      <c r="E1138" s="403" t="str">
        <f t="array" ref="E1138">INDIRECT("Tableau!$R$4")</f>
        <v/>
      </c>
    </row>
    <row r="1139">
      <c r="A1139" s="402">
        <f t="array" ref="A1139">INDIRECT("Tableau!$A$5")</f>
        <v>104</v>
      </c>
      <c r="B1139" s="398" t="s">
        <v>472</v>
      </c>
      <c r="C1139" s="400" t="str">
        <f t="array" ref="C1139">INDIRECT("Tableau!$Q$5")</f>
        <v/>
      </c>
      <c r="D1139" s="400" t="str">
        <f t="shared" si="8"/>
        <v>IN</v>
      </c>
      <c r="E1139" s="403" t="str">
        <f t="array" ref="E1139">INDIRECT("Tableau!$R$5")</f>
        <v/>
      </c>
    </row>
    <row r="1140">
      <c r="A1140" s="402">
        <f t="array" ref="A1140">INDIRECT("Tableau!$A$6")</f>
        <v>105</v>
      </c>
      <c r="B1140" s="398" t="s">
        <v>472</v>
      </c>
      <c r="C1140" s="400" t="str">
        <f t="array" ref="C1140">INDIRECT("Tableau!$Q$6")</f>
        <v/>
      </c>
      <c r="D1140" s="400" t="str">
        <f t="shared" si="8"/>
        <v>IN</v>
      </c>
      <c r="E1140" s="403" t="str">
        <f t="array" ref="E1140">INDIRECT("Tableau!$R$6")</f>
        <v/>
      </c>
    </row>
    <row r="1141">
      <c r="A1141" s="402">
        <f t="array" ref="A1141">INDIRECT("Tableau!$A$7")</f>
        <v>106</v>
      </c>
      <c r="B1141" s="398" t="s">
        <v>472</v>
      </c>
      <c r="C1141" s="400" t="str">
        <f t="array" ref="C1141">INDIRECT("Tableau!$Q$7")</f>
        <v/>
      </c>
      <c r="D1141" s="400" t="str">
        <f t="shared" si="8"/>
        <v>IN</v>
      </c>
      <c r="E1141" s="403" t="str">
        <f t="array" ref="E1141">INDIRECT("Tableau!$R$7")</f>
        <v/>
      </c>
    </row>
    <row r="1142">
      <c r="A1142" s="402">
        <f t="array" ref="A1142">INDIRECT("Tableau!$A$8")</f>
        <v>107</v>
      </c>
      <c r="B1142" s="398" t="s">
        <v>472</v>
      </c>
      <c r="C1142" s="400" t="str">
        <f t="array" ref="C1142">INDIRECT("Tableau!$Q$8")</f>
        <v/>
      </c>
      <c r="D1142" s="400" t="str">
        <f t="shared" si="8"/>
        <v>IN</v>
      </c>
      <c r="E1142" s="403" t="str">
        <f t="array" ref="E1142">INDIRECT("Tableau!$R$8")</f>
        <v/>
      </c>
    </row>
    <row r="1143">
      <c r="A1143" s="397">
        <f t="array" ref="A1143">INDIRECT("Tableau!$A$9")</f>
        <v>108</v>
      </c>
      <c r="B1143" s="398" t="s">
        <v>472</v>
      </c>
      <c r="C1143" s="400" t="str">
        <f t="array" ref="C1143">INDIRECT("Tableau!$Q$9")</f>
        <v/>
      </c>
      <c r="D1143" s="400" t="str">
        <f t="shared" si="8"/>
        <v>IN</v>
      </c>
      <c r="E1143" s="403" t="str">
        <f t="array" ref="E1143">INDIRECT("Tableau!$R$9")</f>
        <v/>
      </c>
    </row>
    <row r="1144">
      <c r="A1144" s="402">
        <f t="array" ref="A1144">INDIRECT("Tableau!$A$10")</f>
        <v>109</v>
      </c>
      <c r="B1144" s="398" t="s">
        <v>472</v>
      </c>
      <c r="C1144" s="400" t="str">
        <f t="array" ref="C1144">INDIRECT("Tableau!$Q$10")</f>
        <v/>
      </c>
      <c r="D1144" s="400" t="str">
        <f t="shared" si="8"/>
        <v>IN</v>
      </c>
      <c r="E1144" s="403" t="str">
        <f t="array" ref="E1144">INDIRECT("Tableau!$R$10")</f>
        <v/>
      </c>
    </row>
    <row r="1145">
      <c r="A1145" s="402">
        <f t="array" ref="A1145">INDIRECT("Tableau!$A$11")</f>
        <v>110</v>
      </c>
      <c r="B1145" s="398" t="s">
        <v>472</v>
      </c>
      <c r="C1145" s="400" t="str">
        <f t="array" ref="C1145">INDIRECT("Tableau!$Q$11")</f>
        <v/>
      </c>
      <c r="D1145" s="400" t="str">
        <f t="shared" si="8"/>
        <v>IN</v>
      </c>
      <c r="E1145" s="403" t="str">
        <f t="array" ref="E1145">INDIRECT("Tableau!$R$11")</f>
        <v/>
      </c>
    </row>
    <row r="1146">
      <c r="A1146" s="402">
        <f t="array" ref="A1146">INDIRECT("Tableau!$A$12")</f>
        <v>111</v>
      </c>
      <c r="B1146" s="398" t="s">
        <v>472</v>
      </c>
      <c r="C1146" s="400" t="str">
        <f t="array" ref="C1146">INDIRECT("Tableau!$Q$12")</f>
        <v/>
      </c>
      <c r="D1146" s="400" t="str">
        <f t="shared" si="8"/>
        <v>IN</v>
      </c>
      <c r="E1146" s="403" t="str">
        <f t="array" ref="E1146">INDIRECT("Tableau!$R$12")</f>
        <v/>
      </c>
    </row>
    <row r="1147">
      <c r="A1147" s="402">
        <f t="array" ref="A1147">INDIRECT("Tableau!$A$13")</f>
        <v>112</v>
      </c>
      <c r="B1147" s="398" t="s">
        <v>472</v>
      </c>
      <c r="C1147" s="400" t="str">
        <f t="array" ref="C1147">INDIRECT("Tableau!$Q$13")</f>
        <v/>
      </c>
      <c r="D1147" s="400" t="str">
        <f t="shared" si="8"/>
        <v>IN</v>
      </c>
      <c r="E1147" s="403" t="str">
        <f t="array" ref="E1147">INDIRECT("Tableau!$R$13")</f>
        <v/>
      </c>
    </row>
    <row r="1148">
      <c r="A1148" s="402">
        <f t="array" ref="A1148">INDIRECT("Tableau!$A$14")</f>
        <v>113</v>
      </c>
      <c r="B1148" s="398" t="s">
        <v>472</v>
      </c>
      <c r="C1148" s="400" t="str">
        <f t="array" ref="C1148">INDIRECT("Tableau!$Q$14")</f>
        <v/>
      </c>
      <c r="D1148" s="400" t="str">
        <f t="shared" si="8"/>
        <v>IN</v>
      </c>
      <c r="E1148" s="403" t="str">
        <f t="array" ref="E1148">INDIRECT("Tableau!$R$14")</f>
        <v/>
      </c>
    </row>
    <row r="1149">
      <c r="A1149" s="397">
        <f t="array" ref="A1149">INDIRECT("Tableau!$A$15")</f>
        <v>114</v>
      </c>
      <c r="B1149" s="398" t="s">
        <v>472</v>
      </c>
      <c r="C1149" s="400" t="str">
        <f t="array" ref="C1149">INDIRECT("Tableau!$Q$15")</f>
        <v/>
      </c>
      <c r="D1149" s="400" t="str">
        <f t="shared" si="8"/>
        <v>IN</v>
      </c>
      <c r="E1149" s="403" t="str">
        <f t="array" ref="E1149">INDIRECT("Tableau!$R$15")</f>
        <v/>
      </c>
    </row>
    <row r="1150">
      <c r="A1150" s="397" t="str">
        <f t="array" ref="A1150">INDIRECT("Tableau!$A$16")</f>
        <v/>
      </c>
      <c r="B1150" s="398" t="s">
        <v>472</v>
      </c>
      <c r="C1150" s="400" t="str">
        <f t="array" ref="C1150">INDIRECT("Tableau!$Q$16")</f>
        <v/>
      </c>
      <c r="D1150" s="400" t="str">
        <f t="shared" si="8"/>
        <v>IN</v>
      </c>
      <c r="E1150" s="403" t="str">
        <f t="array" ref="E1150">INDIRECT("Tableau!$R$16")</f>
        <v/>
      </c>
    </row>
    <row r="1151">
      <c r="A1151" s="397" t="str">
        <f t="array" ref="A1151">INDIRECT("Tableau!$A$17")</f>
        <v/>
      </c>
      <c r="B1151" s="398" t="s">
        <v>472</v>
      </c>
      <c r="C1151" s="400" t="str">
        <f t="array" ref="C1151">INDIRECT("Tableau!$Q$17")</f>
        <v/>
      </c>
      <c r="D1151" s="400" t="str">
        <f t="shared" si="8"/>
        <v>IN</v>
      </c>
      <c r="E1151" s="403" t="str">
        <f t="array" ref="E1151">INDIRECT("Tableau!$R$17")</f>
        <v/>
      </c>
    </row>
    <row r="1152">
      <c r="A1152" s="397" t="str">
        <f t="array" ref="A1152">INDIRECT("Tableau!$A$18")</f>
        <v/>
      </c>
      <c r="B1152" s="398" t="s">
        <v>472</v>
      </c>
      <c r="C1152" s="400" t="str">
        <f t="array" ref="C1152">INDIRECT("Tableau!$Q$18")</f>
        <v/>
      </c>
      <c r="D1152" s="400" t="str">
        <f t="shared" si="8"/>
        <v>IN</v>
      </c>
      <c r="E1152" s="403" t="str">
        <f t="array" ref="E1152">INDIRECT("Tableau!$R$18")</f>
        <v/>
      </c>
    </row>
    <row r="1153">
      <c r="A1153" s="397" t="str">
        <f t="array" ref="A1153">INDIRECT("Tableau!$A$19")</f>
        <v/>
      </c>
      <c r="B1153" s="398" t="s">
        <v>472</v>
      </c>
      <c r="C1153" s="400" t="str">
        <f t="array" ref="C1153">INDIRECT("Tableau!$Q$19")</f>
        <v/>
      </c>
      <c r="D1153" s="400" t="str">
        <f t="shared" si="8"/>
        <v>IN</v>
      </c>
      <c r="E1153" s="403" t="str">
        <f t="array" ref="E1153">INDIRECT("Tableau!$R$19")</f>
        <v/>
      </c>
    </row>
    <row r="1154">
      <c r="A1154" s="397" t="str">
        <f t="array" ref="A1154">INDIRECT("Tableau!$A$20")</f>
        <v/>
      </c>
      <c r="B1154" s="398" t="s">
        <v>472</v>
      </c>
      <c r="C1154" s="400" t="str">
        <f t="array" ref="C1154">INDIRECT("Tableau!$Q$20")</f>
        <v/>
      </c>
      <c r="D1154" s="400" t="str">
        <f t="shared" si="8"/>
        <v>IN</v>
      </c>
      <c r="E1154" s="403" t="str">
        <f t="array" ref="E1154">INDIRECT("Tableau!$R$20")</f>
        <v/>
      </c>
    </row>
    <row r="1155">
      <c r="A1155" s="397" t="str">
        <f t="array" ref="A1155">INDIRECT("Tableau!$A$21")</f>
        <v/>
      </c>
      <c r="B1155" s="398" t="s">
        <v>472</v>
      </c>
      <c r="C1155" s="400" t="str">
        <f t="array" ref="C1155">INDIRECT("Tableau!$Q$21")</f>
        <v/>
      </c>
      <c r="D1155" s="400" t="str">
        <f t="shared" si="8"/>
        <v>IN</v>
      </c>
      <c r="E1155" s="403" t="str">
        <f t="array" ref="E1155">INDIRECT("Tableau!$R$21")</f>
        <v/>
      </c>
    </row>
    <row r="1156">
      <c r="A1156" s="397" t="str">
        <f t="array" ref="A1156">INDIRECT("Tableau!$A$22")</f>
        <v/>
      </c>
      <c r="B1156" s="398" t="s">
        <v>472</v>
      </c>
      <c r="C1156" s="400" t="str">
        <f t="array" ref="C1156">INDIRECT("Tableau!$Q$22")</f>
        <v/>
      </c>
      <c r="D1156" s="400" t="str">
        <f t="shared" si="8"/>
        <v>IN</v>
      </c>
      <c r="E1156" s="403" t="str">
        <f t="array" ref="E1156">INDIRECT("Tableau!$R$22")</f>
        <v/>
      </c>
    </row>
    <row r="1157">
      <c r="A1157" s="397" t="str">
        <f t="array" ref="A1157">INDIRECT("Tableau!$A$23")</f>
        <v/>
      </c>
      <c r="B1157" s="398" t="s">
        <v>472</v>
      </c>
      <c r="C1157" s="400" t="str">
        <f t="array" ref="C1157">INDIRECT("Tableau!$Q$23")</f>
        <v/>
      </c>
      <c r="D1157" s="400" t="str">
        <f t="shared" si="8"/>
        <v>IN</v>
      </c>
      <c r="E1157" s="403" t="str">
        <f t="array" ref="E1157">INDIRECT("Tableau!$R$23")</f>
        <v/>
      </c>
    </row>
    <row r="1158">
      <c r="A1158" s="397" t="str">
        <f t="array" ref="A1158">INDIRECT("Tableau!$A$24")</f>
        <v/>
      </c>
      <c r="B1158" s="398" t="s">
        <v>472</v>
      </c>
      <c r="C1158" s="400" t="str">
        <f t="array" ref="C1158">INDIRECT("Tableau!$Q$24")</f>
        <v/>
      </c>
      <c r="D1158" s="400" t="str">
        <f t="shared" si="8"/>
        <v>IN</v>
      </c>
      <c r="E1158" s="403" t="str">
        <f t="array" ref="E1158">INDIRECT("Tableau!$R$24")</f>
        <v/>
      </c>
    </row>
    <row r="1159">
      <c r="A1159" s="397" t="str">
        <f t="array" ref="A1159">INDIRECT("Tableau!$A$25")</f>
        <v/>
      </c>
      <c r="B1159" s="398" t="s">
        <v>472</v>
      </c>
      <c r="C1159" s="400" t="str">
        <f t="array" ref="C1159">INDIRECT("Tableau!$Q$25")</f>
        <v/>
      </c>
      <c r="D1159" s="400" t="str">
        <f t="shared" si="8"/>
        <v>IN</v>
      </c>
      <c r="E1159" s="403" t="str">
        <f t="array" ref="E1159">INDIRECT("Tableau!$R$25")</f>
        <v/>
      </c>
    </row>
    <row r="1160">
      <c r="A1160" s="402">
        <f t="array" ref="A1160">INDIRECT("Tableau!$A$26")</f>
        <v>201</v>
      </c>
      <c r="B1160" s="398" t="s">
        <v>472</v>
      </c>
      <c r="C1160" s="400" t="str">
        <f t="array" ref="C1160">INDIRECT("Tableau!$Q$26")</f>
        <v/>
      </c>
      <c r="D1160" s="400" t="str">
        <f t="shared" si="8"/>
        <v>IN</v>
      </c>
      <c r="E1160" s="403" t="str">
        <f t="array" ref="E1160">INDIRECT("Tableau!$R$26")</f>
        <v/>
      </c>
    </row>
    <row r="1161">
      <c r="A1161" s="402">
        <f t="array" ref="A1161">INDIRECT("Tableau!$A$27")</f>
        <v>202</v>
      </c>
      <c r="B1161" s="398" t="s">
        <v>472</v>
      </c>
      <c r="C1161" s="400" t="str">
        <f t="array" ref="C1161">INDIRECT("Tableau!$Q$27")</f>
        <v/>
      </c>
      <c r="D1161" s="400" t="str">
        <f t="shared" si="8"/>
        <v>IN</v>
      </c>
      <c r="E1161" s="403" t="str">
        <f t="array" ref="E1161">INDIRECT("Tableau!$R$27")</f>
        <v/>
      </c>
    </row>
    <row r="1162">
      <c r="A1162" s="402">
        <f t="array" ref="A1162">INDIRECT("Tableau!$A$28")</f>
        <v>203</v>
      </c>
      <c r="B1162" s="398" t="s">
        <v>472</v>
      </c>
      <c r="C1162" s="400" t="str">
        <f t="array" ref="C1162">INDIRECT("Tableau!$Q$28")</f>
        <v>Carbelle</v>
      </c>
      <c r="D1162" s="400" t="str">
        <f t="shared" si="8"/>
        <v>IN</v>
      </c>
      <c r="E1162" s="403" t="str">
        <f t="array" ref="E1162">INDIRECT("Tableau!$R$28")</f>
        <v/>
      </c>
    </row>
    <row r="1163">
      <c r="A1163" s="402">
        <f t="array" ref="A1163">INDIRECT("Tableau!$A$29")</f>
        <v>204</v>
      </c>
      <c r="B1163" s="398" t="s">
        <v>472</v>
      </c>
      <c r="C1163" s="400" t="str">
        <f t="array" ref="C1163">INDIRECT("Tableau!$Q$29")</f>
        <v>Carbelle</v>
      </c>
      <c r="D1163" s="400" t="str">
        <f t="shared" si="8"/>
        <v>IN</v>
      </c>
      <c r="E1163" s="403" t="str">
        <f t="array" ref="E1163">INDIRECT("Tableau!$R$29")</f>
        <v/>
      </c>
    </row>
    <row r="1164">
      <c r="A1164" s="402">
        <f t="array" ref="A1164">INDIRECT("Tableau!$A$30")</f>
        <v>205</v>
      </c>
      <c r="B1164" s="398" t="s">
        <v>472</v>
      </c>
      <c r="C1164" s="400" t="str">
        <f t="array" ref="C1164">INDIRECT("Tableau!$Q$30")</f>
        <v>Carbelle</v>
      </c>
      <c r="D1164" s="400" t="str">
        <f t="shared" si="8"/>
        <v>IN</v>
      </c>
      <c r="E1164" s="403" t="str">
        <f t="array" ref="E1164">INDIRECT("Tableau!$R$30")</f>
        <v/>
      </c>
    </row>
    <row r="1165">
      <c r="A1165" s="402">
        <f t="array" ref="A1165">INDIRECT("Tableau!$A$31")</f>
        <v>206</v>
      </c>
      <c r="B1165" s="398" t="s">
        <v>472</v>
      </c>
      <c r="C1165" s="400" t="str">
        <f t="array" ref="C1165">INDIRECT("Tableau!$Q$31")</f>
        <v>Carbelle</v>
      </c>
      <c r="D1165" s="400" t="str">
        <f t="shared" si="8"/>
        <v>IN</v>
      </c>
      <c r="E1165" s="403" t="str">
        <f t="array" ref="E1165">INDIRECT("Tableau!$R$31")</f>
        <v/>
      </c>
    </row>
    <row r="1166">
      <c r="A1166" s="402">
        <f t="array" ref="A1166">INDIRECT("Tableau!$A$32")</f>
        <v>207</v>
      </c>
      <c r="B1166" s="398" t="s">
        <v>472</v>
      </c>
      <c r="C1166" s="400" t="str">
        <f t="array" ref="C1166">INDIRECT("Tableau!$Q$32")</f>
        <v>Carbelle</v>
      </c>
      <c r="D1166" s="400" t="str">
        <f t="shared" si="8"/>
        <v>IN</v>
      </c>
      <c r="E1166" s="403" t="str">
        <f t="array" ref="E1166">INDIRECT("Tableau!$R$32")</f>
        <v/>
      </c>
    </row>
    <row r="1167">
      <c r="A1167" s="402">
        <f t="array" ref="A1167">INDIRECT("Tableau!$A$33")</f>
        <v>208</v>
      </c>
      <c r="B1167" s="398" t="s">
        <v>472</v>
      </c>
      <c r="C1167" s="400" t="str">
        <f t="array" ref="C1167">INDIRECT("Tableau!$Q$33")</f>
        <v>Carbelle</v>
      </c>
      <c r="D1167" s="400" t="str">
        <f t="shared" si="8"/>
        <v>IN</v>
      </c>
      <c r="E1167" s="403" t="str">
        <f t="array" ref="E1167">INDIRECT("Tableau!$R$33")</f>
        <v/>
      </c>
    </row>
    <row r="1168">
      <c r="A1168" s="402">
        <f t="array" ref="A1168">INDIRECT("Tableau!$A$34")</f>
        <v>209</v>
      </c>
      <c r="B1168" s="398" t="s">
        <v>472</v>
      </c>
      <c r="C1168" s="400" t="str">
        <f t="array" ref="C1168">INDIRECT("Tableau!$Q$34")</f>
        <v>Carbelle</v>
      </c>
      <c r="D1168" s="400" t="str">
        <f t="shared" si="8"/>
        <v>IN</v>
      </c>
      <c r="E1168" s="403" t="str">
        <f t="array" ref="E1168">INDIRECT("Tableau!$R$34")</f>
        <v/>
      </c>
    </row>
    <row r="1169">
      <c r="A1169" s="402">
        <f t="array" ref="A1169">INDIRECT("Tableau!$A$35")</f>
        <v>210</v>
      </c>
      <c r="B1169" s="398" t="s">
        <v>472</v>
      </c>
      <c r="C1169" s="400" t="str">
        <f t="array" ref="C1169">INDIRECT("Tableau!$Q$35")</f>
        <v>Carbelle</v>
      </c>
      <c r="D1169" s="400" t="str">
        <f t="shared" si="8"/>
        <v>IN</v>
      </c>
      <c r="E1169" s="403" t="str">
        <f t="array" ref="E1169">INDIRECT("Tableau!$R$35")</f>
        <v/>
      </c>
    </row>
    <row r="1170">
      <c r="A1170" s="402">
        <f t="array" ref="A1170">INDIRECT("Tableau!$A$36")</f>
        <v>211</v>
      </c>
      <c r="B1170" s="398" t="s">
        <v>472</v>
      </c>
      <c r="C1170" s="400" t="str">
        <f t="array" ref="C1170">INDIRECT("Tableau!$Q$36")</f>
        <v>Carbelle</v>
      </c>
      <c r="D1170" s="400" t="str">
        <f t="shared" si="8"/>
        <v>IN</v>
      </c>
      <c r="E1170" s="403" t="str">
        <f t="array" ref="E1170">INDIRECT("Tableau!$R$36")</f>
        <v/>
      </c>
    </row>
    <row r="1171">
      <c r="A1171" s="402">
        <f t="array" ref="A1171">INDIRECT("Tableau!$A$37")</f>
        <v>212</v>
      </c>
      <c r="B1171" s="398" t="s">
        <v>472</v>
      </c>
      <c r="C1171" s="400" t="str">
        <f t="array" ref="C1171">INDIRECT("Tableau!$Q$37")</f>
        <v/>
      </c>
      <c r="D1171" s="400" t="str">
        <f t="shared" si="8"/>
        <v>IN</v>
      </c>
      <c r="E1171" s="403" t="str">
        <f t="array" ref="E1171">INDIRECT("Tableau!$R$37")</f>
        <v/>
      </c>
    </row>
    <row r="1172">
      <c r="A1172" s="402">
        <f t="array" ref="A1172">INDIRECT("Tableau!$A$38")</f>
        <v>213</v>
      </c>
      <c r="B1172" s="398" t="s">
        <v>472</v>
      </c>
      <c r="C1172" s="400" t="str">
        <f t="array" ref="C1172">INDIRECT("Tableau!$Q$38")</f>
        <v/>
      </c>
      <c r="D1172" s="400" t="str">
        <f t="shared" si="8"/>
        <v>IN</v>
      </c>
      <c r="E1172" s="403" t="str">
        <f t="array" ref="E1172">INDIRECT("Tableau!$R$38")</f>
        <v/>
      </c>
    </row>
    <row r="1173">
      <c r="A1173" s="402">
        <f t="array" ref="A1173">INDIRECT("Tableau!$A$39")</f>
        <v>214</v>
      </c>
      <c r="B1173" s="398" t="s">
        <v>472</v>
      </c>
      <c r="C1173" s="400" t="str">
        <f t="array" ref="C1173">INDIRECT("Tableau!$Q$39")</f>
        <v/>
      </c>
      <c r="D1173" s="400" t="str">
        <f t="shared" si="8"/>
        <v>IN</v>
      </c>
      <c r="E1173" s="403" t="str">
        <f t="array" ref="E1173">INDIRECT("Tableau!$R$39")</f>
        <v/>
      </c>
    </row>
    <row r="1174">
      <c r="A1174" s="402">
        <f t="array" ref="A1174">INDIRECT("Tableau!$A$40")</f>
        <v>215</v>
      </c>
      <c r="B1174" s="398" t="s">
        <v>472</v>
      </c>
      <c r="C1174" s="400" t="str">
        <f t="array" ref="C1174">INDIRECT("Tableau!$Q$40")</f>
        <v/>
      </c>
      <c r="D1174" s="400" t="str">
        <f t="shared" si="8"/>
        <v>IN</v>
      </c>
      <c r="E1174" s="403" t="str">
        <f t="array" ref="E1174">INDIRECT("Tableau!$R$40")</f>
        <v/>
      </c>
    </row>
    <row r="1175">
      <c r="A1175" s="402">
        <f t="array" ref="A1175">INDIRECT("Tableau!$A$41")</f>
        <v>216</v>
      </c>
      <c r="B1175" s="398" t="s">
        <v>472</v>
      </c>
      <c r="C1175" s="400" t="str">
        <f t="array" ref="C1175">INDIRECT("Tableau!$Q$41")</f>
        <v/>
      </c>
      <c r="D1175" s="400" t="str">
        <f t="shared" si="8"/>
        <v>IN</v>
      </c>
      <c r="E1175" s="403" t="str">
        <f t="array" ref="E1175">INDIRECT("Tableau!$R$41")</f>
        <v/>
      </c>
    </row>
    <row r="1176">
      <c r="A1176" s="402">
        <f t="array" ref="A1176">INDIRECT("Tableau!$A$42")</f>
        <v>227</v>
      </c>
      <c r="B1176" s="398" t="s">
        <v>472</v>
      </c>
      <c r="C1176" s="400" t="str">
        <f t="array" ref="C1176">INDIRECT("Tableau!$Q$42")</f>
        <v/>
      </c>
      <c r="D1176" s="400" t="str">
        <f t="shared" si="8"/>
        <v>IN</v>
      </c>
      <c r="E1176" s="403" t="str">
        <f t="array" ref="E1176">INDIRECT("Tableau!$R$42")</f>
        <v/>
      </c>
    </row>
    <row r="1177">
      <c r="A1177" s="402">
        <f t="array" ref="A1177">INDIRECT("Tableau!$A$43")</f>
        <v>217</v>
      </c>
      <c r="B1177" s="398" t="s">
        <v>472</v>
      </c>
      <c r="C1177" s="400" t="str">
        <f t="array" ref="C1177">INDIRECT("Tableau!$Q$43")</f>
        <v/>
      </c>
      <c r="D1177" s="400" t="str">
        <f t="shared" si="8"/>
        <v>IN</v>
      </c>
      <c r="E1177" s="403" t="str">
        <f t="array" ref="E1177">INDIRECT("Tableau!$R$43")</f>
        <v/>
      </c>
    </row>
    <row r="1178">
      <c r="A1178" s="402">
        <f t="array" ref="A1178">INDIRECT("Tableau!$A$44")</f>
        <v>218</v>
      </c>
      <c r="B1178" s="398" t="s">
        <v>472</v>
      </c>
      <c r="C1178" s="400" t="str">
        <f t="array" ref="C1178">INDIRECT("Tableau!$Q$44")</f>
        <v/>
      </c>
      <c r="D1178" s="400" t="str">
        <f t="shared" si="8"/>
        <v>IN</v>
      </c>
      <c r="E1178" s="403" t="str">
        <f t="array" ref="E1178">INDIRECT("Tableau!$R$44")</f>
        <v/>
      </c>
    </row>
    <row r="1179">
      <c r="A1179" s="397" t="str">
        <f t="array" ref="A1179">INDIRECT("Tableau!$A$45")</f>
        <v/>
      </c>
      <c r="B1179" s="398" t="s">
        <v>472</v>
      </c>
      <c r="C1179" s="400" t="str">
        <f t="array" ref="C1179">INDIRECT("Tableau!$Q$45")</f>
        <v/>
      </c>
      <c r="D1179" s="400" t="str">
        <f t="shared" si="8"/>
        <v>IN</v>
      </c>
      <c r="E1179" s="403" t="str">
        <f t="array" ref="E1179">INDIRECT("Tableau!$R$45")</f>
        <v/>
      </c>
    </row>
    <row r="1180">
      <c r="A1180" s="402">
        <f t="array" ref="A1180">INDIRECT("Tableau!$A$46")</f>
        <v>220</v>
      </c>
      <c r="B1180" s="398" t="s">
        <v>472</v>
      </c>
      <c r="C1180" s="400" t="str">
        <f t="array" ref="C1180">INDIRECT("Tableau!$Q$46")</f>
        <v/>
      </c>
      <c r="D1180" s="400" t="str">
        <f t="shared" si="8"/>
        <v>IN</v>
      </c>
      <c r="E1180" s="403" t="str">
        <f t="array" ref="E1180">INDIRECT("Tableau!$R$46")</f>
        <v/>
      </c>
    </row>
    <row r="1181">
      <c r="A1181" s="402">
        <f t="array" ref="A1181">INDIRECT("Tableau!$A$47")</f>
        <v>221</v>
      </c>
      <c r="B1181" s="398" t="s">
        <v>472</v>
      </c>
      <c r="C1181" s="400" t="str">
        <f t="array" ref="C1181">INDIRECT("Tableau!$Q$47")</f>
        <v/>
      </c>
      <c r="D1181" s="400" t="str">
        <f t="shared" si="8"/>
        <v>IN</v>
      </c>
      <c r="E1181" s="403" t="str">
        <f t="array" ref="E1181">INDIRECT("Tableau!$R$47")</f>
        <v/>
      </c>
    </row>
    <row r="1182">
      <c r="A1182" s="402">
        <f t="array" ref="A1182">INDIRECT("Tableau!$A$48")</f>
        <v>226</v>
      </c>
      <c r="B1182" s="398" t="s">
        <v>472</v>
      </c>
      <c r="C1182" s="400" t="str">
        <f t="array" ref="C1182">INDIRECT("Tableau!$Q$48")</f>
        <v/>
      </c>
      <c r="D1182" s="400" t="str">
        <f t="shared" si="8"/>
        <v>IN</v>
      </c>
      <c r="E1182" s="403" t="str">
        <f t="array" ref="E1182">INDIRECT("Tableau!$R$48")</f>
        <v/>
      </c>
    </row>
    <row r="1183">
      <c r="A1183" s="402">
        <f t="array" ref="A1183">INDIRECT("Tableau!$A$49")</f>
        <v>222</v>
      </c>
      <c r="B1183" s="398" t="s">
        <v>472</v>
      </c>
      <c r="C1183" s="400" t="str">
        <f t="array" ref="C1183">INDIRECT("Tableau!$Q$49")</f>
        <v/>
      </c>
      <c r="D1183" s="400" t="str">
        <f t="shared" si="8"/>
        <v>IN</v>
      </c>
      <c r="E1183" s="403" t="str">
        <f t="array" ref="E1183">INDIRECT("Tableau!$R$49")</f>
        <v/>
      </c>
    </row>
    <row r="1184">
      <c r="A1184" s="402">
        <f t="array" ref="A1184">INDIRECT("Tableau!$A$50")</f>
        <v>224</v>
      </c>
      <c r="B1184" s="398" t="s">
        <v>472</v>
      </c>
      <c r="C1184" s="400" t="str">
        <f t="array" ref="C1184">INDIRECT("Tableau!$Q$50")</f>
        <v/>
      </c>
      <c r="D1184" s="400" t="str">
        <f t="shared" si="8"/>
        <v>IN</v>
      </c>
      <c r="E1184" s="403" t="str">
        <f t="array" ref="E1184">INDIRECT("Tableau!$R$50")</f>
        <v/>
      </c>
    </row>
    <row r="1185">
      <c r="A1185" s="397">
        <f t="array" ref="A1185">INDIRECT("Tableau!$A$51")</f>
        <v>223</v>
      </c>
      <c r="B1185" s="398" t="s">
        <v>472</v>
      </c>
      <c r="C1185" s="400" t="str">
        <f t="array" ref="C1185">INDIRECT("Tableau!$Q$51")</f>
        <v/>
      </c>
      <c r="D1185" s="400" t="str">
        <f t="shared" si="8"/>
        <v>IN</v>
      </c>
      <c r="E1185" s="403" t="str">
        <f t="array" ref="E1185">INDIRECT("Tableau!$R$51")</f>
        <v/>
      </c>
    </row>
    <row r="1186">
      <c r="A1186" s="402">
        <f t="array" ref="A1186">INDIRECT("Tableau!$A$52")</f>
        <v>225</v>
      </c>
      <c r="B1186" s="398" t="s">
        <v>472</v>
      </c>
      <c r="C1186" s="400" t="str">
        <f t="array" ref="C1186">INDIRECT("Tableau!$Q$52")</f>
        <v>DEMA</v>
      </c>
      <c r="D1186" s="400" t="str">
        <f t="shared" si="8"/>
        <v>IN</v>
      </c>
      <c r="E1186" s="403" t="str">
        <f t="array" ref="E1186">INDIRECT("Tableau!$R$52")</f>
        <v/>
      </c>
    </row>
    <row r="1187">
      <c r="A1187" s="402">
        <f t="array" ref="A1187">INDIRECT("Tableau!$A$53")</f>
        <v>230</v>
      </c>
      <c r="B1187" s="398" t="s">
        <v>472</v>
      </c>
      <c r="C1187" s="400" t="str">
        <f t="array" ref="C1187">INDIRECT("Tableau!$Q$53")</f>
        <v/>
      </c>
      <c r="D1187" s="400" t="str">
        <f t="shared" si="8"/>
        <v>IN</v>
      </c>
      <c r="E1187" s="403" t="str">
        <f t="array" ref="E1187">INDIRECT("Tableau!$R$53")</f>
        <v/>
      </c>
    </row>
    <row r="1188">
      <c r="A1188" s="397">
        <f t="array" ref="A1188">INDIRECT("Tableau!$A$54")</f>
        <v>231</v>
      </c>
      <c r="B1188" s="398" t="s">
        <v>472</v>
      </c>
      <c r="C1188" s="400" t="str">
        <f t="array" ref="C1188">INDIRECT("Tableau!$Q$54")</f>
        <v/>
      </c>
      <c r="D1188" s="400" t="str">
        <f t="shared" si="8"/>
        <v>IN</v>
      </c>
      <c r="E1188" s="403" t="str">
        <f t="array" ref="E1188">INDIRECT("Tableau!$R$54")</f>
        <v/>
      </c>
    </row>
    <row r="1189">
      <c r="A1189" s="397" t="str">
        <f t="array" ref="A1189">INDIRECT("Tableau!$A$55")</f>
        <v/>
      </c>
      <c r="B1189" s="398" t="s">
        <v>472</v>
      </c>
      <c r="C1189" s="400" t="str">
        <f t="array" ref="C1189">INDIRECT("Tableau!$Q$55")</f>
        <v/>
      </c>
      <c r="D1189" s="400" t="str">
        <f t="shared" si="8"/>
        <v>IN</v>
      </c>
      <c r="E1189" s="403" t="str">
        <f t="array" ref="E1189">INDIRECT("Tableau!$R$55")</f>
        <v/>
      </c>
    </row>
    <row r="1190">
      <c r="A1190" s="397" t="str">
        <f t="array" ref="A1190">INDIRECT("Tableau!$A$56")</f>
        <v/>
      </c>
      <c r="B1190" s="398" t="s">
        <v>472</v>
      </c>
      <c r="C1190" s="400" t="str">
        <f t="array" ref="C1190">INDIRECT("Tableau!$Q$56")</f>
        <v/>
      </c>
      <c r="D1190" s="400" t="str">
        <f t="shared" si="8"/>
        <v>IN</v>
      </c>
      <c r="E1190" s="403" t="str">
        <f t="array" ref="E1190">INDIRECT("Tableau!$R$56")</f>
        <v/>
      </c>
    </row>
    <row r="1191">
      <c r="A1191" s="397" t="str">
        <f t="array" ref="A1191">INDIRECT("Tableau!$A$57")</f>
        <v/>
      </c>
      <c r="B1191" s="398" t="s">
        <v>472</v>
      </c>
      <c r="C1191" s="400" t="str">
        <f t="array" ref="C1191">INDIRECT("Tableau!$Q$57")</f>
        <v/>
      </c>
      <c r="D1191" s="400" t="str">
        <f t="shared" si="8"/>
        <v>IN</v>
      </c>
      <c r="E1191" s="403" t="str">
        <f t="array" ref="E1191">INDIRECT("Tableau!$R$57")</f>
        <v/>
      </c>
    </row>
    <row r="1192">
      <c r="A1192" s="397" t="str">
        <f t="array" ref="A1192">INDIRECT("Tableau!$A$58")</f>
        <v/>
      </c>
      <c r="B1192" s="398" t="s">
        <v>472</v>
      </c>
      <c r="C1192" s="400" t="str">
        <f t="array" ref="C1192">INDIRECT("Tableau!$Q$58")</f>
        <v/>
      </c>
      <c r="D1192" s="400" t="str">
        <f t="shared" si="8"/>
        <v>IN</v>
      </c>
      <c r="E1192" s="403" t="str">
        <f t="array" ref="E1192">INDIRECT("Tableau!$R$58")</f>
        <v/>
      </c>
    </row>
    <row r="1193">
      <c r="A1193" s="397" t="str">
        <f t="array" ref="A1193">INDIRECT("Tableau!$A$59")</f>
        <v/>
      </c>
      <c r="B1193" s="398" t="s">
        <v>472</v>
      </c>
      <c r="C1193" s="400" t="str">
        <f t="array" ref="C1193">INDIRECT("Tableau!$Q$59")</f>
        <v/>
      </c>
      <c r="D1193" s="400" t="str">
        <f t="shared" si="8"/>
        <v>IN</v>
      </c>
      <c r="E1193" s="403" t="str">
        <f t="array" ref="E1193">INDIRECT("Tableau!$R$59")</f>
        <v/>
      </c>
    </row>
    <row r="1194">
      <c r="A1194" s="397" t="str">
        <f t="array" ref="A1194">INDIRECT("Tableau!$A$60")</f>
        <v/>
      </c>
      <c r="B1194" s="398" t="s">
        <v>472</v>
      </c>
      <c r="C1194" s="400" t="str">
        <f t="array" ref="C1194">INDIRECT("Tableau!$Q$60")</f>
        <v/>
      </c>
      <c r="D1194" s="400" t="str">
        <f t="shared" si="8"/>
        <v>IN</v>
      </c>
      <c r="E1194" s="403" t="str">
        <f t="array" ref="E1194">INDIRECT("Tableau!$R$60")</f>
        <v/>
      </c>
    </row>
    <row r="1195">
      <c r="A1195" s="397" t="str">
        <f t="array" ref="A1195">INDIRECT("Tableau!$A$61")</f>
        <v/>
      </c>
      <c r="B1195" s="398" t="s">
        <v>472</v>
      </c>
      <c r="C1195" s="400" t="str">
        <f t="array" ref="C1195">INDIRECT("Tableau!$Q$61")</f>
        <v/>
      </c>
      <c r="D1195" s="400" t="str">
        <f t="shared" si="8"/>
        <v>IN</v>
      </c>
      <c r="E1195" s="403" t="str">
        <f t="array" ref="E1195">INDIRECT("Tableau!$R$61")</f>
        <v/>
      </c>
    </row>
    <row r="1196">
      <c r="A1196" s="397" t="str">
        <f t="array" ref="A1196">INDIRECT("Tableau!$A$62")</f>
        <v/>
      </c>
      <c r="B1196" s="398" t="s">
        <v>472</v>
      </c>
      <c r="C1196" s="400" t="str">
        <f t="array" ref="C1196">INDIRECT("Tableau!$Q$62")</f>
        <v/>
      </c>
      <c r="D1196" s="400" t="str">
        <f t="shared" si="8"/>
        <v>IN</v>
      </c>
      <c r="E1196" s="403" t="str">
        <f t="array" ref="E1196">INDIRECT("Tableau!$R$62")</f>
        <v/>
      </c>
    </row>
    <row r="1197">
      <c r="A1197" s="397" t="str">
        <f t="array" ref="A1197">INDIRECT("Tableau!$A$63")</f>
        <v/>
      </c>
      <c r="B1197" s="398" t="s">
        <v>472</v>
      </c>
      <c r="C1197" s="400" t="str">
        <f t="array" ref="C1197">INDIRECT("Tableau!$Q$63")</f>
        <v/>
      </c>
      <c r="D1197" s="400" t="str">
        <f t="shared" si="8"/>
        <v>IN</v>
      </c>
      <c r="E1197" s="403" t="str">
        <f t="array" ref="E1197">INDIRECT("Tableau!$R$63")</f>
        <v/>
      </c>
    </row>
    <row r="1198">
      <c r="A1198" s="397" t="str">
        <f t="array" ref="A1198">INDIRECT("Tableau!$A$64")</f>
        <v/>
      </c>
      <c r="B1198" s="398" t="s">
        <v>472</v>
      </c>
      <c r="C1198" s="400" t="str">
        <f t="array" ref="C1198">INDIRECT("Tableau!$Q$64")</f>
        <v/>
      </c>
      <c r="D1198" s="400" t="str">
        <f t="shared" si="8"/>
        <v>IN</v>
      </c>
      <c r="E1198" s="403" t="str">
        <f t="array" ref="E1198">INDIRECT("Tableau!$R$64")</f>
        <v/>
      </c>
    </row>
    <row r="1199">
      <c r="A1199" s="402">
        <f t="array" ref="A1199">INDIRECT("Tableau!$A$65")</f>
        <v>301</v>
      </c>
      <c r="B1199" s="398" t="s">
        <v>472</v>
      </c>
      <c r="C1199" s="400" t="str">
        <f t="array" ref="C1199">INDIRECT("Tableau!$Q$65")</f>
        <v>Carbelle</v>
      </c>
      <c r="D1199" s="400" t="str">
        <f t="shared" si="8"/>
        <v>IN</v>
      </c>
      <c r="E1199" s="403" t="str">
        <f t="array" ref="E1199">INDIRECT("Tableau!$R$65")</f>
        <v/>
      </c>
    </row>
    <row r="1200">
      <c r="A1200" s="397" t="str">
        <f t="array" ref="A1200">INDIRECT("Tableau!$A$66")</f>
        <v/>
      </c>
      <c r="B1200" s="398" t="s">
        <v>472</v>
      </c>
      <c r="C1200" s="400" t="str">
        <f t="array" ref="C1200">INDIRECT("Tableau!$Q$66")</f>
        <v/>
      </c>
      <c r="D1200" s="400" t="str">
        <f t="shared" si="8"/>
        <v>IN</v>
      </c>
      <c r="E1200" s="403" t="str">
        <f t="array" ref="E1200">INDIRECT("Tableau!$R$66")</f>
        <v/>
      </c>
    </row>
    <row r="1201">
      <c r="A1201" s="402">
        <f t="array" ref="A1201">INDIRECT("Tableau!$A$67")</f>
        <v>303</v>
      </c>
      <c r="B1201" s="398" t="s">
        <v>472</v>
      </c>
      <c r="C1201" s="400" t="str">
        <f t="array" ref="C1201">INDIRECT("Tableau!$Q$67")</f>
        <v>Carbelle</v>
      </c>
      <c r="D1201" s="400" t="str">
        <f t="shared" si="8"/>
        <v>IN</v>
      </c>
      <c r="E1201" s="403" t="str">
        <f t="array" ref="E1201">INDIRECT("Tableau!$R$67")</f>
        <v/>
      </c>
    </row>
    <row r="1202">
      <c r="A1202" s="402">
        <f t="array" ref="A1202">INDIRECT("Tableau!$A$68")</f>
        <v>304</v>
      </c>
      <c r="B1202" s="398" t="s">
        <v>472</v>
      </c>
      <c r="C1202" s="400" t="str">
        <f t="array" ref="C1202">INDIRECT("Tableau!$Q$68")</f>
        <v>Carbelle</v>
      </c>
      <c r="D1202" s="400" t="str">
        <f t="shared" si="8"/>
        <v>IN</v>
      </c>
      <c r="E1202" s="403" t="str">
        <f t="array" ref="E1202">INDIRECT("Tableau!$R$68")</f>
        <v/>
      </c>
    </row>
    <row r="1203">
      <c r="A1203" s="402">
        <f t="array" ref="A1203">INDIRECT("Tableau!$A$69")</f>
        <v>305</v>
      </c>
      <c r="B1203" s="398" t="s">
        <v>472</v>
      </c>
      <c r="C1203" s="400" t="str">
        <f t="array" ref="C1203">INDIRECT("Tableau!$Q$69")</f>
        <v/>
      </c>
      <c r="D1203" s="400" t="str">
        <f t="shared" si="8"/>
        <v>IN</v>
      </c>
      <c r="E1203" s="403" t="str">
        <f t="array" ref="E1203">INDIRECT("Tableau!$R$69")</f>
        <v/>
      </c>
    </row>
    <row r="1204">
      <c r="A1204" s="402">
        <f t="array" ref="A1204">INDIRECT("Tableau!$A$70")</f>
        <v>306</v>
      </c>
      <c r="B1204" s="398" t="s">
        <v>472</v>
      </c>
      <c r="C1204" s="400" t="str">
        <f t="array" ref="C1204">INDIRECT("Tableau!$Q$70")</f>
        <v/>
      </c>
      <c r="D1204" s="400" t="str">
        <f t="shared" si="8"/>
        <v>IN</v>
      </c>
      <c r="E1204" s="403" t="str">
        <f t="array" ref="E1204">INDIRECT("Tableau!$R$70")</f>
        <v/>
      </c>
    </row>
    <row r="1205">
      <c r="A1205" s="402">
        <f t="array" ref="A1205">INDIRECT("Tableau!$A$71")</f>
        <v>307</v>
      </c>
      <c r="B1205" s="398" t="s">
        <v>472</v>
      </c>
      <c r="C1205" s="400" t="str">
        <f t="array" ref="C1205">INDIRECT("Tableau!$Q$71")</f>
        <v/>
      </c>
      <c r="D1205" s="400" t="str">
        <f t="shared" si="8"/>
        <v>IN</v>
      </c>
      <c r="E1205" s="403" t="str">
        <f t="array" ref="E1205">INDIRECT("Tableau!$R$71")</f>
        <v/>
      </c>
    </row>
    <row r="1206">
      <c r="A1206" s="397">
        <f t="array" ref="A1206">INDIRECT("Tableau!$A$72")</f>
        <v>367</v>
      </c>
      <c r="B1206" s="398" t="s">
        <v>472</v>
      </c>
      <c r="C1206" s="400" t="str">
        <f t="array" ref="C1206">INDIRECT("Tableau!$Q$72")</f>
        <v/>
      </c>
      <c r="D1206" s="400" t="str">
        <f t="shared" si="8"/>
        <v>IN</v>
      </c>
      <c r="E1206" s="403" t="str">
        <f t="array" ref="E1206">INDIRECT("Tableau!$R$72")</f>
        <v/>
      </c>
    </row>
    <row r="1207">
      <c r="A1207" s="402">
        <f t="array" ref="A1207">INDIRECT("Tableau!$A$73")</f>
        <v>308</v>
      </c>
      <c r="B1207" s="398" t="s">
        <v>472</v>
      </c>
      <c r="C1207" s="400" t="str">
        <f t="array" ref="C1207">INDIRECT("Tableau!$Q$73")</f>
        <v/>
      </c>
      <c r="D1207" s="400" t="str">
        <f t="shared" si="8"/>
        <v>IN</v>
      </c>
      <c r="E1207" s="403" t="str">
        <f t="array" ref="E1207">INDIRECT("Tableau!$R$73")</f>
        <v/>
      </c>
    </row>
    <row r="1208">
      <c r="A1208" s="397">
        <f t="array" ref="A1208">INDIRECT("Tableau!$A$74")</f>
        <v>319</v>
      </c>
      <c r="B1208" s="398" t="s">
        <v>472</v>
      </c>
      <c r="C1208" s="400" t="str">
        <f t="array" ref="C1208">INDIRECT("Tableau!$Q$74")</f>
        <v/>
      </c>
      <c r="D1208" s="400" t="str">
        <f t="shared" si="8"/>
        <v>IN</v>
      </c>
      <c r="E1208" s="403" t="str">
        <f t="array" ref="E1208">INDIRECT("Tableau!$R$74")</f>
        <v/>
      </c>
    </row>
    <row r="1209">
      <c r="A1209" s="402">
        <f t="array" ref="A1209">INDIRECT("Tableau!$A$75")</f>
        <v>309</v>
      </c>
      <c r="B1209" s="398" t="s">
        <v>472</v>
      </c>
      <c r="C1209" s="400" t="str">
        <f t="array" ref="C1209">INDIRECT("Tableau!$Q$75")</f>
        <v/>
      </c>
      <c r="D1209" s="400" t="str">
        <f t="shared" si="8"/>
        <v>IN</v>
      </c>
      <c r="E1209" s="403" t="str">
        <f t="array" ref="E1209">INDIRECT("Tableau!$R$75")</f>
        <v/>
      </c>
    </row>
    <row r="1210">
      <c r="A1210" s="402">
        <f t="array" ref="A1210">INDIRECT("Tableau!$A$76")</f>
        <v>310</v>
      </c>
      <c r="B1210" s="398" t="s">
        <v>472</v>
      </c>
      <c r="C1210" s="400" t="str">
        <f t="array" ref="C1210">INDIRECT("Tableau!$Q$76")</f>
        <v/>
      </c>
      <c r="D1210" s="400" t="str">
        <f t="shared" si="8"/>
        <v>IN</v>
      </c>
      <c r="E1210" s="403" t="str">
        <f t="array" ref="E1210">INDIRECT("Tableau!$R$76")</f>
        <v/>
      </c>
    </row>
    <row r="1211">
      <c r="A1211" s="402">
        <f t="array" ref="A1211">INDIRECT("Tableau!$A$77")</f>
        <v>311</v>
      </c>
      <c r="B1211" s="398" t="s">
        <v>472</v>
      </c>
      <c r="C1211" s="400" t="str">
        <f t="array" ref="C1211">INDIRECT("Tableau!$Q$77")</f>
        <v>DPS</v>
      </c>
      <c r="D1211" s="400" t="str">
        <f t="shared" si="8"/>
        <v>IN</v>
      </c>
      <c r="E1211" s="403" t="str">
        <f t="array" ref="E1211">INDIRECT("Tableau!$R$77")</f>
        <v/>
      </c>
    </row>
    <row r="1212">
      <c r="A1212" s="402">
        <f t="array" ref="A1212">INDIRECT("Tableau!$A$78")</f>
        <v>312</v>
      </c>
      <c r="B1212" s="398" t="s">
        <v>472</v>
      </c>
      <c r="C1212" s="400" t="str">
        <f t="array" ref="C1212">INDIRECT("Tableau!$Q$78")</f>
        <v/>
      </c>
      <c r="D1212" s="400" t="str">
        <f t="shared" si="8"/>
        <v>IN</v>
      </c>
      <c r="E1212" s="403" t="str">
        <f t="array" ref="E1212">INDIRECT("Tableau!$R$78")</f>
        <v/>
      </c>
    </row>
    <row r="1213">
      <c r="A1213" s="402">
        <f t="array" ref="A1213">INDIRECT("Tableau!$A$79")</f>
        <v>313</v>
      </c>
      <c r="B1213" s="398" t="s">
        <v>472</v>
      </c>
      <c r="C1213" s="400" t="str">
        <f t="array" ref="C1213">INDIRECT("Tableau!$Q$79")</f>
        <v/>
      </c>
      <c r="D1213" s="400" t="str">
        <f t="shared" si="8"/>
        <v>IN</v>
      </c>
      <c r="E1213" s="403" t="str">
        <f t="array" ref="E1213">INDIRECT("Tableau!$R$79")</f>
        <v/>
      </c>
    </row>
    <row r="1214">
      <c r="A1214" s="402">
        <f t="array" ref="A1214">INDIRECT("Tableau!$A$80")</f>
        <v>314</v>
      </c>
      <c r="B1214" s="398" t="s">
        <v>472</v>
      </c>
      <c r="C1214" s="400" t="str">
        <f t="array" ref="C1214">INDIRECT("Tableau!$Q$80")</f>
        <v/>
      </c>
      <c r="D1214" s="400" t="str">
        <f t="shared" si="8"/>
        <v>IN</v>
      </c>
      <c r="E1214" s="403" t="str">
        <f t="array" ref="E1214">INDIRECT("Tableau!$R$80")</f>
        <v/>
      </c>
    </row>
    <row r="1215">
      <c r="A1215" s="402">
        <f t="array" ref="A1215">INDIRECT("Tableau!$A$81")</f>
        <v>315</v>
      </c>
      <c r="B1215" s="398" t="s">
        <v>472</v>
      </c>
      <c r="C1215" s="400" t="str">
        <f t="array" ref="C1215">INDIRECT("Tableau!$Q$81")</f>
        <v/>
      </c>
      <c r="D1215" s="400" t="str">
        <f t="shared" si="8"/>
        <v>IN</v>
      </c>
      <c r="E1215" s="403" t="str">
        <f t="array" ref="E1215">INDIRECT("Tableau!$R$81")</f>
        <v/>
      </c>
    </row>
    <row r="1216">
      <c r="A1216" s="402">
        <f t="array" ref="A1216">INDIRECT("Tableau!$A$82")</f>
        <v>316</v>
      </c>
      <c r="B1216" s="398" t="s">
        <v>472</v>
      </c>
      <c r="C1216" s="400" t="str">
        <f t="array" ref="C1216">INDIRECT("Tableau!$Q$82")</f>
        <v/>
      </c>
      <c r="D1216" s="400" t="str">
        <f t="shared" si="8"/>
        <v>IN</v>
      </c>
      <c r="E1216" s="403" t="str">
        <f t="array" ref="E1216">INDIRECT("Tableau!$R$82")</f>
        <v/>
      </c>
    </row>
    <row r="1217">
      <c r="A1217" s="402">
        <f t="array" ref="A1217">INDIRECT("Tableau!$A$83")</f>
        <v>317</v>
      </c>
      <c r="B1217" s="398" t="s">
        <v>472</v>
      </c>
      <c r="C1217" s="400" t="str">
        <f t="array" ref="C1217">INDIRECT("Tableau!$Q$83")</f>
        <v/>
      </c>
      <c r="D1217" s="400" t="str">
        <f t="shared" si="8"/>
        <v>IN</v>
      </c>
      <c r="E1217" s="403" t="str">
        <f t="array" ref="E1217">INDIRECT("Tableau!$R$83")</f>
        <v/>
      </c>
    </row>
    <row r="1218">
      <c r="A1218" s="402">
        <f t="array" ref="A1218">INDIRECT("Tableau!$A$84")</f>
        <v>318</v>
      </c>
      <c r="B1218" s="398" t="s">
        <v>472</v>
      </c>
      <c r="C1218" s="400" t="str">
        <f t="array" ref="C1218">INDIRECT("Tableau!$Q$84")</f>
        <v/>
      </c>
      <c r="D1218" s="400" t="str">
        <f t="shared" si="8"/>
        <v>IN</v>
      </c>
      <c r="E1218" s="403" t="str">
        <f t="array" ref="E1218">INDIRECT("Tableau!$R$84")</f>
        <v/>
      </c>
    </row>
    <row r="1219">
      <c r="A1219" s="402">
        <f t="array" ref="A1219">INDIRECT("Tableau!$A$85")</f>
        <v>320</v>
      </c>
      <c r="B1219" s="398" t="s">
        <v>472</v>
      </c>
      <c r="C1219" s="400" t="str">
        <f t="array" ref="C1219">INDIRECT("Tableau!$Q$85")</f>
        <v/>
      </c>
      <c r="D1219" s="400" t="str">
        <f t="shared" si="8"/>
        <v>IN</v>
      </c>
      <c r="E1219" s="403" t="str">
        <f t="array" ref="E1219">INDIRECT("Tableau!$R$85")</f>
        <v/>
      </c>
    </row>
    <row r="1220">
      <c r="A1220" s="402">
        <f t="array" ref="A1220">INDIRECT("Tableau!$A$86")</f>
        <v>321</v>
      </c>
      <c r="B1220" s="398" t="s">
        <v>472</v>
      </c>
      <c r="C1220" s="400" t="str">
        <f t="array" ref="C1220">INDIRECT("Tableau!$Q$86")</f>
        <v/>
      </c>
      <c r="D1220" s="400" t="str">
        <f t="shared" si="8"/>
        <v>IN</v>
      </c>
      <c r="E1220" s="403" t="str">
        <f t="array" ref="E1220">INDIRECT("Tableau!$R$86")</f>
        <v/>
      </c>
    </row>
    <row r="1221">
      <c r="A1221" s="397" t="str">
        <f t="array" ref="A1221">INDIRECT("Tableau!$A$87")</f>
        <v/>
      </c>
      <c r="B1221" s="398" t="s">
        <v>472</v>
      </c>
      <c r="C1221" s="400" t="str">
        <f t="array" ref="C1221">INDIRECT("Tableau!$Q$87")</f>
        <v/>
      </c>
      <c r="D1221" s="400" t="str">
        <f t="shared" si="8"/>
        <v>IN</v>
      </c>
      <c r="E1221" s="403" t="str">
        <f t="array" ref="E1221">INDIRECT("Tableau!$R$87")</f>
        <v/>
      </c>
    </row>
    <row r="1222">
      <c r="A1222" s="402">
        <f t="array" ref="A1222">INDIRECT("Tableau!$A$88")</f>
        <v>323</v>
      </c>
      <c r="B1222" s="398" t="s">
        <v>472</v>
      </c>
      <c r="C1222" s="400" t="str">
        <f t="array" ref="C1222">INDIRECT("Tableau!$Q$88")</f>
        <v/>
      </c>
      <c r="D1222" s="400" t="str">
        <f t="shared" si="8"/>
        <v>IN</v>
      </c>
      <c r="E1222" s="403" t="str">
        <f t="array" ref="E1222">INDIRECT("Tableau!$R$88")</f>
        <v/>
      </c>
    </row>
    <row r="1223">
      <c r="A1223" s="402">
        <f t="array" ref="A1223">INDIRECT("Tableau!$A$89")</f>
        <v>324</v>
      </c>
      <c r="B1223" s="398" t="s">
        <v>472</v>
      </c>
      <c r="C1223" s="400" t="str">
        <f t="array" ref="C1223">INDIRECT("Tableau!$Q$89")</f>
        <v/>
      </c>
      <c r="D1223" s="400" t="str">
        <f t="shared" si="8"/>
        <v>IN</v>
      </c>
      <c r="E1223" s="403" t="str">
        <f t="array" ref="E1223">INDIRECT("Tableau!$R$89")</f>
        <v/>
      </c>
    </row>
    <row r="1224">
      <c r="A1224" s="402">
        <f t="array" ref="A1224">INDIRECT("Tableau!$A$90")</f>
        <v>325</v>
      </c>
      <c r="B1224" s="398" t="s">
        <v>472</v>
      </c>
      <c r="C1224" s="400" t="str">
        <f t="array" ref="C1224">INDIRECT("Tableau!$Q$90")</f>
        <v/>
      </c>
      <c r="D1224" s="400" t="str">
        <f t="shared" si="8"/>
        <v>IN</v>
      </c>
      <c r="E1224" s="403" t="str">
        <f t="array" ref="E1224">INDIRECT("Tableau!$R$90")</f>
        <v/>
      </c>
    </row>
    <row r="1225">
      <c r="A1225" s="402">
        <f t="array" ref="A1225">INDIRECT("Tableau!$A$91")</f>
        <v>326</v>
      </c>
      <c r="B1225" s="398" t="s">
        <v>472</v>
      </c>
      <c r="C1225" s="400" t="str">
        <f t="array" ref="C1225">INDIRECT("Tableau!$Q$91")</f>
        <v/>
      </c>
      <c r="D1225" s="400" t="str">
        <f t="shared" si="8"/>
        <v>IN</v>
      </c>
      <c r="E1225" s="403" t="str">
        <f t="array" ref="E1225">INDIRECT("Tableau!$R$91")</f>
        <v/>
      </c>
    </row>
    <row r="1226">
      <c r="A1226" s="402">
        <f t="array" ref="A1226">INDIRECT("Tableau!$A$92")</f>
        <v>327</v>
      </c>
      <c r="B1226" s="398" t="s">
        <v>472</v>
      </c>
      <c r="C1226" s="400" t="str">
        <f t="array" ref="C1226">INDIRECT("Tableau!$Q$92")</f>
        <v/>
      </c>
      <c r="D1226" s="400" t="str">
        <f t="shared" si="8"/>
        <v>IN</v>
      </c>
      <c r="E1226" s="403" t="str">
        <f t="array" ref="E1226">INDIRECT("Tableau!$R$92")</f>
        <v/>
      </c>
    </row>
    <row r="1227">
      <c r="A1227" s="402">
        <f t="array" ref="A1227">INDIRECT("Tableau!$A$93")</f>
        <v>328</v>
      </c>
      <c r="B1227" s="398" t="s">
        <v>472</v>
      </c>
      <c r="C1227" s="400" t="str">
        <f t="array" ref="C1227">INDIRECT("Tableau!$Q$93")</f>
        <v/>
      </c>
      <c r="D1227" s="400" t="str">
        <f t="shared" si="8"/>
        <v>IN</v>
      </c>
      <c r="E1227" s="403" t="str">
        <f t="array" ref="E1227">INDIRECT("Tableau!$R$93")</f>
        <v/>
      </c>
    </row>
    <row r="1228">
      <c r="A1228" s="402">
        <f t="array" ref="A1228">INDIRECT("Tableau!$A$94")</f>
        <v>329</v>
      </c>
      <c r="B1228" s="398" t="s">
        <v>472</v>
      </c>
      <c r="C1228" s="400" t="str">
        <f t="array" ref="C1228">INDIRECT("Tableau!$Q$94")</f>
        <v>DEMA</v>
      </c>
      <c r="D1228" s="400" t="str">
        <f t="shared" si="8"/>
        <v>IN</v>
      </c>
      <c r="E1228" s="403" t="str">
        <f t="array" ref="E1228">INDIRECT("Tableau!$R$94")</f>
        <v/>
      </c>
    </row>
    <row r="1229">
      <c r="A1229" s="402">
        <f t="array" ref="A1229">INDIRECT("Tableau!$A$95")</f>
        <v>330</v>
      </c>
      <c r="B1229" s="398" t="s">
        <v>472</v>
      </c>
      <c r="C1229" s="400" t="str">
        <f t="array" ref="C1229">INDIRECT("Tableau!$Q$95")</f>
        <v/>
      </c>
      <c r="D1229" s="400" t="str">
        <f t="shared" si="8"/>
        <v>IN</v>
      </c>
      <c r="E1229" s="403" t="str">
        <f t="array" ref="E1229">INDIRECT("Tableau!$R$95")</f>
        <v/>
      </c>
    </row>
    <row r="1230">
      <c r="A1230" s="402">
        <f t="array" ref="A1230">INDIRECT("Tableau!$A$96")</f>
        <v>331</v>
      </c>
      <c r="B1230" s="398" t="s">
        <v>472</v>
      </c>
      <c r="C1230" s="400" t="str">
        <f t="array" ref="C1230">INDIRECT("Tableau!$Q$96")</f>
        <v>Carbelle</v>
      </c>
      <c r="D1230" s="400" t="str">
        <f t="shared" si="8"/>
        <v>IN</v>
      </c>
      <c r="E1230" s="403" t="str">
        <f t="array" ref="E1230">INDIRECT("Tableau!$R$96")</f>
        <v/>
      </c>
    </row>
    <row r="1231">
      <c r="A1231" s="402">
        <f t="array" ref="A1231">INDIRECT("Tableau!$A$97")</f>
        <v>332</v>
      </c>
      <c r="B1231" s="398" t="s">
        <v>472</v>
      </c>
      <c r="C1231" s="400" t="str">
        <f t="array" ref="C1231">INDIRECT("Tableau!$Q$97")</f>
        <v>Carbelle</v>
      </c>
      <c r="D1231" s="400" t="str">
        <f t="shared" si="8"/>
        <v>IN</v>
      </c>
      <c r="E1231" s="403" t="str">
        <f t="array" ref="E1231">INDIRECT("Tableau!$R$97")</f>
        <v/>
      </c>
    </row>
    <row r="1232">
      <c r="A1232" s="402">
        <f t="array" ref="A1232">INDIRECT("Tableau!$A$98")</f>
        <v>333</v>
      </c>
      <c r="B1232" s="398" t="s">
        <v>472</v>
      </c>
      <c r="C1232" s="400" t="str">
        <f t="array" ref="C1232">INDIRECT("Tableau!$Q$98")</f>
        <v>Immo Toma </v>
      </c>
      <c r="D1232" s="400" t="str">
        <f t="shared" si="8"/>
        <v>IN</v>
      </c>
      <c r="E1232" s="403" t="str">
        <f t="array" ref="E1232">INDIRECT("Tableau!$R$98")</f>
        <v/>
      </c>
    </row>
    <row r="1233">
      <c r="A1233" s="402">
        <f t="array" ref="A1233">INDIRECT("Tableau!$A$99")</f>
        <v>334</v>
      </c>
      <c r="B1233" s="398" t="s">
        <v>472</v>
      </c>
      <c r="C1233" s="400" t="str">
        <f t="array" ref="C1233">INDIRECT("Tableau!$Q$99")</f>
        <v/>
      </c>
      <c r="D1233" s="400" t="str">
        <f t="shared" si="8"/>
        <v>IN</v>
      </c>
      <c r="E1233" s="403" t="str">
        <f t="array" ref="E1233">INDIRECT("Tableau!$R$99")</f>
        <v/>
      </c>
    </row>
    <row r="1234">
      <c r="A1234" s="402">
        <f t="array" ref="A1234">INDIRECT("Tableau!$A$100")</f>
        <v>335</v>
      </c>
      <c r="B1234" s="398" t="s">
        <v>472</v>
      </c>
      <c r="C1234" s="400" t="str">
        <f t="array" ref="C1234">INDIRECT("Tableau!$Q$100")</f>
        <v>Carbelle</v>
      </c>
      <c r="D1234" s="400" t="str">
        <f t="shared" si="8"/>
        <v>IN</v>
      </c>
      <c r="E1234" s="403" t="str">
        <f t="array" ref="E1234">INDIRECT("Tableau!$R$100")</f>
        <v/>
      </c>
    </row>
    <row r="1235">
      <c r="A1235" s="402">
        <f t="array" ref="A1235">INDIRECT("Tableau!$A$101")</f>
        <v>336</v>
      </c>
      <c r="B1235" s="398" t="s">
        <v>472</v>
      </c>
      <c r="C1235" s="400" t="str">
        <f t="array" ref="C1235">INDIRECT("Tableau!$Q$101")</f>
        <v/>
      </c>
      <c r="D1235" s="400" t="str">
        <f t="shared" si="8"/>
        <v>IN</v>
      </c>
      <c r="E1235" s="403" t="str">
        <f t="array" ref="E1235">INDIRECT("Tableau!$R$101")</f>
        <v/>
      </c>
    </row>
    <row r="1236">
      <c r="A1236" s="402">
        <f t="array" ref="A1236">INDIRECT("Tableau!$A$102")</f>
        <v>337</v>
      </c>
      <c r="B1236" s="398" t="s">
        <v>472</v>
      </c>
      <c r="C1236" s="400" t="str">
        <f t="array" ref="C1236">INDIRECT("Tableau!$Q$102")</f>
        <v>Carbelle</v>
      </c>
      <c r="D1236" s="400" t="str">
        <f t="shared" si="8"/>
        <v>IN</v>
      </c>
      <c r="E1236" s="403" t="str">
        <f t="array" ref="E1236">INDIRECT("Tableau!$R$102")</f>
        <v/>
      </c>
    </row>
    <row r="1237">
      <c r="A1237" s="402">
        <f t="array" ref="A1237">INDIRECT("Tableau!$A$103")</f>
        <v>338</v>
      </c>
      <c r="B1237" s="398" t="s">
        <v>472</v>
      </c>
      <c r="C1237" s="400" t="str">
        <f t="array" ref="C1237">INDIRECT("Tableau!$Q$103")</f>
        <v/>
      </c>
      <c r="D1237" s="400" t="str">
        <f t="shared" si="8"/>
        <v>IN</v>
      </c>
      <c r="E1237" s="403" t="str">
        <f t="array" ref="E1237">INDIRECT("Tableau!$R$103")</f>
        <v/>
      </c>
    </row>
    <row r="1238">
      <c r="A1238" s="402">
        <f t="array" ref="A1238">INDIRECT("Tableau!$A$104")</f>
        <v>339</v>
      </c>
      <c r="B1238" s="398" t="s">
        <v>472</v>
      </c>
      <c r="C1238" s="400" t="str">
        <f t="array" ref="C1238">INDIRECT("Tableau!$Q$104")</f>
        <v/>
      </c>
      <c r="D1238" s="400" t="str">
        <f t="shared" si="8"/>
        <v>IN</v>
      </c>
      <c r="E1238" s="403" t="str">
        <f t="array" ref="E1238">INDIRECT("Tableau!$R$104")</f>
        <v/>
      </c>
    </row>
    <row r="1239">
      <c r="A1239" s="402">
        <f t="array" ref="A1239">INDIRECT("Tableau!$A$105")</f>
        <v>340</v>
      </c>
      <c r="B1239" s="398" t="s">
        <v>472</v>
      </c>
      <c r="C1239" s="400" t="str">
        <f t="array" ref="C1239">INDIRECT("Tableau!$Q$105")</f>
        <v>Carbelle</v>
      </c>
      <c r="D1239" s="400" t="str">
        <f t="shared" si="8"/>
        <v>IN</v>
      </c>
      <c r="E1239" s="403" t="str">
        <f t="array" ref="E1239">INDIRECT("Tableau!$R$105")</f>
        <v/>
      </c>
    </row>
    <row r="1240">
      <c r="A1240" s="402">
        <f t="array" ref="A1240">INDIRECT("Tableau!$A$106")</f>
        <v>341</v>
      </c>
      <c r="B1240" s="398" t="s">
        <v>472</v>
      </c>
      <c r="C1240" s="400" t="str">
        <f t="array" ref="C1240">INDIRECT("Tableau!$Q$106")</f>
        <v>Carbelle</v>
      </c>
      <c r="D1240" s="400" t="str">
        <f t="shared" si="8"/>
        <v>IN</v>
      </c>
      <c r="E1240" s="403" t="str">
        <f t="array" ref="E1240">INDIRECT("Tableau!$R$106")</f>
        <v/>
      </c>
    </row>
    <row r="1241">
      <c r="A1241" s="402">
        <f t="array" ref="A1241">INDIRECT("Tableau!$A$107")</f>
        <v>365</v>
      </c>
      <c r="B1241" s="398" t="s">
        <v>472</v>
      </c>
      <c r="C1241" s="400" t="str">
        <f t="array" ref="C1241">INDIRECT("Tableau!$Q$107")</f>
        <v/>
      </c>
      <c r="D1241" s="400" t="str">
        <f t="shared" si="8"/>
        <v>IN</v>
      </c>
      <c r="E1241" s="403" t="str">
        <f t="array" ref="E1241">INDIRECT("Tableau!$R$107")</f>
        <v/>
      </c>
    </row>
    <row r="1242">
      <c r="A1242" s="402">
        <f t="array" ref="A1242">INDIRECT("Tableau!$A$108")</f>
        <v>342</v>
      </c>
      <c r="B1242" s="398" t="s">
        <v>472</v>
      </c>
      <c r="C1242" s="400" t="str">
        <f t="array" ref="C1242">INDIRECT("Tableau!$Q$108")</f>
        <v>Carbelle</v>
      </c>
      <c r="D1242" s="400" t="str">
        <f t="shared" si="8"/>
        <v>IN</v>
      </c>
      <c r="E1242" s="403" t="str">
        <f t="array" ref="E1242">INDIRECT("Tableau!$R$108")</f>
        <v/>
      </c>
    </row>
    <row r="1243">
      <c r="A1243" s="402">
        <f t="array" ref="A1243">INDIRECT("Tableau!$A$109")</f>
        <v>343</v>
      </c>
      <c r="B1243" s="398" t="s">
        <v>472</v>
      </c>
      <c r="C1243" s="400" t="str">
        <f t="array" ref="C1243">INDIRECT("Tableau!$Q$109")</f>
        <v>Carbelle / Urbaine</v>
      </c>
      <c r="D1243" s="400" t="str">
        <f t="shared" si="8"/>
        <v>IN</v>
      </c>
      <c r="E1243" s="403" t="str">
        <f t="array" ref="E1243">INDIRECT("Tableau!$R$109")</f>
        <v/>
      </c>
    </row>
    <row r="1244">
      <c r="A1244" s="402">
        <f t="array" ref="A1244">INDIRECT("Tableau!$A$110")</f>
        <v>344</v>
      </c>
      <c r="B1244" s="398" t="s">
        <v>472</v>
      </c>
      <c r="C1244" s="400" t="str">
        <f t="array" ref="C1244">INDIRECT("Tableau!$Q$110")</f>
        <v>Optic &amp; vous</v>
      </c>
      <c r="D1244" s="400" t="str">
        <f t="shared" si="8"/>
        <v>IN</v>
      </c>
      <c r="E1244" s="403" t="str">
        <f t="array" ref="E1244">INDIRECT("Tableau!$R$110")</f>
        <v/>
      </c>
    </row>
    <row r="1245">
      <c r="A1245" s="402">
        <f t="array" ref="A1245">INDIRECT("Tableau!$A$111")</f>
        <v>363</v>
      </c>
      <c r="B1245" s="398" t="s">
        <v>472</v>
      </c>
      <c r="C1245" s="400" t="str">
        <f t="array" ref="C1245">INDIRECT("Tableau!$Q$111")</f>
        <v>Carbelle</v>
      </c>
      <c r="D1245" s="400" t="str">
        <f t="shared" si="8"/>
        <v>IN</v>
      </c>
      <c r="E1245" s="403" t="str">
        <f t="array" ref="E1245">INDIRECT("Tableau!$R$111")</f>
        <v/>
      </c>
    </row>
    <row r="1246">
      <c r="A1246" s="402">
        <f t="array" ref="A1246">INDIRECT("Tableau!$A$112")</f>
        <v>345</v>
      </c>
      <c r="B1246" s="398" t="s">
        <v>472</v>
      </c>
      <c r="C1246" s="400" t="str">
        <f t="array" ref="C1246">INDIRECT("Tableau!$Q$112")</f>
        <v/>
      </c>
      <c r="D1246" s="400" t="str">
        <f t="shared" si="8"/>
        <v>IN</v>
      </c>
      <c r="E1246" s="403" t="str">
        <f t="array" ref="E1246">INDIRECT("Tableau!$R$112")</f>
        <v/>
      </c>
    </row>
    <row r="1247">
      <c r="A1247" s="402">
        <f t="array" ref="A1247">INDIRECT("Tableau!$A$113")</f>
        <v>346</v>
      </c>
      <c r="B1247" s="398" t="s">
        <v>472</v>
      </c>
      <c r="C1247" s="400" t="str">
        <f t="array" ref="C1247">INDIRECT("Tableau!$Q$113")</f>
        <v>Immo Toma </v>
      </c>
      <c r="D1247" s="400" t="str">
        <f t="shared" si="8"/>
        <v>IN</v>
      </c>
      <c r="E1247" s="403" t="str">
        <f t="array" ref="E1247">INDIRECT("Tableau!$R$113")</f>
        <v/>
      </c>
    </row>
    <row r="1248">
      <c r="A1248" s="402">
        <f t="array" ref="A1248">INDIRECT("Tableau!$A$114")</f>
        <v>359</v>
      </c>
      <c r="B1248" s="398" t="s">
        <v>472</v>
      </c>
      <c r="C1248" s="400" t="str">
        <f t="array" ref="C1248">INDIRECT("Tableau!$Q$114")</f>
        <v/>
      </c>
      <c r="D1248" s="400" t="str">
        <f t="shared" si="8"/>
        <v>IN</v>
      </c>
      <c r="E1248" s="403" t="str">
        <f t="array" ref="E1248">INDIRECT("Tableau!$R$114")</f>
        <v/>
      </c>
    </row>
    <row r="1249">
      <c r="A1249" s="402">
        <f t="array" ref="A1249">INDIRECT("Tableau!$A$115")</f>
        <v>360</v>
      </c>
      <c r="B1249" s="398" t="s">
        <v>472</v>
      </c>
      <c r="C1249" s="400" t="str">
        <f t="array" ref="C1249">INDIRECT("Tableau!$Q$115")</f>
        <v>DEMA</v>
      </c>
      <c r="D1249" s="400" t="str">
        <f t="shared" si="8"/>
        <v>IN</v>
      </c>
      <c r="E1249" s="403" t="str">
        <f t="array" ref="E1249">INDIRECT("Tableau!$R$115")</f>
        <v/>
      </c>
    </row>
    <row r="1250">
      <c r="A1250" s="402">
        <f t="array" ref="A1250">INDIRECT("Tableau!$A$116")</f>
        <v>361</v>
      </c>
      <c r="B1250" s="398" t="s">
        <v>472</v>
      </c>
      <c r="C1250" s="400" t="str">
        <f t="array" ref="C1250">INDIRECT("Tableau!$Q$116")</f>
        <v/>
      </c>
      <c r="D1250" s="400" t="str">
        <f t="shared" si="8"/>
        <v>IN</v>
      </c>
      <c r="E1250" s="403" t="str">
        <f t="array" ref="E1250">INDIRECT("Tableau!$R$116")</f>
        <v/>
      </c>
    </row>
    <row r="1251">
      <c r="A1251" s="397" t="str">
        <f t="array" ref="A1251">INDIRECT("Tableau!$A$117")</f>
        <v/>
      </c>
      <c r="B1251" s="398" t="s">
        <v>472</v>
      </c>
      <c r="C1251" s="400" t="str">
        <f t="array" ref="C1251">INDIRECT("Tableau!$Q$117")</f>
        <v/>
      </c>
      <c r="D1251" s="400" t="str">
        <f t="shared" si="8"/>
        <v>IN</v>
      </c>
      <c r="E1251" s="403" t="str">
        <f t="array" ref="E1251">INDIRECT("Tableau!$R$117")</f>
        <v/>
      </c>
    </row>
    <row r="1252">
      <c r="A1252" s="402">
        <f t="array" ref="A1252">INDIRECT("Tableau!$A$118")</f>
        <v>347</v>
      </c>
      <c r="B1252" s="398" t="s">
        <v>472</v>
      </c>
      <c r="C1252" s="400" t="str">
        <f t="array" ref="C1252">INDIRECT("Tableau!$Q$118")</f>
        <v>BP Martelange</v>
      </c>
      <c r="D1252" s="400" t="str">
        <f t="shared" si="8"/>
        <v>IN</v>
      </c>
      <c r="E1252" s="403" t="str">
        <f t="array" ref="E1252">INDIRECT("Tableau!$R$118")</f>
        <v/>
      </c>
    </row>
    <row r="1253">
      <c r="A1253" s="402">
        <f t="array" ref="A1253">INDIRECT("Tableau!$A$119")</f>
        <v>348</v>
      </c>
      <c r="B1253" s="398" t="s">
        <v>472</v>
      </c>
      <c r="C1253" s="400" t="str">
        <f t="array" ref="C1253">INDIRECT("Tableau!$Q$119")</f>
        <v>Carbelle</v>
      </c>
      <c r="D1253" s="400" t="str">
        <f t="shared" si="8"/>
        <v>IN</v>
      </c>
      <c r="E1253" s="403" t="str">
        <f t="array" ref="E1253">INDIRECT("Tableau!$R$119")</f>
        <v/>
      </c>
    </row>
    <row r="1254">
      <c r="A1254" s="402">
        <f t="array" ref="A1254">INDIRECT("Tableau!$A$120")</f>
        <v>349</v>
      </c>
      <c r="B1254" s="398" t="s">
        <v>472</v>
      </c>
      <c r="C1254" s="400" t="str">
        <f t="array" ref="C1254">INDIRECT("Tableau!$Q$120")</f>
        <v>Carbelle / DEMA</v>
      </c>
      <c r="D1254" s="400" t="str">
        <f t="shared" si="8"/>
        <v>IN</v>
      </c>
      <c r="E1254" s="403" t="str">
        <f t="array" ref="E1254">INDIRECT("Tableau!$R$120")</f>
        <v/>
      </c>
    </row>
    <row r="1255">
      <c r="A1255" s="402">
        <f t="array" ref="A1255">INDIRECT("Tableau!$A$121")</f>
        <v>350</v>
      </c>
      <c r="B1255" s="398" t="s">
        <v>472</v>
      </c>
      <c r="C1255" s="400" t="str">
        <f t="array" ref="C1255">INDIRECT("Tableau!$Q$121")</f>
        <v>Carbelle</v>
      </c>
      <c r="D1255" s="400" t="str">
        <f t="shared" si="8"/>
        <v>IN</v>
      </c>
      <c r="E1255" s="403" t="str">
        <f t="array" ref="E1255">INDIRECT("Tableau!$R$121")</f>
        <v/>
      </c>
    </row>
    <row r="1256">
      <c r="A1256" s="402">
        <f t="array" ref="A1256">INDIRECT("Tableau!$A$122")</f>
        <v>351</v>
      </c>
      <c r="B1256" s="398" t="s">
        <v>472</v>
      </c>
      <c r="C1256" s="400" t="str">
        <f t="array" ref="C1256">INDIRECT("Tableau!$Q$122")</f>
        <v>Carbelle</v>
      </c>
      <c r="D1256" s="400" t="str">
        <f t="shared" si="8"/>
        <v>IN</v>
      </c>
      <c r="E1256" s="403" t="str">
        <f t="array" ref="E1256">INDIRECT("Tableau!$R$122")</f>
        <v/>
      </c>
    </row>
    <row r="1257">
      <c r="A1257" s="402">
        <f t="array" ref="A1257">INDIRECT("Tableau!$A$123")</f>
        <v>352</v>
      </c>
      <c r="B1257" s="398" t="s">
        <v>472</v>
      </c>
      <c r="C1257" s="400" t="str">
        <f t="array" ref="C1257">INDIRECT("Tableau!$Q$123")</f>
        <v/>
      </c>
      <c r="D1257" s="400" t="str">
        <f t="shared" si="8"/>
        <v>IN</v>
      </c>
      <c r="E1257" s="403" t="str">
        <f t="array" ref="E1257">INDIRECT("Tableau!$R$123")</f>
        <v/>
      </c>
    </row>
    <row r="1258">
      <c r="A1258" s="402">
        <f t="array" ref="A1258">INDIRECT("Tableau!$A$124")</f>
        <v>353</v>
      </c>
      <c r="B1258" s="398" t="s">
        <v>472</v>
      </c>
      <c r="C1258" s="400" t="str">
        <f t="array" ref="C1258">INDIRECT("Tableau!$Q$124")</f>
        <v/>
      </c>
      <c r="D1258" s="400" t="str">
        <f t="shared" si="8"/>
        <v>IN</v>
      </c>
      <c r="E1258" s="403" t="str">
        <f t="array" ref="E1258">INDIRECT("Tableau!$R$124")</f>
        <v/>
      </c>
    </row>
    <row r="1259">
      <c r="A1259" s="397" t="str">
        <f t="array" ref="A1259">INDIRECT("Tableau!$A$125")</f>
        <v/>
      </c>
      <c r="B1259" s="398" t="s">
        <v>472</v>
      </c>
      <c r="C1259" s="400" t="str">
        <f t="array" ref="C1259">INDIRECT("Tableau!$Q$125")</f>
        <v/>
      </c>
      <c r="D1259" s="400" t="str">
        <f t="shared" si="8"/>
        <v>IN</v>
      </c>
      <c r="E1259" s="403" t="str">
        <f t="array" ref="E1259">INDIRECT("Tableau!$R$125")</f>
        <v/>
      </c>
    </row>
    <row r="1260">
      <c r="A1260" s="402">
        <f t="array" ref="A1260">INDIRECT("Tableau!$A$126")</f>
        <v>354</v>
      </c>
      <c r="B1260" s="398" t="s">
        <v>472</v>
      </c>
      <c r="C1260" s="400" t="str">
        <f t="array" ref="C1260">INDIRECT("Tableau!$Q$126")</f>
        <v/>
      </c>
      <c r="D1260" s="400" t="str">
        <f t="shared" si="8"/>
        <v>IN</v>
      </c>
      <c r="E1260" s="403" t="str">
        <f t="array" ref="E1260">INDIRECT("Tableau!$R$126")</f>
        <v/>
      </c>
    </row>
    <row r="1261">
      <c r="A1261" s="402">
        <f t="array" ref="A1261">INDIRECT("Tableau!$A$127")</f>
        <v>355</v>
      </c>
      <c r="B1261" s="398" t="s">
        <v>472</v>
      </c>
      <c r="C1261" s="400" t="str">
        <f t="array" ref="C1261">INDIRECT("Tableau!$Q$127")</f>
        <v>Immo Toma </v>
      </c>
      <c r="D1261" s="400" t="str">
        <f t="shared" si="8"/>
        <v>IN</v>
      </c>
      <c r="E1261" s="403" t="str">
        <f t="array" ref="E1261">INDIRECT("Tableau!$R$127")</f>
        <v/>
      </c>
    </row>
    <row r="1262">
      <c r="A1262" s="402">
        <f t="array" ref="A1262">INDIRECT("Tableau!$A$128")</f>
        <v>356</v>
      </c>
      <c r="B1262" s="398" t="s">
        <v>472</v>
      </c>
      <c r="C1262" s="400" t="str">
        <f t="array" ref="C1262">INDIRECT("Tableau!$Q$128")</f>
        <v/>
      </c>
      <c r="D1262" s="400" t="str">
        <f t="shared" si="8"/>
        <v>IN</v>
      </c>
      <c r="E1262" s="403" t="str">
        <f t="array" ref="E1262">INDIRECT("Tableau!$R$128")</f>
        <v/>
      </c>
    </row>
    <row r="1263">
      <c r="A1263" s="402">
        <f t="array" ref="A1263">INDIRECT("Tableau!$A$129")</f>
        <v>357</v>
      </c>
      <c r="B1263" s="398" t="s">
        <v>472</v>
      </c>
      <c r="C1263" s="400" t="str">
        <f t="array" ref="C1263">INDIRECT("Tableau!$Q$129")</f>
        <v/>
      </c>
      <c r="D1263" s="400" t="str">
        <f t="shared" si="8"/>
        <v>IN</v>
      </c>
      <c r="E1263" s="403" t="str">
        <f t="array" ref="E1263">INDIRECT("Tableau!$R$129")</f>
        <v/>
      </c>
    </row>
    <row r="1264">
      <c r="A1264" s="397" t="str">
        <f t="array" ref="A1264">INDIRECT("Tableau!$A$130")</f>
        <v/>
      </c>
      <c r="B1264" s="398" t="s">
        <v>472</v>
      </c>
      <c r="C1264" s="400" t="str">
        <f t="array" ref="C1264">INDIRECT("Tableau!$Q$130")</f>
        <v/>
      </c>
      <c r="D1264" s="400" t="str">
        <f t="shared" si="8"/>
        <v>IN</v>
      </c>
      <c r="E1264" s="403" t="str">
        <f t="array" ref="E1264">INDIRECT("Tableau!$R$130")</f>
        <v/>
      </c>
    </row>
    <row r="1265">
      <c r="A1265" s="397" t="str">
        <f t="array" ref="A1265">INDIRECT("Tableau!$A$131")</f>
        <v/>
      </c>
      <c r="B1265" s="398" t="s">
        <v>472</v>
      </c>
      <c r="C1265" s="400" t="str">
        <f t="array" ref="C1265">INDIRECT("Tableau!$Q$131")</f>
        <v/>
      </c>
      <c r="D1265" s="400" t="str">
        <f t="shared" si="8"/>
        <v>IN</v>
      </c>
      <c r="E1265" s="403" t="str">
        <f t="array" ref="E1265">INDIRECT("Tableau!$R$131")</f>
        <v/>
      </c>
    </row>
    <row r="1266">
      <c r="A1266" s="397" t="str">
        <f t="array" ref="A1266">INDIRECT("Tableau!$A$132")</f>
        <v/>
      </c>
      <c r="B1266" s="398" t="s">
        <v>472</v>
      </c>
      <c r="C1266" s="400" t="str">
        <f t="array" ref="C1266">INDIRECT("Tableau!$Q$132")</f>
        <v/>
      </c>
      <c r="D1266" s="400" t="str">
        <f t="shared" si="8"/>
        <v>IN</v>
      </c>
      <c r="E1266" s="403" t="str">
        <f t="array" ref="E1266">INDIRECT("Tableau!$R$132")</f>
        <v/>
      </c>
    </row>
    <row r="1267">
      <c r="A1267" s="397" t="str">
        <f t="array" ref="A1267">INDIRECT("Tableau!$A$133")</f>
        <v/>
      </c>
      <c r="B1267" s="398" t="s">
        <v>472</v>
      </c>
      <c r="C1267" s="400" t="str">
        <f t="array" ref="C1267">INDIRECT("Tableau!$Q$133")</f>
        <v/>
      </c>
      <c r="D1267" s="400" t="str">
        <f t="shared" si="8"/>
        <v>IN</v>
      </c>
      <c r="E1267" s="403" t="str">
        <f t="array" ref="E1267">INDIRECT("Tableau!$R$133")</f>
        <v/>
      </c>
    </row>
    <row r="1268">
      <c r="A1268" s="397" t="str">
        <f t="array" ref="A1268">INDIRECT("Tableau!$A$134")</f>
        <v/>
      </c>
      <c r="B1268" s="398" t="s">
        <v>472</v>
      </c>
      <c r="C1268" s="400" t="str">
        <f t="array" ref="C1268">INDIRECT("Tableau!$Q$134")</f>
        <v/>
      </c>
      <c r="D1268" s="400" t="str">
        <f t="shared" si="8"/>
        <v>IN</v>
      </c>
      <c r="E1268" s="403" t="str">
        <f t="array" ref="E1268">INDIRECT("Tableau!$R$134")</f>
        <v/>
      </c>
    </row>
    <row r="1269">
      <c r="A1269" s="402">
        <f t="array" ref="A1269">INDIRECT("Tableau!$A$135")</f>
        <v>401</v>
      </c>
      <c r="B1269" s="398" t="s">
        <v>472</v>
      </c>
      <c r="C1269" s="400" t="str">
        <f t="array" ref="C1269">INDIRECT("Tableau!$Q$135")</f>
        <v>Carbelle</v>
      </c>
      <c r="D1269" s="400" t="str">
        <f t="shared" si="8"/>
        <v>IN</v>
      </c>
      <c r="E1269" s="403" t="str">
        <f t="array" ref="E1269">INDIRECT("Tableau!$R$135")</f>
        <v/>
      </c>
    </row>
    <row r="1270">
      <c r="A1270" s="402">
        <f t="array" ref="A1270">INDIRECT("Tableau!$A$136")</f>
        <v>402</v>
      </c>
      <c r="B1270" s="398" t="s">
        <v>472</v>
      </c>
      <c r="C1270" s="400" t="str">
        <f t="array" ref="C1270">INDIRECT("Tableau!$Q$136")</f>
        <v>Carbelle</v>
      </c>
      <c r="D1270" s="400" t="str">
        <f t="shared" si="8"/>
        <v>IN</v>
      </c>
      <c r="E1270" s="403" t="str">
        <f t="array" ref="E1270">INDIRECT("Tableau!$R$136")</f>
        <v/>
      </c>
    </row>
    <row r="1271">
      <c r="A1271" s="402">
        <f t="array" ref="A1271">INDIRECT("Tableau!$A$137")</f>
        <v>403</v>
      </c>
      <c r="B1271" s="398" t="s">
        <v>472</v>
      </c>
      <c r="C1271" s="400" t="str">
        <f t="array" ref="C1271">INDIRECT("Tableau!$Q$137")</f>
        <v>Carbelle</v>
      </c>
      <c r="D1271" s="400" t="str">
        <f t="shared" si="8"/>
        <v>IN</v>
      </c>
      <c r="E1271" s="403" t="str">
        <f t="array" ref="E1271">INDIRECT("Tableau!$R$137")</f>
        <v/>
      </c>
    </row>
    <row r="1272">
      <c r="A1272" s="402">
        <f t="array" ref="A1272">INDIRECT("Tableau!$A$138")</f>
        <v>404</v>
      </c>
      <c r="B1272" s="398" t="s">
        <v>472</v>
      </c>
      <c r="C1272" s="400" t="str">
        <f t="array" ref="C1272">INDIRECT("Tableau!$Q$138")</f>
        <v>Immo Toma </v>
      </c>
      <c r="D1272" s="400" t="str">
        <f t="shared" si="8"/>
        <v>IN</v>
      </c>
      <c r="E1272" s="403" t="str">
        <f t="array" ref="E1272">INDIRECT("Tableau!$R$138")</f>
        <v/>
      </c>
    </row>
    <row r="1273">
      <c r="A1273" s="402">
        <f t="array" ref="A1273">INDIRECT("Tableau!$A$139")</f>
        <v>405</v>
      </c>
      <c r="B1273" s="398" t="s">
        <v>472</v>
      </c>
      <c r="C1273" s="400" t="str">
        <f t="array" ref="C1273">INDIRECT("Tableau!$Q$139")</f>
        <v>DEMA</v>
      </c>
      <c r="D1273" s="400" t="str">
        <f t="shared" si="8"/>
        <v>IN</v>
      </c>
      <c r="E1273" s="403" t="str">
        <f t="array" ref="E1273">INDIRECT("Tableau!$R$139")</f>
        <v/>
      </c>
    </row>
    <row r="1274">
      <c r="A1274" s="402">
        <f t="array" ref="A1274">INDIRECT("Tableau!$A$140")</f>
        <v>406</v>
      </c>
      <c r="B1274" s="398" t="s">
        <v>472</v>
      </c>
      <c r="C1274" s="400" t="str">
        <f t="array" ref="C1274">INDIRECT("Tableau!$Q$140")</f>
        <v/>
      </c>
      <c r="D1274" s="400" t="str">
        <f t="shared" si="8"/>
        <v>IN</v>
      </c>
      <c r="E1274" s="403" t="str">
        <f t="array" ref="E1274">INDIRECT("Tableau!$R$140")</f>
        <v/>
      </c>
    </row>
    <row r="1275">
      <c r="A1275" s="402">
        <f t="array" ref="A1275">INDIRECT("Tableau!$A$141")</f>
        <v>407</v>
      </c>
      <c r="B1275" s="398" t="s">
        <v>472</v>
      </c>
      <c r="C1275" s="400" t="str">
        <f t="array" ref="C1275">INDIRECT("Tableau!$Q$141")</f>
        <v>Carbelle</v>
      </c>
      <c r="D1275" s="400" t="str">
        <f t="shared" si="8"/>
        <v>IN</v>
      </c>
      <c r="E1275" s="403" t="str">
        <f t="array" ref="E1275">INDIRECT("Tableau!$R$141")</f>
        <v/>
      </c>
    </row>
    <row r="1276">
      <c r="A1276" s="402">
        <f t="array" ref="A1276">INDIRECT("Tableau!$A$142")</f>
        <v>408</v>
      </c>
      <c r="B1276" s="398" t="s">
        <v>472</v>
      </c>
      <c r="C1276" s="400" t="str">
        <f t="array" ref="C1276">INDIRECT("Tableau!$Q$142")</f>
        <v>Carbelle / DEMA</v>
      </c>
      <c r="D1276" s="400" t="str">
        <f t="shared" si="8"/>
        <v>IN</v>
      </c>
      <c r="E1276" s="403" t="str">
        <f t="array" ref="E1276">INDIRECT("Tableau!$R$142")</f>
        <v/>
      </c>
    </row>
    <row r="1277">
      <c r="A1277" s="402">
        <f t="array" ref="A1277">INDIRECT("Tableau!$A$143")</f>
        <v>409</v>
      </c>
      <c r="B1277" s="398" t="s">
        <v>472</v>
      </c>
      <c r="C1277" s="400" t="str">
        <f t="array" ref="C1277">INDIRECT("Tableau!$Q$143")</f>
        <v/>
      </c>
      <c r="D1277" s="400" t="str">
        <f t="shared" si="8"/>
        <v>IN</v>
      </c>
      <c r="E1277" s="403" t="str">
        <f t="array" ref="E1277">INDIRECT("Tableau!$R$143")</f>
        <v/>
      </c>
    </row>
    <row r="1278">
      <c r="A1278" s="397">
        <f t="array" ref="A1278">INDIRECT("Tableau!$A$144")</f>
        <v>415</v>
      </c>
      <c r="B1278" s="398" t="s">
        <v>472</v>
      </c>
      <c r="C1278" s="400" t="str">
        <f t="array" ref="C1278">INDIRECT("Tableau!$Q$144")</f>
        <v>Carbelle</v>
      </c>
      <c r="D1278" s="400" t="str">
        <f t="shared" si="8"/>
        <v>IN</v>
      </c>
      <c r="E1278" s="403" t="str">
        <f t="array" ref="E1278">INDIRECT("Tableau!$R$144")</f>
        <v/>
      </c>
    </row>
    <row r="1279">
      <c r="A1279" s="397" t="str">
        <f t="array" ref="A1279">INDIRECT("Tableau!$A$145")</f>
        <v/>
      </c>
      <c r="B1279" s="398" t="s">
        <v>472</v>
      </c>
      <c r="C1279" s="400" t="str">
        <f t="array" ref="C1279">INDIRECT("Tableau!$Q$145")</f>
        <v/>
      </c>
      <c r="D1279" s="400" t="str">
        <f t="shared" si="8"/>
        <v>IN</v>
      </c>
      <c r="E1279" s="403" t="str">
        <f t="array" ref="E1279">INDIRECT("Tableau!$R$145")</f>
        <v/>
      </c>
    </row>
    <row r="1280">
      <c r="A1280" s="397" t="str">
        <f t="array" ref="A1280">INDIRECT("Tableau!$A$146")</f>
        <v/>
      </c>
      <c r="B1280" s="398" t="s">
        <v>472</v>
      </c>
      <c r="C1280" s="400" t="str">
        <f t="array" ref="C1280">INDIRECT("Tableau!$Q$146")</f>
        <v/>
      </c>
      <c r="D1280" s="400" t="str">
        <f t="shared" si="8"/>
        <v>IN</v>
      </c>
      <c r="E1280" s="403" t="str">
        <f t="array" ref="E1280">INDIRECT("Tableau!$R$146")</f>
        <v/>
      </c>
    </row>
    <row r="1281">
      <c r="A1281" s="397" t="str">
        <f t="array" ref="A1281">INDIRECT("Tableau!$A$147")</f>
        <v/>
      </c>
      <c r="B1281" s="398" t="s">
        <v>472</v>
      </c>
      <c r="C1281" s="400" t="str">
        <f t="array" ref="C1281">INDIRECT("Tableau!$Q$147")</f>
        <v/>
      </c>
      <c r="D1281" s="400" t="str">
        <f t="shared" si="8"/>
        <v>IN</v>
      </c>
      <c r="E1281" s="403" t="str">
        <f t="array" ref="E1281">INDIRECT("Tableau!$R$147")</f>
        <v/>
      </c>
    </row>
    <row r="1282">
      <c r="A1282" s="397" t="str">
        <f t="array" ref="A1282">INDIRECT("Tableau!$A$148")</f>
        <v/>
      </c>
      <c r="B1282" s="398" t="s">
        <v>472</v>
      </c>
      <c r="C1282" s="400" t="str">
        <f t="array" ref="C1282">INDIRECT("Tableau!$Q$148")</f>
        <v/>
      </c>
      <c r="D1282" s="400" t="str">
        <f t="shared" si="8"/>
        <v>IN</v>
      </c>
      <c r="E1282" s="403" t="str">
        <f t="array" ref="E1282">INDIRECT("Tableau!$R$148")</f>
        <v/>
      </c>
    </row>
    <row r="1283">
      <c r="A1283" s="397" t="str">
        <f t="array" ref="A1283">INDIRECT("Tableau!$A$149")</f>
        <v/>
      </c>
      <c r="B1283" s="398" t="s">
        <v>472</v>
      </c>
      <c r="C1283" s="400" t="str">
        <f t="array" ref="C1283">INDIRECT("Tableau!$Q$149")</f>
        <v/>
      </c>
      <c r="D1283" s="400" t="str">
        <f t="shared" si="8"/>
        <v>IN</v>
      </c>
      <c r="E1283" s="403" t="str">
        <f t="array" ref="E1283">INDIRECT("Tableau!$R$149")</f>
        <v/>
      </c>
    </row>
    <row r="1284">
      <c r="A1284" s="397" t="str">
        <f t="array" ref="A1284">INDIRECT("Tableau!$A$150")</f>
        <v/>
      </c>
      <c r="B1284" s="398" t="s">
        <v>472</v>
      </c>
      <c r="C1284" s="400" t="str">
        <f t="array" ref="C1284">INDIRECT("Tableau!$Q$150")</f>
        <v/>
      </c>
      <c r="D1284" s="400" t="str">
        <f t="shared" si="8"/>
        <v>IN</v>
      </c>
      <c r="E1284" s="403" t="str">
        <f t="array" ref="E1284">INDIRECT("Tableau!$R$150")</f>
        <v/>
      </c>
    </row>
    <row r="1285">
      <c r="A1285" s="397" t="str">
        <f t="array" ref="A1285">INDIRECT("Tableau!$A$151")</f>
        <v/>
      </c>
      <c r="B1285" s="398" t="s">
        <v>472</v>
      </c>
      <c r="C1285" s="400" t="str">
        <f t="array" ref="C1285">INDIRECT("Tableau!$Q$151")</f>
        <v/>
      </c>
      <c r="D1285" s="400" t="str">
        <f t="shared" si="8"/>
        <v>IN</v>
      </c>
      <c r="E1285" s="403" t="str">
        <f t="array" ref="E1285">INDIRECT("Tableau!$R$151")</f>
        <v/>
      </c>
    </row>
    <row r="1286">
      <c r="A1286" s="397" t="str">
        <f t="array" ref="A1286">INDIRECT("Tableau!$A$152")</f>
        <v/>
      </c>
      <c r="B1286" s="398" t="s">
        <v>472</v>
      </c>
      <c r="C1286" s="400" t="str">
        <f t="array" ref="C1286">INDIRECT("Tableau!$Q$152")</f>
        <v/>
      </c>
      <c r="D1286" s="400" t="str">
        <f t="shared" si="8"/>
        <v>IN</v>
      </c>
      <c r="E1286" s="403" t="str">
        <f t="array" ref="E1286">INDIRECT("Tableau!$R$152")</f>
        <v/>
      </c>
    </row>
    <row r="1287">
      <c r="A1287" s="397" t="str">
        <f t="array" ref="A1287">INDIRECT("Tableau!$A$153")</f>
        <v/>
      </c>
      <c r="B1287" s="398" t="s">
        <v>472</v>
      </c>
      <c r="C1287" s="400" t="str">
        <f t="array" ref="C1287">INDIRECT("Tableau!$Q$153")</f>
        <v/>
      </c>
      <c r="D1287" s="400" t="str">
        <f t="shared" si="8"/>
        <v>IN</v>
      </c>
      <c r="E1287" s="403" t="str">
        <f t="array" ref="E1287">INDIRECT("Tableau!$R$153")</f>
        <v/>
      </c>
    </row>
    <row r="1288">
      <c r="A1288" s="402">
        <f t="array" ref="A1288">INDIRECT("Tableau!$A$154")</f>
        <v>501</v>
      </c>
      <c r="B1288" s="398" t="s">
        <v>472</v>
      </c>
      <c r="C1288" s="400" t="str">
        <f t="array" ref="C1288">INDIRECT("Tableau!$Q$154")</f>
        <v/>
      </c>
      <c r="D1288" s="400" t="str">
        <f t="shared" si="8"/>
        <v>IN</v>
      </c>
      <c r="E1288" s="403" t="str">
        <f t="array" ref="E1288">INDIRECT("Tableau!$R$154")</f>
        <v/>
      </c>
    </row>
    <row r="1289">
      <c r="A1289" s="402">
        <f t="array" ref="A1289">INDIRECT("Tableau!$A$155")</f>
        <v>502</v>
      </c>
      <c r="B1289" s="398" t="s">
        <v>472</v>
      </c>
      <c r="C1289" s="400" t="str">
        <f t="array" ref="C1289">INDIRECT("Tableau!$Q$155")</f>
        <v>DPS</v>
      </c>
      <c r="D1289" s="400" t="str">
        <f t="shared" si="8"/>
        <v>IN</v>
      </c>
      <c r="E1289" s="403" t="str">
        <f t="array" ref="E1289">INDIRECT("Tableau!$R$155")</f>
        <v/>
      </c>
    </row>
    <row r="1290">
      <c r="A1290" s="397" t="str">
        <f t="array" ref="A1290">INDIRECT("Tableau!$A$156")</f>
        <v/>
      </c>
      <c r="B1290" s="398" t="s">
        <v>472</v>
      </c>
      <c r="C1290" s="400" t="str">
        <f t="array" ref="C1290">INDIRECT("Tableau!$Q$156")</f>
        <v>DPS</v>
      </c>
      <c r="D1290" s="400" t="str">
        <f t="shared" si="8"/>
        <v>IN</v>
      </c>
      <c r="E1290" s="403" t="str">
        <f t="array" ref="E1290">INDIRECT("Tableau!$R$156")</f>
        <v/>
      </c>
    </row>
    <row r="1291">
      <c r="A1291" s="397" t="str">
        <f t="array" ref="A1291">INDIRECT("Tableau!$A$157")</f>
        <v/>
      </c>
      <c r="B1291" s="398" t="s">
        <v>472</v>
      </c>
      <c r="C1291" s="400" t="str">
        <f t="array" ref="C1291">INDIRECT("Tableau!$Q$157")</f>
        <v>DPS</v>
      </c>
      <c r="D1291" s="400" t="str">
        <f t="shared" si="8"/>
        <v>IN</v>
      </c>
      <c r="E1291" s="403" t="str">
        <f t="array" ref="E1291">INDIRECT("Tableau!$R$157")</f>
        <v/>
      </c>
    </row>
    <row r="1292">
      <c r="A1292" s="402">
        <f t="array" ref="A1292">INDIRECT("Tableau!$A$158")</f>
        <v>505</v>
      </c>
      <c r="B1292" s="398" t="s">
        <v>472</v>
      </c>
      <c r="C1292" s="400" t="str">
        <f t="array" ref="C1292">INDIRECT("Tableau!$Q$158")</f>
        <v>DPS</v>
      </c>
      <c r="D1292" s="400" t="str">
        <f t="shared" si="8"/>
        <v>IN</v>
      </c>
      <c r="E1292" s="403" t="str">
        <f t="array" ref="E1292">INDIRECT("Tableau!$R$158")</f>
        <v/>
      </c>
    </row>
    <row r="1293">
      <c r="A1293" s="402">
        <f t="array" ref="A1293">INDIRECT("Tableau!$A$159")</f>
        <v>506</v>
      </c>
      <c r="B1293" s="398" t="s">
        <v>472</v>
      </c>
      <c r="C1293" s="400" t="str">
        <f t="array" ref="C1293">INDIRECT("Tableau!$Q$159")</f>
        <v/>
      </c>
      <c r="D1293" s="400" t="str">
        <f t="shared" si="8"/>
        <v>IN</v>
      </c>
      <c r="E1293" s="403" t="str">
        <f t="array" ref="E1293">INDIRECT("Tableau!$R$159")</f>
        <v/>
      </c>
    </row>
    <row r="1294">
      <c r="A1294" s="402">
        <f t="array" ref="A1294">INDIRECT("Tableau!$A$160")</f>
        <v>507</v>
      </c>
      <c r="B1294" s="398" t="s">
        <v>472</v>
      </c>
      <c r="C1294" s="400" t="str">
        <f t="array" ref="C1294">INDIRECT("Tableau!$Q$160")</f>
        <v>DPS</v>
      </c>
      <c r="D1294" s="400" t="str">
        <f t="shared" si="8"/>
        <v>IN</v>
      </c>
      <c r="E1294" s="403" t="str">
        <f t="array" ref="E1294">INDIRECT("Tableau!$R$160")</f>
        <v/>
      </c>
    </row>
    <row r="1295">
      <c r="A1295" s="402">
        <f t="array" ref="A1295">INDIRECT("Tableau!$A$161")</f>
        <v>508</v>
      </c>
      <c r="B1295" s="398" t="s">
        <v>472</v>
      </c>
      <c r="C1295" s="400" t="str">
        <f t="array" ref="C1295">INDIRECT("Tableau!$Q$161")</f>
        <v/>
      </c>
      <c r="D1295" s="400" t="str">
        <f t="shared" si="8"/>
        <v>IN</v>
      </c>
      <c r="E1295" s="403" t="str">
        <f t="array" ref="E1295">INDIRECT("Tableau!$R$161")</f>
        <v/>
      </c>
    </row>
    <row r="1296">
      <c r="A1296" s="402">
        <f t="array" ref="A1296">INDIRECT("Tableau!$A$162")</f>
        <v>509</v>
      </c>
      <c r="B1296" s="398" t="s">
        <v>472</v>
      </c>
      <c r="C1296" s="400" t="str">
        <f t="array" ref="C1296">INDIRECT("Tableau!$Q$162")</f>
        <v/>
      </c>
      <c r="D1296" s="400" t="str">
        <f t="shared" si="8"/>
        <v>IN</v>
      </c>
      <c r="E1296" s="403" t="str">
        <f t="array" ref="E1296">INDIRECT("Tableau!$R$162")</f>
        <v/>
      </c>
    </row>
    <row r="1297">
      <c r="A1297" s="397">
        <f t="array" ref="A1297">INDIRECT("Tableau!$A$163")</f>
        <v>510</v>
      </c>
      <c r="B1297" s="398" t="s">
        <v>472</v>
      </c>
      <c r="C1297" s="400" t="str">
        <f t="array" ref="C1297">INDIRECT("Tableau!$Q$163")</f>
        <v>DPS</v>
      </c>
      <c r="D1297" s="400" t="str">
        <f t="shared" si="8"/>
        <v>IN</v>
      </c>
      <c r="E1297" s="403" t="str">
        <f t="array" ref="E1297">INDIRECT("Tableau!$R$163")</f>
        <v/>
      </c>
    </row>
    <row r="1298">
      <c r="A1298" s="397" t="str">
        <f t="array" ref="A1298">INDIRECT("Tableau!$A$164")</f>
        <v/>
      </c>
      <c r="B1298" s="398" t="s">
        <v>472</v>
      </c>
      <c r="C1298" s="400" t="str">
        <f t="array" ref="C1298">INDIRECT("Tableau!$Q$164")</f>
        <v/>
      </c>
      <c r="D1298" s="400" t="str">
        <f t="shared" si="8"/>
        <v>IN</v>
      </c>
      <c r="E1298" s="403" t="str">
        <f t="array" ref="E1298">INDIRECT("Tableau!$R$164")</f>
        <v/>
      </c>
    </row>
    <row r="1299">
      <c r="A1299" s="397" t="str">
        <f t="array" ref="A1299">INDIRECT("Tableau!$A$165")</f>
        <v/>
      </c>
      <c r="B1299" s="398" t="s">
        <v>472</v>
      </c>
      <c r="C1299" s="400" t="str">
        <f t="array" ref="C1299">INDIRECT("Tableau!$Q$165")</f>
        <v/>
      </c>
      <c r="D1299" s="400" t="str">
        <f t="shared" si="8"/>
        <v>IN</v>
      </c>
      <c r="E1299" s="403" t="str">
        <f t="array" ref="E1299">INDIRECT("Tableau!$R$165")</f>
        <v/>
      </c>
    </row>
    <row r="1300">
      <c r="A1300" s="402">
        <f t="array" ref="A1300">INDIRECT("Tableau!$A$166")</f>
        <v>527</v>
      </c>
      <c r="B1300" s="398" t="s">
        <v>472</v>
      </c>
      <c r="C1300" s="400" t="str">
        <f t="array" ref="C1300">INDIRECT("Tableau!$Q$166")</f>
        <v/>
      </c>
      <c r="D1300" s="400" t="str">
        <f t="shared" si="8"/>
        <v>IN</v>
      </c>
      <c r="E1300" s="403" t="str">
        <f t="array" ref="E1300">INDIRECT("Tableau!$R$166")</f>
        <v/>
      </c>
    </row>
    <row r="1301">
      <c r="A1301" s="402">
        <f t="array" ref="A1301">INDIRECT("Tableau!$A$167")</f>
        <v>512</v>
      </c>
      <c r="B1301" s="398" t="s">
        <v>472</v>
      </c>
      <c r="C1301" s="400" t="str">
        <f t="array" ref="C1301">INDIRECT("Tableau!$Q$167")</f>
        <v>DPS</v>
      </c>
      <c r="D1301" s="400" t="str">
        <f t="shared" si="8"/>
        <v>IN</v>
      </c>
      <c r="E1301" s="403" t="str">
        <f t="array" ref="E1301">INDIRECT("Tableau!$R$167")</f>
        <v/>
      </c>
    </row>
    <row r="1302">
      <c r="A1302" s="402">
        <f t="array" ref="A1302">INDIRECT("Tableau!$A$168")</f>
        <v>513</v>
      </c>
      <c r="B1302" s="398" t="s">
        <v>472</v>
      </c>
      <c r="C1302" s="400" t="str">
        <f t="array" ref="C1302">INDIRECT("Tableau!$Q$168")</f>
        <v/>
      </c>
      <c r="D1302" s="400" t="str">
        <f t="shared" si="8"/>
        <v>IN</v>
      </c>
      <c r="E1302" s="403" t="str">
        <f t="array" ref="E1302">INDIRECT("Tableau!$R$168")</f>
        <v/>
      </c>
    </row>
    <row r="1303">
      <c r="A1303" s="402">
        <f t="array" ref="A1303">INDIRECT("Tableau!$A$169")</f>
        <v>514</v>
      </c>
      <c r="B1303" s="398" t="s">
        <v>472</v>
      </c>
      <c r="C1303" s="400" t="str">
        <f t="array" ref="C1303">INDIRECT("Tableau!$Q$169")</f>
        <v/>
      </c>
      <c r="D1303" s="400" t="str">
        <f t="shared" si="8"/>
        <v>IN</v>
      </c>
      <c r="E1303" s="403" t="str">
        <f t="array" ref="E1303">INDIRECT("Tableau!$R$169")</f>
        <v/>
      </c>
    </row>
    <row r="1304">
      <c r="A1304" s="402">
        <f t="array" ref="A1304">INDIRECT("Tableau!$A$170")</f>
        <v>515</v>
      </c>
      <c r="B1304" s="398" t="s">
        <v>472</v>
      </c>
      <c r="C1304" s="400" t="str">
        <f t="array" ref="C1304">INDIRECT("Tableau!$Q$170")</f>
        <v/>
      </c>
      <c r="D1304" s="400" t="str">
        <f t="shared" si="8"/>
        <v>IN</v>
      </c>
      <c r="E1304" s="403" t="str">
        <f t="array" ref="E1304">INDIRECT("Tableau!$R$170")</f>
        <v/>
      </c>
    </row>
    <row r="1305">
      <c r="A1305" s="402">
        <f t="array" ref="A1305">INDIRECT("Tableau!$A$171")</f>
        <v>517</v>
      </c>
      <c r="B1305" s="398" t="s">
        <v>472</v>
      </c>
      <c r="C1305" s="400" t="str">
        <f t="array" ref="C1305">INDIRECT("Tableau!$Q$171")</f>
        <v/>
      </c>
      <c r="D1305" s="400" t="str">
        <f t="shared" si="8"/>
        <v>IN</v>
      </c>
      <c r="E1305" s="403" t="str">
        <f t="array" ref="E1305">INDIRECT("Tableau!$R$171")</f>
        <v/>
      </c>
    </row>
    <row r="1306">
      <c r="A1306" s="402">
        <f t="array" ref="A1306">INDIRECT("Tableau!$A$172")</f>
        <v>518</v>
      </c>
      <c r="B1306" s="398" t="s">
        <v>472</v>
      </c>
      <c r="C1306" s="400" t="str">
        <f t="array" ref="C1306">INDIRECT("Tableau!$Q$172")</f>
        <v/>
      </c>
      <c r="D1306" s="400" t="str">
        <f t="shared" si="8"/>
        <v>IN</v>
      </c>
      <c r="E1306" s="403" t="str">
        <f t="array" ref="E1306">INDIRECT("Tableau!$R$172")</f>
        <v/>
      </c>
    </row>
    <row r="1307">
      <c r="A1307" s="397" t="str">
        <f t="array" ref="A1307">INDIRECT("Tableau!$A$173")</f>
        <v/>
      </c>
      <c r="B1307" s="398" t="s">
        <v>472</v>
      </c>
      <c r="C1307" s="400" t="str">
        <f t="array" ref="C1307">INDIRECT("Tableau!$Q$173")</f>
        <v/>
      </c>
      <c r="D1307" s="400" t="str">
        <f t="shared" si="8"/>
        <v>IN</v>
      </c>
      <c r="E1307" s="403" t="str">
        <f t="array" ref="E1307">INDIRECT("Tableau!$R$173")</f>
        <v/>
      </c>
    </row>
    <row r="1308">
      <c r="A1308" s="402">
        <f t="array" ref="A1308">INDIRECT("Tableau!$A$174")</f>
        <v>520</v>
      </c>
      <c r="B1308" s="398" t="s">
        <v>472</v>
      </c>
      <c r="C1308" s="400" t="str">
        <f t="array" ref="C1308">INDIRECT("Tableau!$Q$174")</f>
        <v/>
      </c>
      <c r="D1308" s="400" t="str">
        <f t="shared" si="8"/>
        <v>IN</v>
      </c>
      <c r="E1308" s="403" t="str">
        <f t="array" ref="E1308">INDIRECT("Tableau!$R$174")</f>
        <v/>
      </c>
    </row>
    <row r="1309">
      <c r="A1309" s="402">
        <f t="array" ref="A1309">INDIRECT("Tableau!$A$175")</f>
        <v>521</v>
      </c>
      <c r="B1309" s="398" t="s">
        <v>472</v>
      </c>
      <c r="C1309" s="400" t="str">
        <f t="array" ref="C1309">INDIRECT("Tableau!$Q$175")</f>
        <v/>
      </c>
      <c r="D1309" s="400" t="str">
        <f t="shared" si="8"/>
        <v>IN</v>
      </c>
      <c r="E1309" s="403" t="str">
        <f t="array" ref="E1309">INDIRECT("Tableau!$R$175")</f>
        <v/>
      </c>
    </row>
    <row r="1310">
      <c r="A1310" s="402">
        <f t="array" ref="A1310">INDIRECT("Tableau!$A$176")</f>
        <v>525</v>
      </c>
      <c r="B1310" s="398" t="s">
        <v>472</v>
      </c>
      <c r="C1310" s="400" t="str">
        <f t="array" ref="C1310">INDIRECT("Tableau!$Q$176")</f>
        <v/>
      </c>
      <c r="D1310" s="400" t="str">
        <f t="shared" si="8"/>
        <v>IN</v>
      </c>
      <c r="E1310" s="403" t="str">
        <f t="array" ref="E1310">INDIRECT("Tableau!$R$176")</f>
        <v/>
      </c>
    </row>
    <row r="1311">
      <c r="A1311" s="402">
        <f t="array" ref="A1311">INDIRECT("Tableau!$A$177")</f>
        <v>530</v>
      </c>
      <c r="B1311" s="398" t="s">
        <v>472</v>
      </c>
      <c r="C1311" s="400" t="str">
        <f t="array" ref="C1311">INDIRECT("Tableau!$Q$177")</f>
        <v>DPS</v>
      </c>
      <c r="D1311" s="400" t="str">
        <f t="shared" si="8"/>
        <v>IN</v>
      </c>
      <c r="E1311" s="403" t="str">
        <f t="array" ref="E1311">INDIRECT("Tableau!$R$177")</f>
        <v/>
      </c>
    </row>
    <row r="1312">
      <c r="A1312" s="397" t="str">
        <f t="array" ref="A1312">INDIRECT("Tableau!$A$178")</f>
        <v/>
      </c>
      <c r="B1312" s="398" t="s">
        <v>472</v>
      </c>
      <c r="C1312" s="400" t="str">
        <f t="array" ref="C1312">INDIRECT("Tableau!$Q$178")</f>
        <v/>
      </c>
      <c r="D1312" s="400" t="str">
        <f t="shared" si="8"/>
        <v>IN</v>
      </c>
      <c r="E1312" s="403" t="str">
        <f t="array" ref="E1312">INDIRECT("Tableau!$R$178")</f>
        <v/>
      </c>
    </row>
    <row r="1313">
      <c r="A1313" s="397" t="str">
        <f t="array" ref="A1313">INDIRECT("Tableau!$A$179")</f>
        <v/>
      </c>
      <c r="B1313" s="398" t="s">
        <v>472</v>
      </c>
      <c r="C1313" s="400" t="str">
        <f t="array" ref="C1313">INDIRECT("Tableau!$Q$179")</f>
        <v/>
      </c>
      <c r="D1313" s="400" t="str">
        <f t="shared" si="8"/>
        <v>IN</v>
      </c>
      <c r="E1313" s="403" t="str">
        <f t="array" ref="E1313">INDIRECT("Tableau!$R$179")</f>
        <v/>
      </c>
    </row>
    <row r="1314">
      <c r="A1314" s="397" t="str">
        <f t="array" ref="A1314">INDIRECT("Tableau!$A$180")</f>
        <v/>
      </c>
      <c r="B1314" s="398" t="s">
        <v>472</v>
      </c>
      <c r="C1314" s="400" t="str">
        <f t="array" ref="C1314">INDIRECT("Tableau!$Q$180")</f>
        <v/>
      </c>
      <c r="D1314" s="400" t="str">
        <f t="shared" si="8"/>
        <v>IN</v>
      </c>
      <c r="E1314" s="403" t="str">
        <f t="array" ref="E1314">INDIRECT("Tableau!$R$180")</f>
        <v/>
      </c>
    </row>
    <row r="1315">
      <c r="A1315" s="397" t="str">
        <f t="array" ref="A1315">INDIRECT("Tableau!$A$181")</f>
        <v/>
      </c>
      <c r="B1315" s="398" t="s">
        <v>472</v>
      </c>
      <c r="C1315" s="400" t="str">
        <f t="array" ref="C1315">INDIRECT("Tableau!$Q$181")</f>
        <v/>
      </c>
      <c r="D1315" s="400" t="str">
        <f t="shared" si="8"/>
        <v>IN</v>
      </c>
      <c r="E1315" s="403" t="str">
        <f t="array" ref="E1315">INDIRECT("Tableau!$R$181")</f>
        <v/>
      </c>
    </row>
    <row r="1316">
      <c r="A1316" s="397" t="str">
        <f t="array" ref="A1316">INDIRECT("Tableau!$A$182")</f>
        <v/>
      </c>
      <c r="B1316" s="398" t="s">
        <v>472</v>
      </c>
      <c r="C1316" s="400" t="str">
        <f t="array" ref="C1316">INDIRECT("Tableau!$Q$182")</f>
        <v/>
      </c>
      <c r="D1316" s="400" t="str">
        <f t="shared" si="8"/>
        <v>IN</v>
      </c>
      <c r="E1316" s="403" t="str">
        <f t="array" ref="E1316">INDIRECT("Tableau!$R$182")</f>
        <v/>
      </c>
    </row>
    <row r="1317">
      <c r="A1317" s="397" t="str">
        <f t="array" ref="A1317">INDIRECT("Tableau!$A$183")</f>
        <v/>
      </c>
      <c r="B1317" s="398" t="s">
        <v>472</v>
      </c>
      <c r="C1317" s="400" t="str">
        <f t="array" ref="C1317">INDIRECT("Tableau!$Q$183")</f>
        <v/>
      </c>
      <c r="D1317" s="400" t="str">
        <f t="shared" si="8"/>
        <v>IN</v>
      </c>
      <c r="E1317" s="403" t="str">
        <f t="array" ref="E1317">INDIRECT("Tableau!$R$183")</f>
        <v/>
      </c>
    </row>
    <row r="1318">
      <c r="A1318" s="397" t="str">
        <f t="array" ref="A1318">INDIRECT("Tableau!$A$184")</f>
        <v/>
      </c>
      <c r="B1318" s="398" t="s">
        <v>472</v>
      </c>
      <c r="C1318" s="400" t="str">
        <f t="array" ref="C1318">INDIRECT("Tableau!$Q$184")</f>
        <v/>
      </c>
      <c r="D1318" s="400" t="str">
        <f t="shared" si="8"/>
        <v>IN</v>
      </c>
      <c r="E1318" s="403" t="str">
        <f t="array" ref="E1318">INDIRECT("Tableau!$R$184")</f>
        <v/>
      </c>
    </row>
    <row r="1319">
      <c r="A1319" s="397" t="str">
        <f t="array" ref="A1319">INDIRECT("Tableau!$A$185")</f>
        <v/>
      </c>
      <c r="B1319" s="398" t="s">
        <v>472</v>
      </c>
      <c r="C1319" s="400" t="str">
        <f t="array" ref="C1319">INDIRECT("Tableau!$Q$185")</f>
        <v/>
      </c>
      <c r="D1319" s="400" t="str">
        <f t="shared" si="8"/>
        <v>IN</v>
      </c>
      <c r="E1319" s="403" t="str">
        <f t="array" ref="E1319">INDIRECT("Tableau!$R$185")</f>
        <v/>
      </c>
    </row>
    <row r="1320">
      <c r="A1320" s="397" t="str">
        <f t="array" ref="A1320">INDIRECT("Tableau!$A$186")</f>
        <v/>
      </c>
      <c r="B1320" s="398" t="s">
        <v>472</v>
      </c>
      <c r="C1320" s="400" t="str">
        <f t="array" ref="C1320">INDIRECT("Tableau!$Q$186")</f>
        <v/>
      </c>
      <c r="D1320" s="400" t="str">
        <f t="shared" si="8"/>
        <v>IN</v>
      </c>
      <c r="E1320" s="403" t="str">
        <f t="array" ref="E1320">INDIRECT("Tableau!$R$186")</f>
        <v/>
      </c>
    </row>
    <row r="1321">
      <c r="A1321" s="397" t="str">
        <f t="array" ref="A1321">INDIRECT("Tableau!$A$187")</f>
        <v/>
      </c>
      <c r="B1321" s="398" t="s">
        <v>472</v>
      </c>
      <c r="C1321" s="400" t="str">
        <f t="array" ref="C1321">INDIRECT("Tableau!$Q$187")</f>
        <v/>
      </c>
      <c r="D1321" s="400" t="str">
        <f t="shared" si="8"/>
        <v>IN</v>
      </c>
      <c r="E1321" s="403" t="str">
        <f t="array" ref="E1321">INDIRECT("Tableau!$R$187")</f>
        <v/>
      </c>
    </row>
    <row r="1322">
      <c r="A1322" s="397" t="str">
        <f t="array" ref="A1322">INDIRECT("Tableau!$A$188")</f>
        <v/>
      </c>
      <c r="B1322" s="398" t="s">
        <v>472</v>
      </c>
      <c r="C1322" s="400" t="str">
        <f t="array" ref="C1322">INDIRECT("Tableau!$Q$188")</f>
        <v/>
      </c>
      <c r="D1322" s="400" t="str">
        <f t="shared" si="8"/>
        <v>IN</v>
      </c>
      <c r="E1322" s="403" t="str">
        <f t="array" ref="E1322">INDIRECT("Tableau!$R$188")</f>
        <v/>
      </c>
    </row>
    <row r="1323">
      <c r="A1323" s="397" t="str">
        <f t="array" ref="A1323">INDIRECT("Tableau!$A$189")</f>
        <v/>
      </c>
      <c r="B1323" s="398" t="s">
        <v>472</v>
      </c>
      <c r="C1323" s="400" t="str">
        <f t="array" ref="C1323">INDIRECT("Tableau!$Q$189")</f>
        <v/>
      </c>
      <c r="D1323" s="400" t="str">
        <f t="shared" si="8"/>
        <v>IN</v>
      </c>
      <c r="E1323" s="403" t="str">
        <f t="array" ref="E1323">INDIRECT("Tableau!$R$189")</f>
        <v/>
      </c>
    </row>
    <row r="1324">
      <c r="A1324" s="397" t="str">
        <f t="array" ref="A1324">INDIRECT("Tableau!$A$190")</f>
        <v/>
      </c>
      <c r="B1324" s="398" t="s">
        <v>472</v>
      </c>
      <c r="C1324" s="400" t="str">
        <f t="array" ref="C1324">INDIRECT("Tableau!$Q$190")</f>
        <v/>
      </c>
      <c r="D1324" s="400" t="str">
        <f t="shared" si="8"/>
        <v>IN</v>
      </c>
      <c r="E1324" s="403" t="str">
        <f t="array" ref="E1324">INDIRECT("Tableau!$R$190")</f>
        <v/>
      </c>
    </row>
    <row r="1325">
      <c r="A1325" s="397" t="str">
        <f t="array" ref="A1325">INDIRECT("Tableau!$A$2")</f>
        <v/>
      </c>
      <c r="B1325" s="398" t="s">
        <v>472</v>
      </c>
      <c r="C1325" s="400" t="str">
        <f t="array" ref="C1325">INDIRECT("Tableau!$S$2")</f>
        <v/>
      </c>
      <c r="D1325" s="400" t="str">
        <f t="shared" ref="D1325:D1513" si="9">INDIRECT("Tableau!$T$1")</f>
        <v>OUT</v>
      </c>
      <c r="E1325" s="403" t="str">
        <f t="array" ref="E1325">INDIRECT("Tableau!$T$2")</f>
        <v/>
      </c>
    </row>
    <row r="1326">
      <c r="A1326" s="402">
        <f t="array" ref="A1326">INDIRECT("Tableau!$A$3")</f>
        <v>102</v>
      </c>
      <c r="B1326" s="398" t="s">
        <v>472</v>
      </c>
      <c r="C1326" s="400" t="str">
        <f t="array" ref="C1326">INDIRECT("Tableau!$S$3")</f>
        <v>DEMA</v>
      </c>
      <c r="D1326" s="400" t="str">
        <f t="shared" si="9"/>
        <v>OUT</v>
      </c>
      <c r="E1326" s="403" t="str">
        <f t="array" ref="E1326">INDIRECT("Tableau!$T$3")</f>
        <v/>
      </c>
    </row>
    <row r="1327">
      <c r="A1327" s="397" t="str">
        <f t="array" ref="A1327">INDIRECT("Tableau!$A$4")</f>
        <v/>
      </c>
      <c r="B1327" s="398" t="s">
        <v>472</v>
      </c>
      <c r="C1327" s="400" t="str">
        <f t="array" ref="C1327">INDIRECT("Tableau!$S$4")</f>
        <v/>
      </c>
      <c r="D1327" s="400" t="str">
        <f t="shared" si="9"/>
        <v>OUT</v>
      </c>
      <c r="E1327" s="403" t="str">
        <f t="array" ref="E1327">INDIRECT("Tableau!$T$4")</f>
        <v/>
      </c>
    </row>
    <row r="1328">
      <c r="A1328" s="402">
        <f t="array" ref="A1328">INDIRECT("Tableau!$A$5")</f>
        <v>104</v>
      </c>
      <c r="B1328" s="398" t="s">
        <v>472</v>
      </c>
      <c r="C1328" s="400" t="str">
        <f t="array" ref="C1328">INDIRECT("Tableau!$S$5")</f>
        <v/>
      </c>
      <c r="D1328" s="400" t="str">
        <f t="shared" si="9"/>
        <v>OUT</v>
      </c>
      <c r="E1328" s="403" t="str">
        <f t="array" ref="E1328">INDIRECT("Tableau!$T$5")</f>
        <v/>
      </c>
    </row>
    <row r="1329">
      <c r="A1329" s="402">
        <f t="array" ref="A1329">INDIRECT("Tableau!$A$6")</f>
        <v>105</v>
      </c>
      <c r="B1329" s="398" t="s">
        <v>472</v>
      </c>
      <c r="C1329" s="400" t="str">
        <f t="array" ref="C1329">INDIRECT("Tableau!$S$6")</f>
        <v/>
      </c>
      <c r="D1329" s="400" t="str">
        <f t="shared" si="9"/>
        <v>OUT</v>
      </c>
      <c r="E1329" s="403" t="str">
        <f t="array" ref="E1329">INDIRECT("Tableau!$T$6")</f>
        <v/>
      </c>
    </row>
    <row r="1330">
      <c r="A1330" s="402">
        <f t="array" ref="A1330">INDIRECT("Tableau!$A$7")</f>
        <v>106</v>
      </c>
      <c r="B1330" s="398" t="s">
        <v>472</v>
      </c>
      <c r="C1330" s="400" t="str">
        <f t="array" ref="C1330">INDIRECT("Tableau!$S$7")</f>
        <v/>
      </c>
      <c r="D1330" s="400" t="str">
        <f t="shared" si="9"/>
        <v>OUT</v>
      </c>
      <c r="E1330" s="403" t="str">
        <f t="array" ref="E1330">INDIRECT("Tableau!$T$7")</f>
        <v/>
      </c>
    </row>
    <row r="1331">
      <c r="A1331" s="402">
        <f t="array" ref="A1331">INDIRECT("Tableau!$A$8")</f>
        <v>107</v>
      </c>
      <c r="B1331" s="398" t="s">
        <v>472</v>
      </c>
      <c r="C1331" s="400" t="str">
        <f t="array" ref="C1331">INDIRECT("Tableau!$S$8")</f>
        <v/>
      </c>
      <c r="D1331" s="400" t="str">
        <f t="shared" si="9"/>
        <v>OUT</v>
      </c>
      <c r="E1331" s="403" t="str">
        <f t="array" ref="E1331">INDIRECT("Tableau!$T$8")</f>
        <v/>
      </c>
    </row>
    <row r="1332">
      <c r="A1332" s="397">
        <f t="array" ref="A1332">INDIRECT("Tableau!$A$9")</f>
        <v>108</v>
      </c>
      <c r="B1332" s="398" t="s">
        <v>472</v>
      </c>
      <c r="C1332" s="400" t="str">
        <f t="array" ref="C1332">INDIRECT("Tableau!$S$9")</f>
        <v/>
      </c>
      <c r="D1332" s="400" t="str">
        <f t="shared" si="9"/>
        <v>OUT</v>
      </c>
      <c r="E1332" s="403" t="str">
        <f t="array" ref="E1332">INDIRECT("Tableau!$T$9")</f>
        <v/>
      </c>
    </row>
    <row r="1333">
      <c r="A1333" s="402">
        <f t="array" ref="A1333">INDIRECT("Tableau!$A$10")</f>
        <v>109</v>
      </c>
      <c r="B1333" s="398" t="s">
        <v>472</v>
      </c>
      <c r="C1333" s="400" t="str">
        <f t="array" ref="C1333">INDIRECT("Tableau!$S$10")</f>
        <v/>
      </c>
      <c r="D1333" s="400" t="str">
        <f t="shared" si="9"/>
        <v>OUT</v>
      </c>
      <c r="E1333" s="403" t="str">
        <f t="array" ref="E1333">INDIRECT("Tableau!$T$10")</f>
        <v/>
      </c>
    </row>
    <row r="1334">
      <c r="A1334" s="402">
        <f t="array" ref="A1334">INDIRECT("Tableau!$A$11")</f>
        <v>110</v>
      </c>
      <c r="B1334" s="398" t="s">
        <v>472</v>
      </c>
      <c r="C1334" s="400" t="str">
        <f t="array" ref="C1334">INDIRECT("Tableau!$S$11")</f>
        <v/>
      </c>
      <c r="D1334" s="400" t="str">
        <f t="shared" si="9"/>
        <v>OUT</v>
      </c>
      <c r="E1334" s="403" t="str">
        <f t="array" ref="E1334">INDIRECT("Tableau!$T$11")</f>
        <v/>
      </c>
    </row>
    <row r="1335">
      <c r="A1335" s="402">
        <f t="array" ref="A1335">INDIRECT("Tableau!$A$12")</f>
        <v>111</v>
      </c>
      <c r="B1335" s="398" t="s">
        <v>472</v>
      </c>
      <c r="C1335" s="400" t="str">
        <f t="array" ref="C1335">INDIRECT("Tableau!$S$12")</f>
        <v/>
      </c>
      <c r="D1335" s="400" t="str">
        <f t="shared" si="9"/>
        <v>OUT</v>
      </c>
      <c r="E1335" s="403" t="str">
        <f t="array" ref="E1335">INDIRECT("Tableau!$T$12")</f>
        <v/>
      </c>
    </row>
    <row r="1336">
      <c r="A1336" s="402">
        <f t="array" ref="A1336">INDIRECT("Tableau!$A$13")</f>
        <v>112</v>
      </c>
      <c r="B1336" s="398" t="s">
        <v>472</v>
      </c>
      <c r="C1336" s="400" t="str">
        <f t="array" ref="C1336">INDIRECT("Tableau!$S$13")</f>
        <v/>
      </c>
      <c r="D1336" s="400" t="str">
        <f t="shared" si="9"/>
        <v>OUT</v>
      </c>
      <c r="E1336" s="403" t="str">
        <f t="array" ref="E1336">INDIRECT("Tableau!$T$13")</f>
        <v/>
      </c>
    </row>
    <row r="1337">
      <c r="A1337" s="402">
        <f t="array" ref="A1337">INDIRECT("Tableau!$A$14")</f>
        <v>113</v>
      </c>
      <c r="B1337" s="398" t="s">
        <v>472</v>
      </c>
      <c r="C1337" s="400" t="str">
        <f t="array" ref="C1337">INDIRECT("Tableau!$S$14")</f>
        <v/>
      </c>
      <c r="D1337" s="400" t="str">
        <f t="shared" si="9"/>
        <v>OUT</v>
      </c>
      <c r="E1337" s="403" t="str">
        <f t="array" ref="E1337">INDIRECT("Tableau!$T$14")</f>
        <v/>
      </c>
    </row>
    <row r="1338">
      <c r="A1338" s="397">
        <f t="array" ref="A1338">INDIRECT("Tableau!$A$15")</f>
        <v>114</v>
      </c>
      <c r="B1338" s="398" t="s">
        <v>472</v>
      </c>
      <c r="C1338" s="400" t="str">
        <f t="array" ref="C1338">INDIRECT("Tableau!$S$15")</f>
        <v/>
      </c>
      <c r="D1338" s="400" t="str">
        <f t="shared" si="9"/>
        <v>OUT</v>
      </c>
      <c r="E1338" s="403" t="str">
        <f t="array" ref="E1338">INDIRECT("Tableau!$T$15")</f>
        <v/>
      </c>
    </row>
    <row r="1339">
      <c r="A1339" s="397" t="str">
        <f t="array" ref="A1339">INDIRECT("Tableau!$A$16")</f>
        <v/>
      </c>
      <c r="B1339" s="398" t="s">
        <v>472</v>
      </c>
      <c r="C1339" s="400" t="str">
        <f t="array" ref="C1339">INDIRECT("Tableau!$S$16")</f>
        <v/>
      </c>
      <c r="D1339" s="400" t="str">
        <f t="shared" si="9"/>
        <v>OUT</v>
      </c>
      <c r="E1339" s="403" t="str">
        <f t="array" ref="E1339">INDIRECT("Tableau!$T$16")</f>
        <v/>
      </c>
    </row>
    <row r="1340">
      <c r="A1340" s="397" t="str">
        <f t="array" ref="A1340">INDIRECT("Tableau!$A$17")</f>
        <v/>
      </c>
      <c r="B1340" s="398" t="s">
        <v>472</v>
      </c>
      <c r="C1340" s="400" t="str">
        <f t="array" ref="C1340">INDIRECT("Tableau!$S$17")</f>
        <v/>
      </c>
      <c r="D1340" s="400" t="str">
        <f t="shared" si="9"/>
        <v>OUT</v>
      </c>
      <c r="E1340" s="403" t="str">
        <f t="array" ref="E1340">INDIRECT("Tableau!$T$17")</f>
        <v/>
      </c>
    </row>
    <row r="1341">
      <c r="A1341" s="397" t="str">
        <f t="array" ref="A1341">INDIRECT("Tableau!$A$18")</f>
        <v/>
      </c>
      <c r="B1341" s="398" t="s">
        <v>472</v>
      </c>
      <c r="C1341" s="400" t="str">
        <f t="array" ref="C1341">INDIRECT("Tableau!$S$18")</f>
        <v/>
      </c>
      <c r="D1341" s="400" t="str">
        <f t="shared" si="9"/>
        <v>OUT</v>
      </c>
      <c r="E1341" s="403" t="str">
        <f t="array" ref="E1341">INDIRECT("Tableau!$T$18")</f>
        <v/>
      </c>
    </row>
    <row r="1342">
      <c r="A1342" s="397" t="str">
        <f t="array" ref="A1342">INDIRECT("Tableau!$A$19")</f>
        <v/>
      </c>
      <c r="B1342" s="398" t="s">
        <v>472</v>
      </c>
      <c r="C1342" s="400" t="str">
        <f t="array" ref="C1342">INDIRECT("Tableau!$S$19")</f>
        <v/>
      </c>
      <c r="D1342" s="400" t="str">
        <f t="shared" si="9"/>
        <v>OUT</v>
      </c>
      <c r="E1342" s="403" t="str">
        <f t="array" ref="E1342">INDIRECT("Tableau!$T$19")</f>
        <v/>
      </c>
    </row>
    <row r="1343">
      <c r="A1343" s="397" t="str">
        <f t="array" ref="A1343">INDIRECT("Tableau!$A$20")</f>
        <v/>
      </c>
      <c r="B1343" s="398" t="s">
        <v>472</v>
      </c>
      <c r="C1343" s="400" t="str">
        <f t="array" ref="C1343">INDIRECT("Tableau!$S$20")</f>
        <v/>
      </c>
      <c r="D1343" s="400" t="str">
        <f t="shared" si="9"/>
        <v>OUT</v>
      </c>
      <c r="E1343" s="403" t="str">
        <f t="array" ref="E1343">INDIRECT("Tableau!$T$20")</f>
        <v/>
      </c>
    </row>
    <row r="1344">
      <c r="A1344" s="397" t="str">
        <f t="array" ref="A1344">INDIRECT("Tableau!$A$21")</f>
        <v/>
      </c>
      <c r="B1344" s="398" t="s">
        <v>472</v>
      </c>
      <c r="C1344" s="400" t="str">
        <f t="array" ref="C1344">INDIRECT("Tableau!$S$21")</f>
        <v/>
      </c>
      <c r="D1344" s="400" t="str">
        <f t="shared" si="9"/>
        <v>OUT</v>
      </c>
      <c r="E1344" s="403" t="str">
        <f t="array" ref="E1344">INDIRECT("Tableau!$T$21")</f>
        <v/>
      </c>
    </row>
    <row r="1345">
      <c r="A1345" s="397" t="str">
        <f t="array" ref="A1345">INDIRECT("Tableau!$A$22")</f>
        <v/>
      </c>
      <c r="B1345" s="398" t="s">
        <v>472</v>
      </c>
      <c r="C1345" s="400" t="str">
        <f t="array" ref="C1345">INDIRECT("Tableau!$S$22")</f>
        <v/>
      </c>
      <c r="D1345" s="400" t="str">
        <f t="shared" si="9"/>
        <v>OUT</v>
      </c>
      <c r="E1345" s="403" t="str">
        <f t="array" ref="E1345">INDIRECT("Tableau!$T$22")</f>
        <v/>
      </c>
    </row>
    <row r="1346">
      <c r="A1346" s="397" t="str">
        <f t="array" ref="A1346">INDIRECT("Tableau!$A$23")</f>
        <v/>
      </c>
      <c r="B1346" s="398" t="s">
        <v>472</v>
      </c>
      <c r="C1346" s="400" t="str">
        <f t="array" ref="C1346">INDIRECT("Tableau!$S$23")</f>
        <v/>
      </c>
      <c r="D1346" s="400" t="str">
        <f t="shared" si="9"/>
        <v>OUT</v>
      </c>
      <c r="E1346" s="403" t="str">
        <f t="array" ref="E1346">INDIRECT("Tableau!$T$23")</f>
        <v/>
      </c>
    </row>
    <row r="1347">
      <c r="A1347" s="397" t="str">
        <f t="array" ref="A1347">INDIRECT("Tableau!$A$24")</f>
        <v/>
      </c>
      <c r="B1347" s="398" t="s">
        <v>472</v>
      </c>
      <c r="C1347" s="400" t="str">
        <f t="array" ref="C1347">INDIRECT("Tableau!$S$24")</f>
        <v/>
      </c>
      <c r="D1347" s="400" t="str">
        <f t="shared" si="9"/>
        <v>OUT</v>
      </c>
      <c r="E1347" s="403" t="str">
        <f t="array" ref="E1347">INDIRECT("Tableau!$T$24")</f>
        <v/>
      </c>
    </row>
    <row r="1348">
      <c r="A1348" s="397" t="str">
        <f t="array" ref="A1348">INDIRECT("Tableau!$A$25")</f>
        <v/>
      </c>
      <c r="B1348" s="398" t="s">
        <v>472</v>
      </c>
      <c r="C1348" s="400" t="str">
        <f t="array" ref="C1348">INDIRECT("Tableau!$S$25")</f>
        <v/>
      </c>
      <c r="D1348" s="400" t="str">
        <f t="shared" si="9"/>
        <v>OUT</v>
      </c>
      <c r="E1348" s="403" t="str">
        <f t="array" ref="E1348">INDIRECT("Tableau!$T$25")</f>
        <v/>
      </c>
    </row>
    <row r="1349">
      <c r="A1349" s="402">
        <f t="array" ref="A1349">INDIRECT("Tableau!$A$26")</f>
        <v>201</v>
      </c>
      <c r="B1349" s="398" t="s">
        <v>472</v>
      </c>
      <c r="C1349" s="400" t="str">
        <f t="array" ref="C1349">INDIRECT("Tableau!$S$26")</f>
        <v/>
      </c>
      <c r="D1349" s="400" t="str">
        <f t="shared" si="9"/>
        <v>OUT</v>
      </c>
      <c r="E1349" s="403" t="str">
        <f t="array" ref="E1349">INDIRECT("Tableau!$T$26")</f>
        <v/>
      </c>
    </row>
    <row r="1350">
      <c r="A1350" s="402">
        <f t="array" ref="A1350">INDIRECT("Tableau!$A$27")</f>
        <v>202</v>
      </c>
      <c r="B1350" s="398" t="s">
        <v>472</v>
      </c>
      <c r="C1350" s="400" t="str">
        <f t="array" ref="C1350">INDIRECT("Tableau!$S$27")</f>
        <v/>
      </c>
      <c r="D1350" s="400" t="str">
        <f t="shared" si="9"/>
        <v>OUT</v>
      </c>
      <c r="E1350" s="403" t="str">
        <f t="array" ref="E1350">INDIRECT("Tableau!$T$27")</f>
        <v/>
      </c>
    </row>
    <row r="1351">
      <c r="A1351" s="402">
        <f t="array" ref="A1351">INDIRECT("Tableau!$A$28")</f>
        <v>203</v>
      </c>
      <c r="B1351" s="398" t="s">
        <v>472</v>
      </c>
      <c r="C1351" s="400" t="str">
        <f t="array" ref="C1351">INDIRECT("Tableau!$S$28")</f>
        <v/>
      </c>
      <c r="D1351" s="400" t="str">
        <f t="shared" si="9"/>
        <v>OUT</v>
      </c>
      <c r="E1351" s="403" t="str">
        <f t="array" ref="E1351">INDIRECT("Tableau!$T$28")</f>
        <v/>
      </c>
    </row>
    <row r="1352">
      <c r="A1352" s="402">
        <f t="array" ref="A1352">INDIRECT("Tableau!$A$29")</f>
        <v>204</v>
      </c>
      <c r="B1352" s="398" t="s">
        <v>472</v>
      </c>
      <c r="C1352" s="400" t="str">
        <f t="array" ref="C1352">INDIRECT("Tableau!$S$29")</f>
        <v/>
      </c>
      <c r="D1352" s="400" t="str">
        <f t="shared" si="9"/>
        <v>OUT</v>
      </c>
      <c r="E1352" s="403" t="str">
        <f t="array" ref="E1352">INDIRECT("Tableau!$T$29")</f>
        <v/>
      </c>
    </row>
    <row r="1353">
      <c r="A1353" s="402">
        <f t="array" ref="A1353">INDIRECT("Tableau!$A$30")</f>
        <v>205</v>
      </c>
      <c r="B1353" s="398" t="s">
        <v>472</v>
      </c>
      <c r="C1353" s="400" t="str">
        <f t="array" ref="C1353">INDIRECT("Tableau!$S$30")</f>
        <v/>
      </c>
      <c r="D1353" s="400" t="str">
        <f t="shared" si="9"/>
        <v>OUT</v>
      </c>
      <c r="E1353" s="403" t="str">
        <f t="array" ref="E1353">INDIRECT("Tableau!$T$30")</f>
        <v/>
      </c>
    </row>
    <row r="1354">
      <c r="A1354" s="402">
        <f t="array" ref="A1354">INDIRECT("Tableau!$A$31")</f>
        <v>206</v>
      </c>
      <c r="B1354" s="398" t="s">
        <v>472</v>
      </c>
      <c r="C1354" s="400" t="str">
        <f t="array" ref="C1354">INDIRECT("Tableau!$S$31")</f>
        <v/>
      </c>
      <c r="D1354" s="400" t="str">
        <f t="shared" si="9"/>
        <v>OUT</v>
      </c>
      <c r="E1354" s="403" t="str">
        <f t="array" ref="E1354">INDIRECT("Tableau!$T$31")</f>
        <v/>
      </c>
    </row>
    <row r="1355">
      <c r="A1355" s="402">
        <f t="array" ref="A1355">INDIRECT("Tableau!$A$32")</f>
        <v>207</v>
      </c>
      <c r="B1355" s="398" t="s">
        <v>472</v>
      </c>
      <c r="C1355" s="400" t="str">
        <f t="array" ref="C1355">INDIRECT("Tableau!$S$32")</f>
        <v/>
      </c>
      <c r="D1355" s="400" t="str">
        <f t="shared" si="9"/>
        <v>OUT</v>
      </c>
      <c r="E1355" s="403" t="str">
        <f t="array" ref="E1355">INDIRECT("Tableau!$T$32")</f>
        <v/>
      </c>
    </row>
    <row r="1356">
      <c r="A1356" s="402">
        <f t="array" ref="A1356">INDIRECT("Tableau!$A$33")</f>
        <v>208</v>
      </c>
      <c r="B1356" s="398" t="s">
        <v>472</v>
      </c>
      <c r="C1356" s="400" t="str">
        <f t="array" ref="C1356">INDIRECT("Tableau!$S$33")</f>
        <v/>
      </c>
      <c r="D1356" s="400" t="str">
        <f t="shared" si="9"/>
        <v>OUT</v>
      </c>
      <c r="E1356" s="403" t="str">
        <f t="array" ref="E1356">INDIRECT("Tableau!$T$33")</f>
        <v/>
      </c>
    </row>
    <row r="1357">
      <c r="A1357" s="402">
        <f t="array" ref="A1357">INDIRECT("Tableau!$A$34")</f>
        <v>209</v>
      </c>
      <c r="B1357" s="398" t="s">
        <v>472</v>
      </c>
      <c r="C1357" s="400" t="str">
        <f t="array" ref="C1357">INDIRECT("Tableau!$S$34")</f>
        <v/>
      </c>
      <c r="D1357" s="400" t="str">
        <f t="shared" si="9"/>
        <v>OUT</v>
      </c>
      <c r="E1357" s="403" t="str">
        <f t="array" ref="E1357">INDIRECT("Tableau!$T$34")</f>
        <v/>
      </c>
    </row>
    <row r="1358">
      <c r="A1358" s="402">
        <f t="array" ref="A1358">INDIRECT("Tableau!$A$35")</f>
        <v>210</v>
      </c>
      <c r="B1358" s="398" t="s">
        <v>472</v>
      </c>
      <c r="C1358" s="400" t="str">
        <f t="array" ref="C1358">INDIRECT("Tableau!$S$35")</f>
        <v/>
      </c>
      <c r="D1358" s="400" t="str">
        <f t="shared" si="9"/>
        <v>OUT</v>
      </c>
      <c r="E1358" s="403" t="str">
        <f t="array" ref="E1358">INDIRECT("Tableau!$T$35")</f>
        <v/>
      </c>
    </row>
    <row r="1359">
      <c r="A1359" s="402">
        <f t="array" ref="A1359">INDIRECT("Tableau!$A$36")</f>
        <v>211</v>
      </c>
      <c r="B1359" s="398" t="s">
        <v>472</v>
      </c>
      <c r="C1359" s="400" t="str">
        <f t="array" ref="C1359">INDIRECT("Tableau!$S$36")</f>
        <v/>
      </c>
      <c r="D1359" s="400" t="str">
        <f t="shared" si="9"/>
        <v>OUT</v>
      </c>
      <c r="E1359" s="403" t="str">
        <f t="array" ref="E1359">INDIRECT("Tableau!$T$36")</f>
        <v/>
      </c>
    </row>
    <row r="1360">
      <c r="A1360" s="402">
        <f t="array" ref="A1360">INDIRECT("Tableau!$A$37")</f>
        <v>212</v>
      </c>
      <c r="B1360" s="398" t="s">
        <v>472</v>
      </c>
      <c r="C1360" s="400" t="str">
        <f t="array" ref="C1360">INDIRECT("Tableau!$S$37")</f>
        <v/>
      </c>
      <c r="D1360" s="400" t="str">
        <f t="shared" si="9"/>
        <v>OUT</v>
      </c>
      <c r="E1360" s="403" t="str">
        <f t="array" ref="E1360">INDIRECT("Tableau!$T$37")</f>
        <v/>
      </c>
    </row>
    <row r="1361">
      <c r="A1361" s="402">
        <f t="array" ref="A1361">INDIRECT("Tableau!$A$38")</f>
        <v>213</v>
      </c>
      <c r="B1361" s="398" t="s">
        <v>472</v>
      </c>
      <c r="C1361" s="400" t="str">
        <f t="array" ref="C1361">INDIRECT("Tableau!$S$38")</f>
        <v/>
      </c>
      <c r="D1361" s="400" t="str">
        <f t="shared" si="9"/>
        <v>OUT</v>
      </c>
      <c r="E1361" s="403" t="str">
        <f t="array" ref="E1361">INDIRECT("Tableau!$T$38")</f>
        <v/>
      </c>
    </row>
    <row r="1362">
      <c r="A1362" s="402">
        <f t="array" ref="A1362">INDIRECT("Tableau!$A$39")</f>
        <v>214</v>
      </c>
      <c r="B1362" s="398" t="s">
        <v>472</v>
      </c>
      <c r="C1362" s="400" t="str">
        <f t="array" ref="C1362">INDIRECT("Tableau!$S$39")</f>
        <v/>
      </c>
      <c r="D1362" s="400" t="str">
        <f t="shared" si="9"/>
        <v>OUT</v>
      </c>
      <c r="E1362" s="403" t="str">
        <f t="array" ref="E1362">INDIRECT("Tableau!$T$39")</f>
        <v/>
      </c>
    </row>
    <row r="1363">
      <c r="A1363" s="402">
        <f t="array" ref="A1363">INDIRECT("Tableau!$A$40")</f>
        <v>215</v>
      </c>
      <c r="B1363" s="398" t="s">
        <v>472</v>
      </c>
      <c r="C1363" s="400" t="str">
        <f t="array" ref="C1363">INDIRECT("Tableau!$S$40")</f>
        <v/>
      </c>
      <c r="D1363" s="400" t="str">
        <f t="shared" si="9"/>
        <v>OUT</v>
      </c>
      <c r="E1363" s="403" t="str">
        <f t="array" ref="E1363">INDIRECT("Tableau!$T$40")</f>
        <v/>
      </c>
    </row>
    <row r="1364">
      <c r="A1364" s="402">
        <f t="array" ref="A1364">INDIRECT("Tableau!$A$41")</f>
        <v>216</v>
      </c>
      <c r="B1364" s="398" t="s">
        <v>472</v>
      </c>
      <c r="C1364" s="400" t="str">
        <f t="array" ref="C1364">INDIRECT("Tableau!$S$41")</f>
        <v/>
      </c>
      <c r="D1364" s="400" t="str">
        <f t="shared" si="9"/>
        <v>OUT</v>
      </c>
      <c r="E1364" s="403" t="str">
        <f t="array" ref="E1364">INDIRECT("Tableau!$T$41")</f>
        <v/>
      </c>
    </row>
    <row r="1365">
      <c r="A1365" s="402">
        <f t="array" ref="A1365">INDIRECT("Tableau!$A$42")</f>
        <v>227</v>
      </c>
      <c r="B1365" s="398" t="s">
        <v>472</v>
      </c>
      <c r="C1365" s="400" t="str">
        <f t="array" ref="C1365">INDIRECT("Tableau!$S$42")</f>
        <v/>
      </c>
      <c r="D1365" s="400" t="str">
        <f t="shared" si="9"/>
        <v>OUT</v>
      </c>
      <c r="E1365" s="403" t="str">
        <f t="array" ref="E1365">INDIRECT("Tableau!$T$42")</f>
        <v/>
      </c>
    </row>
    <row r="1366">
      <c r="A1366" s="402">
        <f t="array" ref="A1366">INDIRECT("Tableau!$A$43")</f>
        <v>217</v>
      </c>
      <c r="B1366" s="398" t="s">
        <v>472</v>
      </c>
      <c r="C1366" s="400" t="str">
        <f t="array" ref="C1366">INDIRECT("Tableau!$S$43")</f>
        <v/>
      </c>
      <c r="D1366" s="400" t="str">
        <f t="shared" si="9"/>
        <v>OUT</v>
      </c>
      <c r="E1366" s="403" t="str">
        <f t="array" ref="E1366">INDIRECT("Tableau!$T$43")</f>
        <v/>
      </c>
    </row>
    <row r="1367">
      <c r="A1367" s="402">
        <f t="array" ref="A1367">INDIRECT("Tableau!$A$44")</f>
        <v>218</v>
      </c>
      <c r="B1367" s="398" t="s">
        <v>472</v>
      </c>
      <c r="C1367" s="400" t="str">
        <f t="array" ref="C1367">INDIRECT("Tableau!$S$44")</f>
        <v/>
      </c>
      <c r="D1367" s="400" t="str">
        <f t="shared" si="9"/>
        <v>OUT</v>
      </c>
      <c r="E1367" s="403" t="str">
        <f t="array" ref="E1367">INDIRECT("Tableau!$T$44")</f>
        <v/>
      </c>
    </row>
    <row r="1368">
      <c r="A1368" s="397" t="str">
        <f t="array" ref="A1368">INDIRECT("Tableau!$A$45")</f>
        <v/>
      </c>
      <c r="B1368" s="398" t="s">
        <v>472</v>
      </c>
      <c r="C1368" s="400" t="str">
        <f t="array" ref="C1368">INDIRECT("Tableau!$S$45")</f>
        <v/>
      </c>
      <c r="D1368" s="400" t="str">
        <f t="shared" si="9"/>
        <v>OUT</v>
      </c>
      <c r="E1368" s="403" t="str">
        <f t="array" ref="E1368">INDIRECT("Tableau!$T$45")</f>
        <v/>
      </c>
    </row>
    <row r="1369">
      <c r="A1369" s="402">
        <f t="array" ref="A1369">INDIRECT("Tableau!$A$46")</f>
        <v>220</v>
      </c>
      <c r="B1369" s="398" t="s">
        <v>472</v>
      </c>
      <c r="C1369" s="400" t="str">
        <f t="array" ref="C1369">INDIRECT("Tableau!$S$46")</f>
        <v/>
      </c>
      <c r="D1369" s="400" t="str">
        <f t="shared" si="9"/>
        <v>OUT</v>
      </c>
      <c r="E1369" s="403" t="str">
        <f t="array" ref="E1369">INDIRECT("Tableau!$T$46")</f>
        <v/>
      </c>
    </row>
    <row r="1370">
      <c r="A1370" s="402">
        <f t="array" ref="A1370">INDIRECT("Tableau!$A$47")</f>
        <v>221</v>
      </c>
      <c r="B1370" s="398" t="s">
        <v>472</v>
      </c>
      <c r="C1370" s="400" t="str">
        <f t="array" ref="C1370">INDIRECT("Tableau!$S$47")</f>
        <v/>
      </c>
      <c r="D1370" s="400" t="str">
        <f t="shared" si="9"/>
        <v>OUT</v>
      </c>
      <c r="E1370" s="403" t="str">
        <f t="array" ref="E1370">INDIRECT("Tableau!$T$47")</f>
        <v/>
      </c>
    </row>
    <row r="1371">
      <c r="A1371" s="402">
        <f t="array" ref="A1371">INDIRECT("Tableau!$A$48")</f>
        <v>226</v>
      </c>
      <c r="B1371" s="398" t="s">
        <v>472</v>
      </c>
      <c r="C1371" s="400" t="str">
        <f t="array" ref="C1371">INDIRECT("Tableau!$S$48")</f>
        <v/>
      </c>
      <c r="D1371" s="400" t="str">
        <f t="shared" si="9"/>
        <v>OUT</v>
      </c>
      <c r="E1371" s="403" t="str">
        <f t="array" ref="E1371">INDIRECT("Tableau!$T$48")</f>
        <v/>
      </c>
    </row>
    <row r="1372">
      <c r="A1372" s="402">
        <f t="array" ref="A1372">INDIRECT("Tableau!$A$49")</f>
        <v>222</v>
      </c>
      <c r="B1372" s="398" t="s">
        <v>472</v>
      </c>
      <c r="C1372" s="400" t="str">
        <f t="array" ref="C1372">INDIRECT("Tableau!$S$49")</f>
        <v/>
      </c>
      <c r="D1372" s="400" t="str">
        <f t="shared" si="9"/>
        <v>OUT</v>
      </c>
      <c r="E1372" s="403" t="str">
        <f t="array" ref="E1372">INDIRECT("Tableau!$T$49")</f>
        <v/>
      </c>
    </row>
    <row r="1373">
      <c r="A1373" s="402">
        <f t="array" ref="A1373">INDIRECT("Tableau!$A$50")</f>
        <v>224</v>
      </c>
      <c r="B1373" s="398" t="s">
        <v>472</v>
      </c>
      <c r="C1373" s="400" t="str">
        <f t="array" ref="C1373">INDIRECT("Tableau!$S$50")</f>
        <v/>
      </c>
      <c r="D1373" s="400" t="str">
        <f t="shared" si="9"/>
        <v>OUT</v>
      </c>
      <c r="E1373" s="403" t="str">
        <f t="array" ref="E1373">INDIRECT("Tableau!$T$50")</f>
        <v/>
      </c>
    </row>
    <row r="1374">
      <c r="A1374" s="397">
        <f t="array" ref="A1374">INDIRECT("Tableau!$A$51")</f>
        <v>223</v>
      </c>
      <c r="B1374" s="398" t="s">
        <v>472</v>
      </c>
      <c r="C1374" s="400" t="str">
        <f t="array" ref="C1374">INDIRECT("Tableau!$S$51")</f>
        <v/>
      </c>
      <c r="D1374" s="400" t="str">
        <f t="shared" si="9"/>
        <v>OUT</v>
      </c>
      <c r="E1374" s="403" t="str">
        <f t="array" ref="E1374">INDIRECT("Tableau!$T$51")</f>
        <v/>
      </c>
    </row>
    <row r="1375">
      <c r="A1375" s="402">
        <f t="array" ref="A1375">INDIRECT("Tableau!$A$52")</f>
        <v>225</v>
      </c>
      <c r="B1375" s="398" t="s">
        <v>472</v>
      </c>
      <c r="C1375" s="400" t="str">
        <f t="array" ref="C1375">INDIRECT("Tableau!$S$52")</f>
        <v/>
      </c>
      <c r="D1375" s="400" t="str">
        <f t="shared" si="9"/>
        <v>OUT</v>
      </c>
      <c r="E1375" s="403" t="str">
        <f t="array" ref="E1375">INDIRECT("Tableau!$T$52")</f>
        <v/>
      </c>
    </row>
    <row r="1376">
      <c r="A1376" s="402">
        <f t="array" ref="A1376">INDIRECT("Tableau!$A$53")</f>
        <v>230</v>
      </c>
      <c r="B1376" s="398" t="s">
        <v>472</v>
      </c>
      <c r="C1376" s="400" t="str">
        <f t="array" ref="C1376">INDIRECT("Tableau!$S$53")</f>
        <v>DEMA</v>
      </c>
      <c r="D1376" s="400" t="str">
        <f t="shared" si="9"/>
        <v>OUT</v>
      </c>
      <c r="E1376" s="403" t="str">
        <f t="array" ref="E1376">INDIRECT("Tableau!$T$53")</f>
        <v/>
      </c>
    </row>
    <row r="1377">
      <c r="A1377" s="397">
        <f t="array" ref="A1377">INDIRECT("Tableau!$A$54")</f>
        <v>231</v>
      </c>
      <c r="B1377" s="398" t="s">
        <v>472</v>
      </c>
      <c r="C1377" s="400" t="str">
        <f t="array" ref="C1377">INDIRECT("Tableau!$S$54")</f>
        <v/>
      </c>
      <c r="D1377" s="400" t="str">
        <f t="shared" si="9"/>
        <v>OUT</v>
      </c>
      <c r="E1377" s="403" t="str">
        <f t="array" ref="E1377">INDIRECT("Tableau!$T$54")</f>
        <v/>
      </c>
    </row>
    <row r="1378">
      <c r="A1378" s="397" t="str">
        <f t="array" ref="A1378">INDIRECT("Tableau!$A$55")</f>
        <v/>
      </c>
      <c r="B1378" s="398" t="s">
        <v>472</v>
      </c>
      <c r="C1378" s="400" t="str">
        <f t="array" ref="C1378">INDIRECT("Tableau!$S$55")</f>
        <v/>
      </c>
      <c r="D1378" s="400" t="str">
        <f t="shared" si="9"/>
        <v>OUT</v>
      </c>
      <c r="E1378" s="403" t="str">
        <f t="array" ref="E1378">INDIRECT("Tableau!$T$55")</f>
        <v/>
      </c>
    </row>
    <row r="1379">
      <c r="A1379" s="397" t="str">
        <f t="array" ref="A1379">INDIRECT("Tableau!$A$56")</f>
        <v/>
      </c>
      <c r="B1379" s="398" t="s">
        <v>472</v>
      </c>
      <c r="C1379" s="400" t="str">
        <f t="array" ref="C1379">INDIRECT("Tableau!$S$56")</f>
        <v/>
      </c>
      <c r="D1379" s="400" t="str">
        <f t="shared" si="9"/>
        <v>OUT</v>
      </c>
      <c r="E1379" s="403" t="str">
        <f t="array" ref="E1379">INDIRECT("Tableau!$T$56")</f>
        <v/>
      </c>
    </row>
    <row r="1380">
      <c r="A1380" s="397" t="str">
        <f t="array" ref="A1380">INDIRECT("Tableau!$A$57")</f>
        <v/>
      </c>
      <c r="B1380" s="398" t="s">
        <v>472</v>
      </c>
      <c r="C1380" s="400" t="str">
        <f t="array" ref="C1380">INDIRECT("Tableau!$S$57")</f>
        <v/>
      </c>
      <c r="D1380" s="400" t="str">
        <f t="shared" si="9"/>
        <v>OUT</v>
      </c>
      <c r="E1380" s="403" t="str">
        <f t="array" ref="E1380">INDIRECT("Tableau!$T$57")</f>
        <v/>
      </c>
    </row>
    <row r="1381">
      <c r="A1381" s="397" t="str">
        <f t="array" ref="A1381">INDIRECT("Tableau!$A$58")</f>
        <v/>
      </c>
      <c r="B1381" s="398" t="s">
        <v>472</v>
      </c>
      <c r="C1381" s="400" t="str">
        <f t="array" ref="C1381">INDIRECT("Tableau!$S$58")</f>
        <v/>
      </c>
      <c r="D1381" s="400" t="str">
        <f t="shared" si="9"/>
        <v>OUT</v>
      </c>
      <c r="E1381" s="403" t="str">
        <f t="array" ref="E1381">INDIRECT("Tableau!$T$58")</f>
        <v/>
      </c>
    </row>
    <row r="1382">
      <c r="A1382" s="397" t="str">
        <f t="array" ref="A1382">INDIRECT("Tableau!$A$59")</f>
        <v/>
      </c>
      <c r="B1382" s="398" t="s">
        <v>472</v>
      </c>
      <c r="C1382" s="400" t="str">
        <f t="array" ref="C1382">INDIRECT("Tableau!$S$59")</f>
        <v/>
      </c>
      <c r="D1382" s="400" t="str">
        <f t="shared" si="9"/>
        <v>OUT</v>
      </c>
      <c r="E1382" s="403" t="str">
        <f t="array" ref="E1382">INDIRECT("Tableau!$T$59")</f>
        <v/>
      </c>
    </row>
    <row r="1383">
      <c r="A1383" s="397" t="str">
        <f t="array" ref="A1383">INDIRECT("Tableau!$A$60")</f>
        <v/>
      </c>
      <c r="B1383" s="398" t="s">
        <v>472</v>
      </c>
      <c r="C1383" s="400" t="str">
        <f t="array" ref="C1383">INDIRECT("Tableau!$S$60")</f>
        <v/>
      </c>
      <c r="D1383" s="400" t="str">
        <f t="shared" si="9"/>
        <v>OUT</v>
      </c>
      <c r="E1383" s="403" t="str">
        <f t="array" ref="E1383">INDIRECT("Tableau!$T$60")</f>
        <v/>
      </c>
    </row>
    <row r="1384">
      <c r="A1384" s="397" t="str">
        <f t="array" ref="A1384">INDIRECT("Tableau!$A$61")</f>
        <v/>
      </c>
      <c r="B1384" s="398" t="s">
        <v>472</v>
      </c>
      <c r="C1384" s="400" t="str">
        <f t="array" ref="C1384">INDIRECT("Tableau!$S$61")</f>
        <v/>
      </c>
      <c r="D1384" s="400" t="str">
        <f t="shared" si="9"/>
        <v>OUT</v>
      </c>
      <c r="E1384" s="403" t="str">
        <f t="array" ref="E1384">INDIRECT("Tableau!$T$61")</f>
        <v/>
      </c>
    </row>
    <row r="1385">
      <c r="A1385" s="397" t="str">
        <f t="array" ref="A1385">INDIRECT("Tableau!$A$62")</f>
        <v/>
      </c>
      <c r="B1385" s="398" t="s">
        <v>472</v>
      </c>
      <c r="C1385" s="400" t="str">
        <f t="array" ref="C1385">INDIRECT("Tableau!$S$62")</f>
        <v/>
      </c>
      <c r="D1385" s="400" t="str">
        <f t="shared" si="9"/>
        <v>OUT</v>
      </c>
      <c r="E1385" s="403" t="str">
        <f t="array" ref="E1385">INDIRECT("Tableau!$T$62")</f>
        <v/>
      </c>
    </row>
    <row r="1386">
      <c r="A1386" s="397" t="str">
        <f t="array" ref="A1386">INDIRECT("Tableau!$A$63")</f>
        <v/>
      </c>
      <c r="B1386" s="398" t="s">
        <v>472</v>
      </c>
      <c r="C1386" s="400" t="str">
        <f t="array" ref="C1386">INDIRECT("Tableau!$S$63")</f>
        <v/>
      </c>
      <c r="D1386" s="400" t="str">
        <f t="shared" si="9"/>
        <v>OUT</v>
      </c>
      <c r="E1386" s="403" t="str">
        <f t="array" ref="E1386">INDIRECT("Tableau!$T$63")</f>
        <v/>
      </c>
    </row>
    <row r="1387">
      <c r="A1387" s="397" t="str">
        <f t="array" ref="A1387">INDIRECT("Tableau!$A$64")</f>
        <v/>
      </c>
      <c r="B1387" s="398" t="s">
        <v>472</v>
      </c>
      <c r="C1387" s="400" t="str">
        <f t="array" ref="C1387">INDIRECT("Tableau!$S$64")</f>
        <v/>
      </c>
      <c r="D1387" s="400" t="str">
        <f t="shared" si="9"/>
        <v>OUT</v>
      </c>
      <c r="E1387" s="403" t="str">
        <f t="array" ref="E1387">INDIRECT("Tableau!$T$64")</f>
        <v/>
      </c>
    </row>
    <row r="1388">
      <c r="A1388" s="402">
        <f t="array" ref="A1388">INDIRECT("Tableau!$A$65")</f>
        <v>301</v>
      </c>
      <c r="B1388" s="398" t="s">
        <v>472</v>
      </c>
      <c r="C1388" s="400" t="str">
        <f t="array" ref="C1388">INDIRECT("Tableau!$S$65")</f>
        <v/>
      </c>
      <c r="D1388" s="400" t="str">
        <f t="shared" si="9"/>
        <v>OUT</v>
      </c>
      <c r="E1388" s="403" t="str">
        <f t="array" ref="E1388">INDIRECT("Tableau!$T$65")</f>
        <v/>
      </c>
    </row>
    <row r="1389">
      <c r="A1389" s="397" t="str">
        <f t="array" ref="A1389">INDIRECT("Tableau!$A$66")</f>
        <v/>
      </c>
      <c r="B1389" s="398" t="s">
        <v>472</v>
      </c>
      <c r="C1389" s="400" t="str">
        <f t="array" ref="C1389">INDIRECT("Tableau!$S$66")</f>
        <v/>
      </c>
      <c r="D1389" s="400" t="str">
        <f t="shared" si="9"/>
        <v>OUT</v>
      </c>
      <c r="E1389" s="403" t="str">
        <f t="array" ref="E1389">INDIRECT("Tableau!$T$66")</f>
        <v/>
      </c>
    </row>
    <row r="1390">
      <c r="A1390" s="402">
        <f t="array" ref="A1390">INDIRECT("Tableau!$A$67")</f>
        <v>303</v>
      </c>
      <c r="B1390" s="398" t="s">
        <v>472</v>
      </c>
      <c r="C1390" s="400" t="str">
        <f t="array" ref="C1390">INDIRECT("Tableau!$S$67")</f>
        <v/>
      </c>
      <c r="D1390" s="400" t="str">
        <f t="shared" si="9"/>
        <v>OUT</v>
      </c>
      <c r="E1390" s="403" t="str">
        <f t="array" ref="E1390">INDIRECT("Tableau!$T$67")</f>
        <v/>
      </c>
    </row>
    <row r="1391">
      <c r="A1391" s="402">
        <f t="array" ref="A1391">INDIRECT("Tableau!$A$68")</f>
        <v>304</v>
      </c>
      <c r="B1391" s="398" t="s">
        <v>472</v>
      </c>
      <c r="C1391" s="400" t="str">
        <f t="array" ref="C1391">INDIRECT("Tableau!$S$68")</f>
        <v/>
      </c>
      <c r="D1391" s="400" t="str">
        <f t="shared" si="9"/>
        <v>OUT</v>
      </c>
      <c r="E1391" s="403" t="str">
        <f t="array" ref="E1391">INDIRECT("Tableau!$T$68")</f>
        <v/>
      </c>
    </row>
    <row r="1392">
      <c r="A1392" s="402">
        <f t="array" ref="A1392">INDIRECT("Tableau!$A$69")</f>
        <v>305</v>
      </c>
      <c r="B1392" s="398" t="s">
        <v>472</v>
      </c>
      <c r="C1392" s="400" t="str">
        <f t="array" ref="C1392">INDIRECT("Tableau!$S$69")</f>
        <v/>
      </c>
      <c r="D1392" s="400" t="str">
        <f t="shared" si="9"/>
        <v>OUT</v>
      </c>
      <c r="E1392" s="403" t="str">
        <f t="array" ref="E1392">INDIRECT("Tableau!$T$69")</f>
        <v/>
      </c>
    </row>
    <row r="1393">
      <c r="A1393" s="402">
        <f t="array" ref="A1393">INDIRECT("Tableau!$A$70")</f>
        <v>306</v>
      </c>
      <c r="B1393" s="398" t="s">
        <v>472</v>
      </c>
      <c r="C1393" s="400" t="str">
        <f t="array" ref="C1393">INDIRECT("Tableau!$S$70")</f>
        <v/>
      </c>
      <c r="D1393" s="400" t="str">
        <f t="shared" si="9"/>
        <v>OUT</v>
      </c>
      <c r="E1393" s="403" t="str">
        <f t="array" ref="E1393">INDIRECT("Tableau!$T$70")</f>
        <v/>
      </c>
    </row>
    <row r="1394">
      <c r="A1394" s="402">
        <f t="array" ref="A1394">INDIRECT("Tableau!$A$71")</f>
        <v>307</v>
      </c>
      <c r="B1394" s="398" t="s">
        <v>472</v>
      </c>
      <c r="C1394" s="400" t="str">
        <f t="array" ref="C1394">INDIRECT("Tableau!$S$71")</f>
        <v/>
      </c>
      <c r="D1394" s="400" t="str">
        <f t="shared" si="9"/>
        <v>OUT</v>
      </c>
      <c r="E1394" s="403" t="str">
        <f t="array" ref="E1394">INDIRECT("Tableau!$T$71")</f>
        <v/>
      </c>
    </row>
    <row r="1395">
      <c r="A1395" s="397">
        <f t="array" ref="A1395">INDIRECT("Tableau!$A$72")</f>
        <v>367</v>
      </c>
      <c r="B1395" s="398" t="s">
        <v>472</v>
      </c>
      <c r="C1395" s="400" t="str">
        <f t="array" ref="C1395">INDIRECT("Tableau!$S$72")</f>
        <v/>
      </c>
      <c r="D1395" s="400" t="str">
        <f t="shared" si="9"/>
        <v>OUT</v>
      </c>
      <c r="E1395" s="403" t="str">
        <f t="array" ref="E1395">INDIRECT("Tableau!$T$72")</f>
        <v/>
      </c>
    </row>
    <row r="1396">
      <c r="A1396" s="402">
        <f t="array" ref="A1396">INDIRECT("Tableau!$A$73")</f>
        <v>308</v>
      </c>
      <c r="B1396" s="398" t="s">
        <v>472</v>
      </c>
      <c r="C1396" s="400" t="str">
        <f t="array" ref="C1396">INDIRECT("Tableau!$S$73")</f>
        <v/>
      </c>
      <c r="D1396" s="400" t="str">
        <f t="shared" si="9"/>
        <v>OUT</v>
      </c>
      <c r="E1396" s="403" t="str">
        <f t="array" ref="E1396">INDIRECT("Tableau!$T$73")</f>
        <v/>
      </c>
    </row>
    <row r="1397">
      <c r="A1397" s="397">
        <f t="array" ref="A1397">INDIRECT("Tableau!$A$74")</f>
        <v>319</v>
      </c>
      <c r="B1397" s="398" t="s">
        <v>472</v>
      </c>
      <c r="C1397" s="400" t="str">
        <f t="array" ref="C1397">INDIRECT("Tableau!$S$74")</f>
        <v/>
      </c>
      <c r="D1397" s="400" t="str">
        <f t="shared" si="9"/>
        <v>OUT</v>
      </c>
      <c r="E1397" s="403" t="str">
        <f t="array" ref="E1397">INDIRECT("Tableau!$T$74")</f>
        <v/>
      </c>
    </row>
    <row r="1398">
      <c r="A1398" s="402">
        <f t="array" ref="A1398">INDIRECT("Tableau!$A$75")</f>
        <v>309</v>
      </c>
      <c r="B1398" s="398" t="s">
        <v>472</v>
      </c>
      <c r="C1398" s="400" t="str">
        <f t="array" ref="C1398">INDIRECT("Tableau!$S$75")</f>
        <v/>
      </c>
      <c r="D1398" s="400" t="str">
        <f t="shared" si="9"/>
        <v>OUT</v>
      </c>
      <c r="E1398" s="403" t="str">
        <f t="array" ref="E1398">INDIRECT("Tableau!$T$75")</f>
        <v/>
      </c>
    </row>
    <row r="1399">
      <c r="A1399" s="402">
        <f t="array" ref="A1399">INDIRECT("Tableau!$A$76")</f>
        <v>310</v>
      </c>
      <c r="B1399" s="398" t="s">
        <v>472</v>
      </c>
      <c r="C1399" s="400" t="str">
        <f t="array" ref="C1399">INDIRECT("Tableau!$S$76")</f>
        <v/>
      </c>
      <c r="D1399" s="400" t="str">
        <f t="shared" si="9"/>
        <v>OUT</v>
      </c>
      <c r="E1399" s="403" t="str">
        <f t="array" ref="E1399">INDIRECT("Tableau!$T$76")</f>
        <v/>
      </c>
    </row>
    <row r="1400">
      <c r="A1400" s="402">
        <f t="array" ref="A1400">INDIRECT("Tableau!$A$77")</f>
        <v>311</v>
      </c>
      <c r="B1400" s="398" t="s">
        <v>472</v>
      </c>
      <c r="C1400" s="400" t="str">
        <f t="array" ref="C1400">INDIRECT("Tableau!$S$77")</f>
        <v/>
      </c>
      <c r="D1400" s="400" t="str">
        <f t="shared" si="9"/>
        <v>OUT</v>
      </c>
      <c r="E1400" s="403" t="str">
        <f t="array" ref="E1400">INDIRECT("Tableau!$T$77")</f>
        <v/>
      </c>
    </row>
    <row r="1401">
      <c r="A1401" s="402">
        <f t="array" ref="A1401">INDIRECT("Tableau!$A$78")</f>
        <v>312</v>
      </c>
      <c r="B1401" s="398" t="s">
        <v>472</v>
      </c>
      <c r="C1401" s="400" t="str">
        <f t="array" ref="C1401">INDIRECT("Tableau!$S$78")</f>
        <v/>
      </c>
      <c r="D1401" s="400" t="str">
        <f t="shared" si="9"/>
        <v>OUT</v>
      </c>
      <c r="E1401" s="403" t="str">
        <f t="array" ref="E1401">INDIRECT("Tableau!$T$78")</f>
        <v/>
      </c>
    </row>
    <row r="1402">
      <c r="A1402" s="402">
        <f t="array" ref="A1402">INDIRECT("Tableau!$A$79")</f>
        <v>313</v>
      </c>
      <c r="B1402" s="398" t="s">
        <v>472</v>
      </c>
      <c r="C1402" s="400" t="str">
        <f t="array" ref="C1402">INDIRECT("Tableau!$S$79")</f>
        <v/>
      </c>
      <c r="D1402" s="400" t="str">
        <f t="shared" si="9"/>
        <v>OUT</v>
      </c>
      <c r="E1402" s="403" t="str">
        <f t="array" ref="E1402">INDIRECT("Tableau!$T$79")</f>
        <v/>
      </c>
    </row>
    <row r="1403">
      <c r="A1403" s="402">
        <f t="array" ref="A1403">INDIRECT("Tableau!$A$80")</f>
        <v>314</v>
      </c>
      <c r="B1403" s="398" t="s">
        <v>472</v>
      </c>
      <c r="C1403" s="400" t="str">
        <f t="array" ref="C1403">INDIRECT("Tableau!$S$80")</f>
        <v/>
      </c>
      <c r="D1403" s="400" t="str">
        <f t="shared" si="9"/>
        <v>OUT</v>
      </c>
      <c r="E1403" s="403" t="str">
        <f t="array" ref="E1403">INDIRECT("Tableau!$T$80")</f>
        <v/>
      </c>
    </row>
    <row r="1404">
      <c r="A1404" s="402">
        <f t="array" ref="A1404">INDIRECT("Tableau!$A$81")</f>
        <v>315</v>
      </c>
      <c r="B1404" s="398" t="s">
        <v>472</v>
      </c>
      <c r="C1404" s="400" t="str">
        <f t="array" ref="C1404">INDIRECT("Tableau!$S$81")</f>
        <v/>
      </c>
      <c r="D1404" s="400" t="str">
        <f t="shared" si="9"/>
        <v>OUT</v>
      </c>
      <c r="E1404" s="403" t="str">
        <f t="array" ref="E1404">INDIRECT("Tableau!$T$81")</f>
        <v/>
      </c>
    </row>
    <row r="1405">
      <c r="A1405" s="402">
        <f t="array" ref="A1405">INDIRECT("Tableau!$A$82")</f>
        <v>316</v>
      </c>
      <c r="B1405" s="398" t="s">
        <v>472</v>
      </c>
      <c r="C1405" s="400" t="str">
        <f t="array" ref="C1405">INDIRECT("Tableau!$S$82")</f>
        <v/>
      </c>
      <c r="D1405" s="400" t="str">
        <f t="shared" si="9"/>
        <v>OUT</v>
      </c>
      <c r="E1405" s="403" t="str">
        <f t="array" ref="E1405">INDIRECT("Tableau!$T$82")</f>
        <v/>
      </c>
    </row>
    <row r="1406">
      <c r="A1406" s="402">
        <f t="array" ref="A1406">INDIRECT("Tableau!$A$83")</f>
        <v>317</v>
      </c>
      <c r="B1406" s="398" t="s">
        <v>472</v>
      </c>
      <c r="C1406" s="400" t="str">
        <f t="array" ref="C1406">INDIRECT("Tableau!$S$83")</f>
        <v/>
      </c>
      <c r="D1406" s="400" t="str">
        <f t="shared" si="9"/>
        <v>OUT</v>
      </c>
      <c r="E1406" s="403" t="str">
        <f t="array" ref="E1406">INDIRECT("Tableau!$T$83")</f>
        <v/>
      </c>
    </row>
    <row r="1407">
      <c r="A1407" s="402">
        <f t="array" ref="A1407">INDIRECT("Tableau!$A$84")</f>
        <v>318</v>
      </c>
      <c r="B1407" s="398" t="s">
        <v>472</v>
      </c>
      <c r="C1407" s="400" t="str">
        <f t="array" ref="C1407">INDIRECT("Tableau!$S$84")</f>
        <v/>
      </c>
      <c r="D1407" s="400" t="str">
        <f t="shared" si="9"/>
        <v>OUT</v>
      </c>
      <c r="E1407" s="403" t="str">
        <f t="array" ref="E1407">INDIRECT("Tableau!$T$84")</f>
        <v/>
      </c>
    </row>
    <row r="1408">
      <c r="A1408" s="402">
        <f t="array" ref="A1408">INDIRECT("Tableau!$A$85")</f>
        <v>320</v>
      </c>
      <c r="B1408" s="398" t="s">
        <v>472</v>
      </c>
      <c r="C1408" s="400" t="str">
        <f t="array" ref="C1408">INDIRECT("Tableau!$S$85")</f>
        <v/>
      </c>
      <c r="D1408" s="400" t="str">
        <f t="shared" si="9"/>
        <v>OUT</v>
      </c>
      <c r="E1408" s="403" t="str">
        <f t="array" ref="E1408">INDIRECT("Tableau!$T$85")</f>
        <v/>
      </c>
    </row>
    <row r="1409">
      <c r="A1409" s="402">
        <f t="array" ref="A1409">INDIRECT("Tableau!$A$86")</f>
        <v>321</v>
      </c>
      <c r="B1409" s="398" t="s">
        <v>472</v>
      </c>
      <c r="C1409" s="400" t="str">
        <f t="array" ref="C1409">INDIRECT("Tableau!$S$86")</f>
        <v/>
      </c>
      <c r="D1409" s="400" t="str">
        <f t="shared" si="9"/>
        <v>OUT</v>
      </c>
      <c r="E1409" s="403" t="str">
        <f t="array" ref="E1409">INDIRECT("Tableau!$T$86")</f>
        <v/>
      </c>
    </row>
    <row r="1410">
      <c r="A1410" s="397" t="str">
        <f t="array" ref="A1410">INDIRECT("Tableau!$A$87")</f>
        <v/>
      </c>
      <c r="B1410" s="398" t="s">
        <v>472</v>
      </c>
      <c r="C1410" s="400" t="str">
        <f t="array" ref="C1410">INDIRECT("Tableau!$S$87")</f>
        <v/>
      </c>
      <c r="D1410" s="400" t="str">
        <f t="shared" si="9"/>
        <v>OUT</v>
      </c>
      <c r="E1410" s="403" t="str">
        <f t="array" ref="E1410">INDIRECT("Tableau!$T$87")</f>
        <v/>
      </c>
    </row>
    <row r="1411">
      <c r="A1411" s="402">
        <f t="array" ref="A1411">INDIRECT("Tableau!$A$88")</f>
        <v>323</v>
      </c>
      <c r="B1411" s="398" t="s">
        <v>472</v>
      </c>
      <c r="C1411" s="400" t="str">
        <f t="array" ref="C1411">INDIRECT("Tableau!$S$88")</f>
        <v/>
      </c>
      <c r="D1411" s="400" t="str">
        <f t="shared" si="9"/>
        <v>OUT</v>
      </c>
      <c r="E1411" s="403" t="str">
        <f t="array" ref="E1411">INDIRECT("Tableau!$T$88")</f>
        <v/>
      </c>
    </row>
    <row r="1412">
      <c r="A1412" s="402">
        <f t="array" ref="A1412">INDIRECT("Tableau!$A$89")</f>
        <v>324</v>
      </c>
      <c r="B1412" s="398" t="s">
        <v>472</v>
      </c>
      <c r="C1412" s="400" t="str">
        <f t="array" ref="C1412">INDIRECT("Tableau!$S$89")</f>
        <v/>
      </c>
      <c r="D1412" s="400" t="str">
        <f t="shared" si="9"/>
        <v>OUT</v>
      </c>
      <c r="E1412" s="403" t="str">
        <f t="array" ref="E1412">INDIRECT("Tableau!$T$89")</f>
        <v/>
      </c>
    </row>
    <row r="1413">
      <c r="A1413" s="402">
        <f t="array" ref="A1413">INDIRECT("Tableau!$A$90")</f>
        <v>325</v>
      </c>
      <c r="B1413" s="398" t="s">
        <v>472</v>
      </c>
      <c r="C1413" s="400" t="str">
        <f t="array" ref="C1413">INDIRECT("Tableau!$S$90")</f>
        <v/>
      </c>
      <c r="D1413" s="400" t="str">
        <f t="shared" si="9"/>
        <v>OUT</v>
      </c>
      <c r="E1413" s="403" t="str">
        <f t="array" ref="E1413">INDIRECT("Tableau!$T$90")</f>
        <v/>
      </c>
    </row>
    <row r="1414">
      <c r="A1414" s="402">
        <f t="array" ref="A1414">INDIRECT("Tableau!$A$91")</f>
        <v>326</v>
      </c>
      <c r="B1414" s="398" t="s">
        <v>472</v>
      </c>
      <c r="C1414" s="400" t="str">
        <f t="array" ref="C1414">INDIRECT("Tableau!$S$91")</f>
        <v/>
      </c>
      <c r="D1414" s="400" t="str">
        <f t="shared" si="9"/>
        <v>OUT</v>
      </c>
      <c r="E1414" s="403" t="str">
        <f t="array" ref="E1414">INDIRECT("Tableau!$T$91")</f>
        <v/>
      </c>
    </row>
    <row r="1415">
      <c r="A1415" s="402">
        <f t="array" ref="A1415">INDIRECT("Tableau!$A$92")</f>
        <v>327</v>
      </c>
      <c r="B1415" s="398" t="s">
        <v>472</v>
      </c>
      <c r="C1415" s="400" t="str">
        <f t="array" ref="C1415">INDIRECT("Tableau!$S$92")</f>
        <v/>
      </c>
      <c r="D1415" s="400" t="str">
        <f t="shared" si="9"/>
        <v>OUT</v>
      </c>
      <c r="E1415" s="403" t="str">
        <f t="array" ref="E1415">INDIRECT("Tableau!$T$92")</f>
        <v/>
      </c>
    </row>
    <row r="1416">
      <c r="A1416" s="402">
        <f t="array" ref="A1416">INDIRECT("Tableau!$A$93")</f>
        <v>328</v>
      </c>
      <c r="B1416" s="398" t="s">
        <v>472</v>
      </c>
      <c r="C1416" s="400" t="str">
        <f t="array" ref="C1416">INDIRECT("Tableau!$S$93")</f>
        <v/>
      </c>
      <c r="D1416" s="400" t="str">
        <f t="shared" si="9"/>
        <v>OUT</v>
      </c>
      <c r="E1416" s="403" t="str">
        <f t="array" ref="E1416">INDIRECT("Tableau!$T$93")</f>
        <v/>
      </c>
    </row>
    <row r="1417">
      <c r="A1417" s="402">
        <f t="array" ref="A1417">INDIRECT("Tableau!$A$94")</f>
        <v>329</v>
      </c>
      <c r="B1417" s="398" t="s">
        <v>472</v>
      </c>
      <c r="C1417" s="400" t="str">
        <f t="array" ref="C1417">INDIRECT("Tableau!$S$94")</f>
        <v/>
      </c>
      <c r="D1417" s="400" t="str">
        <f t="shared" si="9"/>
        <v>OUT</v>
      </c>
      <c r="E1417" s="403" t="str">
        <f t="array" ref="E1417">INDIRECT("Tableau!$T$94")</f>
        <v/>
      </c>
    </row>
    <row r="1418">
      <c r="A1418" s="402">
        <f t="array" ref="A1418">INDIRECT("Tableau!$A$95")</f>
        <v>330</v>
      </c>
      <c r="B1418" s="398" t="s">
        <v>472</v>
      </c>
      <c r="C1418" s="400" t="str">
        <f t="array" ref="C1418">INDIRECT("Tableau!$S$95")</f>
        <v/>
      </c>
      <c r="D1418" s="400" t="str">
        <f t="shared" si="9"/>
        <v>OUT</v>
      </c>
      <c r="E1418" s="403" t="str">
        <f t="array" ref="E1418">INDIRECT("Tableau!$T$95")</f>
        <v/>
      </c>
    </row>
    <row r="1419">
      <c r="A1419" s="402">
        <f t="array" ref="A1419">INDIRECT("Tableau!$A$96")</f>
        <v>331</v>
      </c>
      <c r="B1419" s="398" t="s">
        <v>472</v>
      </c>
      <c r="C1419" s="400" t="str">
        <f t="array" ref="C1419">INDIRECT("Tableau!$S$96")</f>
        <v/>
      </c>
      <c r="D1419" s="400" t="str">
        <f t="shared" si="9"/>
        <v>OUT</v>
      </c>
      <c r="E1419" s="403" t="str">
        <f t="array" ref="E1419">INDIRECT("Tableau!$T$96")</f>
        <v/>
      </c>
    </row>
    <row r="1420">
      <c r="A1420" s="402">
        <f t="array" ref="A1420">INDIRECT("Tableau!$A$97")</f>
        <v>332</v>
      </c>
      <c r="B1420" s="398" t="s">
        <v>472</v>
      </c>
      <c r="C1420" s="400" t="str">
        <f t="array" ref="C1420">INDIRECT("Tableau!$S$97")</f>
        <v/>
      </c>
      <c r="D1420" s="400" t="str">
        <f t="shared" si="9"/>
        <v>OUT</v>
      </c>
      <c r="E1420" s="403" t="str">
        <f t="array" ref="E1420">INDIRECT("Tableau!$T$97")</f>
        <v/>
      </c>
    </row>
    <row r="1421">
      <c r="A1421" s="402">
        <f t="array" ref="A1421">INDIRECT("Tableau!$A$98")</f>
        <v>333</v>
      </c>
      <c r="B1421" s="398" t="s">
        <v>472</v>
      </c>
      <c r="C1421" s="400" t="str">
        <f t="array" ref="C1421">INDIRECT("Tableau!$S$98")</f>
        <v>DEMA</v>
      </c>
      <c r="D1421" s="400" t="str">
        <f t="shared" si="9"/>
        <v>OUT</v>
      </c>
      <c r="E1421" s="403" t="str">
        <f t="array" ref="E1421">INDIRECT("Tableau!$T$98")</f>
        <v/>
      </c>
    </row>
    <row r="1422">
      <c r="A1422" s="402">
        <f t="array" ref="A1422">INDIRECT("Tableau!$A$99")</f>
        <v>334</v>
      </c>
      <c r="B1422" s="398" t="s">
        <v>472</v>
      </c>
      <c r="C1422" s="400" t="str">
        <f t="array" ref="C1422">INDIRECT("Tableau!$S$99")</f>
        <v>Bloqué</v>
      </c>
      <c r="D1422" s="400" t="str">
        <f t="shared" si="9"/>
        <v>OUT</v>
      </c>
      <c r="E1422" s="403" t="str">
        <f t="array" ref="E1422">INDIRECT("Tableau!$T$99")</f>
        <v/>
      </c>
    </row>
    <row r="1423">
      <c r="A1423" s="402">
        <f t="array" ref="A1423">INDIRECT("Tableau!$A$100")</f>
        <v>335</v>
      </c>
      <c r="B1423" s="398" t="s">
        <v>472</v>
      </c>
      <c r="C1423" s="400" t="str">
        <f t="array" ref="C1423">INDIRECT("Tableau!$S$100")</f>
        <v/>
      </c>
      <c r="D1423" s="400" t="str">
        <f t="shared" si="9"/>
        <v>OUT</v>
      </c>
      <c r="E1423" s="403" t="str">
        <f t="array" ref="E1423">INDIRECT("Tableau!$T$100")</f>
        <v/>
      </c>
    </row>
    <row r="1424">
      <c r="A1424" s="402">
        <f t="array" ref="A1424">INDIRECT("Tableau!$A$101")</f>
        <v>336</v>
      </c>
      <c r="B1424" s="398" t="s">
        <v>472</v>
      </c>
      <c r="C1424" s="400" t="str">
        <f t="array" ref="C1424">INDIRECT("Tableau!$S$101")</f>
        <v/>
      </c>
      <c r="D1424" s="400" t="str">
        <f t="shared" si="9"/>
        <v>OUT</v>
      </c>
      <c r="E1424" s="403" t="str">
        <f t="array" ref="E1424">INDIRECT("Tableau!$T$101")</f>
        <v/>
      </c>
    </row>
    <row r="1425">
      <c r="A1425" s="402">
        <f t="array" ref="A1425">INDIRECT("Tableau!$A$102")</f>
        <v>337</v>
      </c>
      <c r="B1425" s="398" t="s">
        <v>472</v>
      </c>
      <c r="C1425" s="400" t="str">
        <f t="array" ref="C1425">INDIRECT("Tableau!$S$102")</f>
        <v/>
      </c>
      <c r="D1425" s="400" t="str">
        <f t="shared" si="9"/>
        <v>OUT</v>
      </c>
      <c r="E1425" s="403" t="str">
        <f t="array" ref="E1425">INDIRECT("Tableau!$T$102")</f>
        <v/>
      </c>
    </row>
    <row r="1426">
      <c r="A1426" s="402">
        <f t="array" ref="A1426">INDIRECT("Tableau!$A$103")</f>
        <v>338</v>
      </c>
      <c r="B1426" s="398" t="s">
        <v>472</v>
      </c>
      <c r="C1426" s="400" t="str">
        <f t="array" ref="C1426">INDIRECT("Tableau!$S$103")</f>
        <v/>
      </c>
      <c r="D1426" s="400" t="str">
        <f t="shared" si="9"/>
        <v>OUT</v>
      </c>
      <c r="E1426" s="403" t="str">
        <f t="array" ref="E1426">INDIRECT("Tableau!$T$103")</f>
        <v/>
      </c>
    </row>
    <row r="1427">
      <c r="A1427" s="402">
        <f t="array" ref="A1427">INDIRECT("Tableau!$A$104")</f>
        <v>339</v>
      </c>
      <c r="B1427" s="398" t="s">
        <v>472</v>
      </c>
      <c r="C1427" s="400" t="str">
        <f t="array" ref="C1427">INDIRECT("Tableau!$S$104")</f>
        <v/>
      </c>
      <c r="D1427" s="400" t="str">
        <f t="shared" si="9"/>
        <v>OUT</v>
      </c>
      <c r="E1427" s="403" t="str">
        <f t="array" ref="E1427">INDIRECT("Tableau!$T$104")</f>
        <v/>
      </c>
    </row>
    <row r="1428">
      <c r="A1428" s="402">
        <f t="array" ref="A1428">INDIRECT("Tableau!$A$105")</f>
        <v>340</v>
      </c>
      <c r="B1428" s="398" t="s">
        <v>472</v>
      </c>
      <c r="C1428" s="400" t="str">
        <f t="array" ref="C1428">INDIRECT("Tableau!$S$105")</f>
        <v/>
      </c>
      <c r="D1428" s="400" t="str">
        <f t="shared" si="9"/>
        <v>OUT</v>
      </c>
      <c r="E1428" s="403" t="str">
        <f t="array" ref="E1428">INDIRECT("Tableau!$T$105")</f>
        <v/>
      </c>
    </row>
    <row r="1429">
      <c r="A1429" s="402">
        <f t="array" ref="A1429">INDIRECT("Tableau!$A$106")</f>
        <v>341</v>
      </c>
      <c r="B1429" s="398" t="s">
        <v>472</v>
      </c>
      <c r="C1429" s="400" t="str">
        <f t="array" ref="C1429">INDIRECT("Tableau!$S$106")</f>
        <v/>
      </c>
      <c r="D1429" s="400" t="str">
        <f t="shared" si="9"/>
        <v>OUT</v>
      </c>
      <c r="E1429" s="403" t="str">
        <f t="array" ref="E1429">INDIRECT("Tableau!$T$106")</f>
        <v/>
      </c>
    </row>
    <row r="1430">
      <c r="A1430" s="402">
        <f t="array" ref="A1430">INDIRECT("Tableau!$A$107")</f>
        <v>365</v>
      </c>
      <c r="B1430" s="398" t="s">
        <v>472</v>
      </c>
      <c r="C1430" s="400" t="str">
        <f t="array" ref="C1430">INDIRECT("Tableau!$S$107")</f>
        <v/>
      </c>
      <c r="D1430" s="400" t="str">
        <f t="shared" si="9"/>
        <v>OUT</v>
      </c>
      <c r="E1430" s="403" t="str">
        <f t="array" ref="E1430">INDIRECT("Tableau!$T$107")</f>
        <v/>
      </c>
    </row>
    <row r="1431">
      <c r="A1431" s="402">
        <f t="array" ref="A1431">INDIRECT("Tableau!$A$108")</f>
        <v>342</v>
      </c>
      <c r="B1431" s="398" t="s">
        <v>472</v>
      </c>
      <c r="C1431" s="400" t="str">
        <f t="array" ref="C1431">INDIRECT("Tableau!$S$108")</f>
        <v/>
      </c>
      <c r="D1431" s="400" t="str">
        <f t="shared" si="9"/>
        <v>OUT</v>
      </c>
      <c r="E1431" s="403" t="str">
        <f t="array" ref="E1431">INDIRECT("Tableau!$T$108")</f>
        <v/>
      </c>
    </row>
    <row r="1432">
      <c r="A1432" s="402">
        <f t="array" ref="A1432">INDIRECT("Tableau!$A$109")</f>
        <v>343</v>
      </c>
      <c r="B1432" s="398" t="s">
        <v>472</v>
      </c>
      <c r="C1432" s="400" t="str">
        <f t="array" ref="C1432">INDIRECT("Tableau!$S$109")</f>
        <v/>
      </c>
      <c r="D1432" s="400" t="str">
        <f t="shared" si="9"/>
        <v>OUT</v>
      </c>
      <c r="E1432" s="403" t="str">
        <f t="array" ref="E1432">INDIRECT("Tableau!$T$109")</f>
        <v/>
      </c>
    </row>
    <row r="1433">
      <c r="A1433" s="402">
        <f t="array" ref="A1433">INDIRECT("Tableau!$A$110")</f>
        <v>344</v>
      </c>
      <c r="B1433" s="398" t="s">
        <v>472</v>
      </c>
      <c r="C1433" s="400" t="str">
        <f t="array" ref="C1433">INDIRECT("Tableau!$S$110")</f>
        <v/>
      </c>
      <c r="D1433" s="400" t="str">
        <f t="shared" si="9"/>
        <v>OUT</v>
      </c>
      <c r="E1433" s="403" t="str">
        <f t="array" ref="E1433">INDIRECT("Tableau!$T$110")</f>
        <v/>
      </c>
    </row>
    <row r="1434">
      <c r="A1434" s="402">
        <f t="array" ref="A1434">INDIRECT("Tableau!$A$111")</f>
        <v>363</v>
      </c>
      <c r="B1434" s="398" t="s">
        <v>472</v>
      </c>
      <c r="C1434" s="400" t="str">
        <f t="array" ref="C1434">INDIRECT("Tableau!$S$111")</f>
        <v/>
      </c>
      <c r="D1434" s="400" t="str">
        <f t="shared" si="9"/>
        <v>OUT</v>
      </c>
      <c r="E1434" s="403" t="str">
        <f t="array" ref="E1434">INDIRECT("Tableau!$T$111")</f>
        <v/>
      </c>
    </row>
    <row r="1435">
      <c r="A1435" s="402">
        <f t="array" ref="A1435">INDIRECT("Tableau!$A$112")</f>
        <v>345</v>
      </c>
      <c r="B1435" s="398" t="s">
        <v>472</v>
      </c>
      <c r="C1435" s="400" t="str">
        <f t="array" ref="C1435">INDIRECT("Tableau!$S$112")</f>
        <v/>
      </c>
      <c r="D1435" s="400" t="str">
        <f t="shared" si="9"/>
        <v>OUT</v>
      </c>
      <c r="E1435" s="403" t="str">
        <f t="array" ref="E1435">INDIRECT("Tableau!$T$112")</f>
        <v/>
      </c>
    </row>
    <row r="1436">
      <c r="A1436" s="402">
        <f t="array" ref="A1436">INDIRECT("Tableau!$A$113")</f>
        <v>346</v>
      </c>
      <c r="B1436" s="398" t="s">
        <v>472</v>
      </c>
      <c r="C1436" s="400" t="str">
        <f t="array" ref="C1436">INDIRECT("Tableau!$S$113")</f>
        <v/>
      </c>
      <c r="D1436" s="400" t="str">
        <f t="shared" si="9"/>
        <v>OUT</v>
      </c>
      <c r="E1436" s="403" t="str">
        <f t="array" ref="E1436">INDIRECT("Tableau!$T$113")</f>
        <v/>
      </c>
    </row>
    <row r="1437">
      <c r="A1437" s="402">
        <f t="array" ref="A1437">INDIRECT("Tableau!$A$114")</f>
        <v>359</v>
      </c>
      <c r="B1437" s="398" t="s">
        <v>472</v>
      </c>
      <c r="C1437" s="400" t="str">
        <f t="array" ref="C1437">INDIRECT("Tableau!$S$114")</f>
        <v/>
      </c>
      <c r="D1437" s="400" t="str">
        <f t="shared" si="9"/>
        <v>OUT</v>
      </c>
      <c r="E1437" s="403" t="str">
        <f t="array" ref="E1437">INDIRECT("Tableau!$T$114")</f>
        <v/>
      </c>
    </row>
    <row r="1438">
      <c r="A1438" s="402">
        <f t="array" ref="A1438">INDIRECT("Tableau!$A$115")</f>
        <v>360</v>
      </c>
      <c r="B1438" s="398" t="s">
        <v>472</v>
      </c>
      <c r="C1438" s="400" t="str">
        <f t="array" ref="C1438">INDIRECT("Tableau!$S$115")</f>
        <v/>
      </c>
      <c r="D1438" s="400" t="str">
        <f t="shared" si="9"/>
        <v>OUT</v>
      </c>
      <c r="E1438" s="403" t="str">
        <f t="array" ref="E1438">INDIRECT("Tableau!$T$115")</f>
        <v/>
      </c>
    </row>
    <row r="1439">
      <c r="A1439" s="402">
        <f t="array" ref="A1439">INDIRECT("Tableau!$A$116")</f>
        <v>361</v>
      </c>
      <c r="B1439" s="398" t="s">
        <v>472</v>
      </c>
      <c r="C1439" s="400" t="str">
        <f t="array" ref="C1439">INDIRECT("Tableau!$S$116")</f>
        <v/>
      </c>
      <c r="D1439" s="400" t="str">
        <f t="shared" si="9"/>
        <v>OUT</v>
      </c>
      <c r="E1439" s="403" t="str">
        <f t="array" ref="E1439">INDIRECT("Tableau!$T$116")</f>
        <v/>
      </c>
    </row>
    <row r="1440">
      <c r="A1440" s="397" t="str">
        <f t="array" ref="A1440">INDIRECT("Tableau!$A$117")</f>
        <v/>
      </c>
      <c r="B1440" s="398" t="s">
        <v>472</v>
      </c>
      <c r="C1440" s="400" t="str">
        <f t="array" ref="C1440">INDIRECT("Tableau!$S$117")</f>
        <v/>
      </c>
      <c r="D1440" s="400" t="str">
        <f t="shared" si="9"/>
        <v>OUT</v>
      </c>
      <c r="E1440" s="403" t="str">
        <f t="array" ref="E1440">INDIRECT("Tableau!$T$117")</f>
        <v/>
      </c>
    </row>
    <row r="1441">
      <c r="A1441" s="402">
        <f t="array" ref="A1441">INDIRECT("Tableau!$A$118")</f>
        <v>347</v>
      </c>
      <c r="B1441" s="398" t="s">
        <v>472</v>
      </c>
      <c r="C1441" s="400" t="str">
        <f t="array" ref="C1441">INDIRECT("Tableau!$S$118")</f>
        <v>Carbelle</v>
      </c>
      <c r="D1441" s="400" t="str">
        <f t="shared" si="9"/>
        <v>OUT</v>
      </c>
      <c r="E1441" s="403" t="str">
        <f t="array" ref="E1441">INDIRECT("Tableau!$T$118")</f>
        <v/>
      </c>
    </row>
    <row r="1442">
      <c r="A1442" s="402">
        <f t="array" ref="A1442">INDIRECT("Tableau!$A$119")</f>
        <v>348</v>
      </c>
      <c r="B1442" s="398" t="s">
        <v>472</v>
      </c>
      <c r="C1442" s="400" t="str">
        <f t="array" ref="C1442">INDIRECT("Tableau!$S$119")</f>
        <v/>
      </c>
      <c r="D1442" s="400" t="str">
        <f t="shared" si="9"/>
        <v>OUT</v>
      </c>
      <c r="E1442" s="403" t="str">
        <f t="array" ref="E1442">INDIRECT("Tableau!$T$119")</f>
        <v/>
      </c>
    </row>
    <row r="1443">
      <c r="A1443" s="402">
        <f t="array" ref="A1443">INDIRECT("Tableau!$A$120")</f>
        <v>349</v>
      </c>
      <c r="B1443" s="398" t="s">
        <v>472</v>
      </c>
      <c r="C1443" s="400" t="str">
        <f t="array" ref="C1443">INDIRECT("Tableau!$S$120")</f>
        <v/>
      </c>
      <c r="D1443" s="400" t="str">
        <f t="shared" si="9"/>
        <v>OUT</v>
      </c>
      <c r="E1443" s="403" t="str">
        <f t="array" ref="E1443">INDIRECT("Tableau!$T$120")</f>
        <v/>
      </c>
    </row>
    <row r="1444">
      <c r="A1444" s="402">
        <f t="array" ref="A1444">INDIRECT("Tableau!$A$121")</f>
        <v>350</v>
      </c>
      <c r="B1444" s="398" t="s">
        <v>472</v>
      </c>
      <c r="C1444" s="400" t="str">
        <f t="array" ref="C1444">INDIRECT("Tableau!$S$121")</f>
        <v>DEMA</v>
      </c>
      <c r="D1444" s="400" t="str">
        <f t="shared" si="9"/>
        <v>OUT</v>
      </c>
      <c r="E1444" s="403" t="str">
        <f t="array" ref="E1444">INDIRECT("Tableau!$T$121")</f>
        <v/>
      </c>
    </row>
    <row r="1445">
      <c r="A1445" s="402">
        <f t="array" ref="A1445">INDIRECT("Tableau!$A$122")</f>
        <v>351</v>
      </c>
      <c r="B1445" s="398" t="s">
        <v>472</v>
      </c>
      <c r="C1445" s="400" t="str">
        <f t="array" ref="C1445">INDIRECT("Tableau!$S$122")</f>
        <v>DPS</v>
      </c>
      <c r="D1445" s="400" t="str">
        <f t="shared" si="9"/>
        <v>OUT</v>
      </c>
      <c r="E1445" s="403" t="str">
        <f t="array" ref="E1445">INDIRECT("Tableau!$T$122")</f>
        <v/>
      </c>
    </row>
    <row r="1446">
      <c r="A1446" s="402">
        <f t="array" ref="A1446">INDIRECT("Tableau!$A$123")</f>
        <v>352</v>
      </c>
      <c r="B1446" s="398" t="s">
        <v>472</v>
      </c>
      <c r="C1446" s="400" t="str">
        <f t="array" ref="C1446">INDIRECT("Tableau!$S$123")</f>
        <v/>
      </c>
      <c r="D1446" s="400" t="str">
        <f t="shared" si="9"/>
        <v>OUT</v>
      </c>
      <c r="E1446" s="403" t="str">
        <f t="array" ref="E1446">INDIRECT("Tableau!$T$123")</f>
        <v/>
      </c>
    </row>
    <row r="1447">
      <c r="A1447" s="402">
        <f t="array" ref="A1447">INDIRECT("Tableau!$A$124")</f>
        <v>353</v>
      </c>
      <c r="B1447" s="398" t="s">
        <v>472</v>
      </c>
      <c r="C1447" s="400" t="str">
        <f t="array" ref="C1447">INDIRECT("Tableau!$S$124")</f>
        <v>DEMA</v>
      </c>
      <c r="D1447" s="400" t="str">
        <f t="shared" si="9"/>
        <v>OUT</v>
      </c>
      <c r="E1447" s="403" t="str">
        <f t="array" ref="E1447">INDIRECT("Tableau!$T$124")</f>
        <v/>
      </c>
    </row>
    <row r="1448">
      <c r="A1448" s="397" t="str">
        <f t="array" ref="A1448">INDIRECT("Tableau!$A$125")</f>
        <v/>
      </c>
      <c r="B1448" s="398" t="s">
        <v>472</v>
      </c>
      <c r="C1448" s="400" t="str">
        <f t="array" ref="C1448">INDIRECT("Tableau!$S$125")</f>
        <v/>
      </c>
      <c r="D1448" s="400" t="str">
        <f t="shared" si="9"/>
        <v>OUT</v>
      </c>
      <c r="E1448" s="403" t="str">
        <f t="array" ref="E1448">INDIRECT("Tableau!$T$125")</f>
        <v/>
      </c>
    </row>
    <row r="1449">
      <c r="A1449" s="402">
        <f t="array" ref="A1449">INDIRECT("Tableau!$A$126")</f>
        <v>354</v>
      </c>
      <c r="B1449" s="398" t="s">
        <v>472</v>
      </c>
      <c r="C1449" s="400" t="str">
        <f t="array" ref="C1449">INDIRECT("Tableau!$S$126")</f>
        <v/>
      </c>
      <c r="D1449" s="400" t="str">
        <f t="shared" si="9"/>
        <v>OUT</v>
      </c>
      <c r="E1449" s="403" t="str">
        <f t="array" ref="E1449">INDIRECT("Tableau!$T$126")</f>
        <v/>
      </c>
    </row>
    <row r="1450">
      <c r="A1450" s="402">
        <f t="array" ref="A1450">INDIRECT("Tableau!$A$127")</f>
        <v>355</v>
      </c>
      <c r="B1450" s="398" t="s">
        <v>472</v>
      </c>
      <c r="C1450" s="400" t="str">
        <f t="array" ref="C1450">INDIRECT("Tableau!$S$127")</f>
        <v/>
      </c>
      <c r="D1450" s="400" t="str">
        <f t="shared" si="9"/>
        <v>OUT</v>
      </c>
      <c r="E1450" s="403" t="str">
        <f t="array" ref="E1450">INDIRECT("Tableau!$T$127")</f>
        <v/>
      </c>
    </row>
    <row r="1451">
      <c r="A1451" s="402">
        <f t="array" ref="A1451">INDIRECT("Tableau!$A$128")</f>
        <v>356</v>
      </c>
      <c r="B1451" s="398" t="s">
        <v>472</v>
      </c>
      <c r="C1451" s="400" t="str">
        <f t="array" ref="C1451">INDIRECT("Tableau!$S$128")</f>
        <v/>
      </c>
      <c r="D1451" s="400" t="str">
        <f t="shared" si="9"/>
        <v>OUT</v>
      </c>
      <c r="E1451" s="403" t="str">
        <f t="array" ref="E1451">INDIRECT("Tableau!$T$128")</f>
        <v/>
      </c>
    </row>
    <row r="1452">
      <c r="A1452" s="402">
        <f t="array" ref="A1452">INDIRECT("Tableau!$A$129")</f>
        <v>357</v>
      </c>
      <c r="B1452" s="398" t="s">
        <v>472</v>
      </c>
      <c r="C1452" s="400" t="str">
        <f t="array" ref="C1452">INDIRECT("Tableau!$S$129")</f>
        <v/>
      </c>
      <c r="D1452" s="400" t="str">
        <f t="shared" si="9"/>
        <v>OUT</v>
      </c>
      <c r="E1452" s="403" t="str">
        <f t="array" ref="E1452">INDIRECT("Tableau!$T$129")</f>
        <v/>
      </c>
    </row>
    <row r="1453">
      <c r="A1453" s="397" t="str">
        <f t="array" ref="A1453">INDIRECT("Tableau!$A$130")</f>
        <v/>
      </c>
      <c r="B1453" s="398" t="s">
        <v>472</v>
      </c>
      <c r="C1453" s="400" t="str">
        <f t="array" ref="C1453">INDIRECT("Tableau!$S$130")</f>
        <v/>
      </c>
      <c r="D1453" s="400" t="str">
        <f t="shared" si="9"/>
        <v>OUT</v>
      </c>
      <c r="E1453" s="403" t="str">
        <f t="array" ref="E1453">INDIRECT("Tableau!$T$130")</f>
        <v/>
      </c>
    </row>
    <row r="1454">
      <c r="A1454" s="397" t="str">
        <f t="array" ref="A1454">INDIRECT("Tableau!$A$131")</f>
        <v/>
      </c>
      <c r="B1454" s="398" t="s">
        <v>472</v>
      </c>
      <c r="C1454" s="400" t="str">
        <f t="array" ref="C1454">INDIRECT("Tableau!$S$131")</f>
        <v/>
      </c>
      <c r="D1454" s="400" t="str">
        <f t="shared" si="9"/>
        <v>OUT</v>
      </c>
      <c r="E1454" s="403" t="str">
        <f t="array" ref="E1454">INDIRECT("Tableau!$T$131")</f>
        <v/>
      </c>
    </row>
    <row r="1455">
      <c r="A1455" s="397" t="str">
        <f t="array" ref="A1455">INDIRECT("Tableau!$A$132")</f>
        <v/>
      </c>
      <c r="B1455" s="398" t="s">
        <v>472</v>
      </c>
      <c r="C1455" s="400" t="str">
        <f t="array" ref="C1455">INDIRECT("Tableau!$S$132")</f>
        <v/>
      </c>
      <c r="D1455" s="400" t="str">
        <f t="shared" si="9"/>
        <v>OUT</v>
      </c>
      <c r="E1455" s="403" t="str">
        <f t="array" ref="E1455">INDIRECT("Tableau!$T$132")</f>
        <v/>
      </c>
    </row>
    <row r="1456">
      <c r="A1456" s="397" t="str">
        <f t="array" ref="A1456">INDIRECT("Tableau!$A$133")</f>
        <v/>
      </c>
      <c r="B1456" s="398" t="s">
        <v>472</v>
      </c>
      <c r="C1456" s="400" t="str">
        <f t="array" ref="C1456">INDIRECT("Tableau!$S$133")</f>
        <v/>
      </c>
      <c r="D1456" s="400" t="str">
        <f t="shared" si="9"/>
        <v>OUT</v>
      </c>
      <c r="E1456" s="403" t="str">
        <f t="array" ref="E1456">INDIRECT("Tableau!$T$133")</f>
        <v/>
      </c>
    </row>
    <row r="1457">
      <c r="A1457" s="397" t="str">
        <f t="array" ref="A1457">INDIRECT("Tableau!$A$134")</f>
        <v/>
      </c>
      <c r="B1457" s="398" t="s">
        <v>472</v>
      </c>
      <c r="C1457" s="400" t="str">
        <f t="array" ref="C1457">INDIRECT("Tableau!$S$134")</f>
        <v/>
      </c>
      <c r="D1457" s="400" t="str">
        <f t="shared" si="9"/>
        <v>OUT</v>
      </c>
      <c r="E1457" s="403" t="str">
        <f t="array" ref="E1457">INDIRECT("Tableau!$T$134")</f>
        <v/>
      </c>
    </row>
    <row r="1458">
      <c r="A1458" s="402">
        <f t="array" ref="A1458">INDIRECT("Tableau!$A$135")</f>
        <v>401</v>
      </c>
      <c r="B1458" s="398" t="s">
        <v>472</v>
      </c>
      <c r="C1458" s="400" t="str">
        <f t="array" ref="C1458">INDIRECT("Tableau!$S$135")</f>
        <v/>
      </c>
      <c r="D1458" s="400" t="str">
        <f t="shared" si="9"/>
        <v>OUT</v>
      </c>
      <c r="E1458" s="403" t="str">
        <f t="array" ref="E1458">INDIRECT("Tableau!$T$135")</f>
        <v/>
      </c>
    </row>
    <row r="1459">
      <c r="A1459" s="402">
        <f t="array" ref="A1459">INDIRECT("Tableau!$A$136")</f>
        <v>402</v>
      </c>
      <c r="B1459" s="398" t="s">
        <v>472</v>
      </c>
      <c r="C1459" s="400" t="str">
        <f t="array" ref="C1459">INDIRECT("Tableau!$S$136")</f>
        <v/>
      </c>
      <c r="D1459" s="400" t="str">
        <f t="shared" si="9"/>
        <v>OUT</v>
      </c>
      <c r="E1459" s="403" t="str">
        <f t="array" ref="E1459">INDIRECT("Tableau!$T$136")</f>
        <v/>
      </c>
    </row>
    <row r="1460">
      <c r="A1460" s="402">
        <f t="array" ref="A1460">INDIRECT("Tableau!$A$137")</f>
        <v>403</v>
      </c>
      <c r="B1460" s="398" t="s">
        <v>472</v>
      </c>
      <c r="C1460" s="400" t="str">
        <f t="array" ref="C1460">INDIRECT("Tableau!$S$137")</f>
        <v/>
      </c>
      <c r="D1460" s="400" t="str">
        <f t="shared" si="9"/>
        <v>OUT</v>
      </c>
      <c r="E1460" s="403" t="str">
        <f t="array" ref="E1460">INDIRECT("Tableau!$T$137")</f>
        <v/>
      </c>
    </row>
    <row r="1461">
      <c r="A1461" s="402">
        <f t="array" ref="A1461">INDIRECT("Tableau!$A$138")</f>
        <v>404</v>
      </c>
      <c r="B1461" s="398" t="s">
        <v>472</v>
      </c>
      <c r="C1461" s="400" t="str">
        <f t="array" ref="C1461">INDIRECT("Tableau!$S$138")</f>
        <v>Carbelle</v>
      </c>
      <c r="D1461" s="400" t="str">
        <f t="shared" si="9"/>
        <v>OUT</v>
      </c>
      <c r="E1461" s="403" t="str">
        <f t="array" ref="E1461">INDIRECT("Tableau!$T$138")</f>
        <v/>
      </c>
    </row>
    <row r="1462">
      <c r="A1462" s="402">
        <f t="array" ref="A1462">INDIRECT("Tableau!$A$139")</f>
        <v>405</v>
      </c>
      <c r="B1462" s="398" t="s">
        <v>472</v>
      </c>
      <c r="C1462" s="400" t="str">
        <f t="array" ref="C1462">INDIRECT("Tableau!$S$139")</f>
        <v/>
      </c>
      <c r="D1462" s="400" t="str">
        <f t="shared" si="9"/>
        <v>OUT</v>
      </c>
      <c r="E1462" s="403" t="str">
        <f t="array" ref="E1462">INDIRECT("Tableau!$T$139")</f>
        <v/>
      </c>
    </row>
    <row r="1463">
      <c r="A1463" s="402">
        <f t="array" ref="A1463">INDIRECT("Tableau!$A$140")</f>
        <v>406</v>
      </c>
      <c r="B1463" s="398" t="s">
        <v>472</v>
      </c>
      <c r="C1463" s="400" t="str">
        <f t="array" ref="C1463">INDIRECT("Tableau!$S$140")</f>
        <v/>
      </c>
      <c r="D1463" s="400" t="str">
        <f t="shared" si="9"/>
        <v>OUT</v>
      </c>
      <c r="E1463" s="403" t="str">
        <f t="array" ref="E1463">INDIRECT("Tableau!$T$140")</f>
        <v/>
      </c>
    </row>
    <row r="1464">
      <c r="A1464" s="402">
        <f t="array" ref="A1464">INDIRECT("Tableau!$A$141")</f>
        <v>407</v>
      </c>
      <c r="B1464" s="398" t="s">
        <v>472</v>
      </c>
      <c r="C1464" s="400" t="str">
        <f t="array" ref="C1464">INDIRECT("Tableau!$S$141")</f>
        <v/>
      </c>
      <c r="D1464" s="400" t="str">
        <f t="shared" si="9"/>
        <v>OUT</v>
      </c>
      <c r="E1464" s="403" t="str">
        <f t="array" ref="E1464">INDIRECT("Tableau!$T$141")</f>
        <v/>
      </c>
    </row>
    <row r="1465">
      <c r="A1465" s="402">
        <f t="array" ref="A1465">INDIRECT("Tableau!$A$142")</f>
        <v>408</v>
      </c>
      <c r="B1465" s="398" t="s">
        <v>472</v>
      </c>
      <c r="C1465" s="400" t="str">
        <f t="array" ref="C1465">INDIRECT("Tableau!$S$142")</f>
        <v/>
      </c>
      <c r="D1465" s="400" t="str">
        <f t="shared" si="9"/>
        <v>OUT</v>
      </c>
      <c r="E1465" s="403" t="str">
        <f t="array" ref="E1465">INDIRECT("Tableau!$T$142")</f>
        <v/>
      </c>
    </row>
    <row r="1466">
      <c r="A1466" s="402">
        <f t="array" ref="A1466">INDIRECT("Tableau!$A$143")</f>
        <v>409</v>
      </c>
      <c r="B1466" s="398" t="s">
        <v>472</v>
      </c>
      <c r="C1466" s="400" t="str">
        <f t="array" ref="C1466">INDIRECT("Tableau!$S$143")</f>
        <v/>
      </c>
      <c r="D1466" s="400" t="str">
        <f t="shared" si="9"/>
        <v>OUT</v>
      </c>
      <c r="E1466" s="403" t="str">
        <f t="array" ref="E1466">INDIRECT("Tableau!$T$143")</f>
        <v/>
      </c>
    </row>
    <row r="1467">
      <c r="A1467" s="397">
        <f t="array" ref="A1467">INDIRECT("Tableau!$A$144")</f>
        <v>415</v>
      </c>
      <c r="B1467" s="398" t="s">
        <v>472</v>
      </c>
      <c r="C1467" s="400" t="str">
        <f t="array" ref="C1467">INDIRECT("Tableau!$S$144")</f>
        <v/>
      </c>
      <c r="D1467" s="400" t="str">
        <f t="shared" si="9"/>
        <v>OUT</v>
      </c>
      <c r="E1467" s="403" t="str">
        <f t="array" ref="E1467">INDIRECT("Tableau!$T$144")</f>
        <v/>
      </c>
    </row>
    <row r="1468">
      <c r="A1468" s="397" t="str">
        <f t="array" ref="A1468">INDIRECT("Tableau!$A$145")</f>
        <v/>
      </c>
      <c r="B1468" s="398" t="s">
        <v>472</v>
      </c>
      <c r="C1468" s="400" t="str">
        <f t="array" ref="C1468">INDIRECT("Tableau!$S$145")</f>
        <v/>
      </c>
      <c r="D1468" s="400" t="str">
        <f t="shared" si="9"/>
        <v>OUT</v>
      </c>
      <c r="E1468" s="403" t="str">
        <f t="array" ref="E1468">INDIRECT("Tableau!$T$145")</f>
        <v/>
      </c>
    </row>
    <row r="1469">
      <c r="A1469" s="397" t="str">
        <f t="array" ref="A1469">INDIRECT("Tableau!$A$146")</f>
        <v/>
      </c>
      <c r="B1469" s="398" t="s">
        <v>472</v>
      </c>
      <c r="C1469" s="400" t="str">
        <f t="array" ref="C1469">INDIRECT("Tableau!$S$146")</f>
        <v/>
      </c>
      <c r="D1469" s="400" t="str">
        <f t="shared" si="9"/>
        <v>OUT</v>
      </c>
      <c r="E1469" s="403" t="str">
        <f t="array" ref="E1469">INDIRECT("Tableau!$T$146")</f>
        <v/>
      </c>
    </row>
    <row r="1470">
      <c r="A1470" s="397" t="str">
        <f t="array" ref="A1470">INDIRECT("Tableau!$A$147")</f>
        <v/>
      </c>
      <c r="B1470" s="398" t="s">
        <v>472</v>
      </c>
      <c r="C1470" s="400" t="str">
        <f t="array" ref="C1470">INDIRECT("Tableau!$S$147")</f>
        <v/>
      </c>
      <c r="D1470" s="400" t="str">
        <f t="shared" si="9"/>
        <v>OUT</v>
      </c>
      <c r="E1470" s="403" t="str">
        <f t="array" ref="E1470">INDIRECT("Tableau!$T$147")</f>
        <v/>
      </c>
    </row>
    <row r="1471">
      <c r="A1471" s="397" t="str">
        <f t="array" ref="A1471">INDIRECT("Tableau!$A$148")</f>
        <v/>
      </c>
      <c r="B1471" s="398" t="s">
        <v>472</v>
      </c>
      <c r="C1471" s="400" t="str">
        <f t="array" ref="C1471">INDIRECT("Tableau!$S$148")</f>
        <v/>
      </c>
      <c r="D1471" s="400" t="str">
        <f t="shared" si="9"/>
        <v>OUT</v>
      </c>
      <c r="E1471" s="403" t="str">
        <f t="array" ref="E1471">INDIRECT("Tableau!$T$148")</f>
        <v/>
      </c>
    </row>
    <row r="1472">
      <c r="A1472" s="397" t="str">
        <f t="array" ref="A1472">INDIRECT("Tableau!$A$149")</f>
        <v/>
      </c>
      <c r="B1472" s="398" t="s">
        <v>472</v>
      </c>
      <c r="C1472" s="400" t="str">
        <f t="array" ref="C1472">INDIRECT("Tableau!$S$149")</f>
        <v/>
      </c>
      <c r="D1472" s="400" t="str">
        <f t="shared" si="9"/>
        <v>OUT</v>
      </c>
      <c r="E1472" s="403" t="str">
        <f t="array" ref="E1472">INDIRECT("Tableau!$T$149")</f>
        <v/>
      </c>
    </row>
    <row r="1473">
      <c r="A1473" s="397" t="str">
        <f t="array" ref="A1473">INDIRECT("Tableau!$A$150")</f>
        <v/>
      </c>
      <c r="B1473" s="398" t="s">
        <v>472</v>
      </c>
      <c r="C1473" s="400" t="str">
        <f t="array" ref="C1473">INDIRECT("Tableau!$S$150")</f>
        <v/>
      </c>
      <c r="D1473" s="400" t="str">
        <f t="shared" si="9"/>
        <v>OUT</v>
      </c>
      <c r="E1473" s="403" t="str">
        <f t="array" ref="E1473">INDIRECT("Tableau!$T$150")</f>
        <v/>
      </c>
    </row>
    <row r="1474">
      <c r="A1474" s="397" t="str">
        <f t="array" ref="A1474">INDIRECT("Tableau!$A$151")</f>
        <v/>
      </c>
      <c r="B1474" s="398" t="s">
        <v>472</v>
      </c>
      <c r="C1474" s="400" t="str">
        <f t="array" ref="C1474">INDIRECT("Tableau!$S$151")</f>
        <v/>
      </c>
      <c r="D1474" s="400" t="str">
        <f t="shared" si="9"/>
        <v>OUT</v>
      </c>
      <c r="E1474" s="403" t="str">
        <f t="array" ref="E1474">INDIRECT("Tableau!$T$151")</f>
        <v/>
      </c>
    </row>
    <row r="1475">
      <c r="A1475" s="397" t="str">
        <f t="array" ref="A1475">INDIRECT("Tableau!$A$152")</f>
        <v/>
      </c>
      <c r="B1475" s="398" t="s">
        <v>472</v>
      </c>
      <c r="C1475" s="400" t="str">
        <f t="array" ref="C1475">INDIRECT("Tableau!$S$152")</f>
        <v/>
      </c>
      <c r="D1475" s="400" t="str">
        <f t="shared" si="9"/>
        <v>OUT</v>
      </c>
      <c r="E1475" s="403" t="str">
        <f t="array" ref="E1475">INDIRECT("Tableau!$T$152")</f>
        <v/>
      </c>
    </row>
    <row r="1476">
      <c r="A1476" s="397" t="str">
        <f t="array" ref="A1476">INDIRECT("Tableau!$A$153")</f>
        <v/>
      </c>
      <c r="B1476" s="398" t="s">
        <v>472</v>
      </c>
      <c r="C1476" s="400" t="str">
        <f t="array" ref="C1476">INDIRECT("Tableau!$S$153")</f>
        <v/>
      </c>
      <c r="D1476" s="400" t="str">
        <f t="shared" si="9"/>
        <v>OUT</v>
      </c>
      <c r="E1476" s="403" t="str">
        <f t="array" ref="E1476">INDIRECT("Tableau!$T$153")</f>
        <v/>
      </c>
    </row>
    <row r="1477">
      <c r="A1477" s="402">
        <f t="array" ref="A1477">INDIRECT("Tableau!$A$154")</f>
        <v>501</v>
      </c>
      <c r="B1477" s="398" t="s">
        <v>472</v>
      </c>
      <c r="C1477" s="400" t="str">
        <f t="array" ref="C1477">INDIRECT("Tableau!$S$154")</f>
        <v>DPS</v>
      </c>
      <c r="D1477" s="400" t="str">
        <f t="shared" si="9"/>
        <v>OUT</v>
      </c>
      <c r="E1477" s="403" t="str">
        <f t="array" ref="E1477">INDIRECT("Tableau!$T$154")</f>
        <v/>
      </c>
    </row>
    <row r="1478">
      <c r="A1478" s="402">
        <f t="array" ref="A1478">INDIRECT("Tableau!$A$155")</f>
        <v>502</v>
      </c>
      <c r="B1478" s="398" t="s">
        <v>472</v>
      </c>
      <c r="C1478" s="400" t="str">
        <f t="array" ref="C1478">INDIRECT("Tableau!$S$155")</f>
        <v>Carbelle</v>
      </c>
      <c r="D1478" s="400" t="str">
        <f t="shared" si="9"/>
        <v>OUT</v>
      </c>
      <c r="E1478" s="403" t="str">
        <f t="array" ref="E1478">INDIRECT("Tableau!$T$155")</f>
        <v/>
      </c>
    </row>
    <row r="1479">
      <c r="A1479" s="397" t="str">
        <f t="array" ref="A1479">INDIRECT("Tableau!$A$156")</f>
        <v/>
      </c>
      <c r="B1479" s="398" t="s">
        <v>472</v>
      </c>
      <c r="C1479" s="400" t="str">
        <f t="array" ref="C1479">INDIRECT("Tableau!$S$156")</f>
        <v>Carbelle</v>
      </c>
      <c r="D1479" s="400" t="str">
        <f t="shared" si="9"/>
        <v>OUT</v>
      </c>
      <c r="E1479" s="403" t="str">
        <f t="array" ref="E1479">INDIRECT("Tableau!$T$156")</f>
        <v/>
      </c>
    </row>
    <row r="1480">
      <c r="A1480" s="397" t="str">
        <f t="array" ref="A1480">INDIRECT("Tableau!$A$157")</f>
        <v/>
      </c>
      <c r="B1480" s="398" t="s">
        <v>472</v>
      </c>
      <c r="C1480" s="400" t="str">
        <f t="array" ref="C1480">INDIRECT("Tableau!$S$157")</f>
        <v>Carbelle</v>
      </c>
      <c r="D1480" s="400" t="str">
        <f t="shared" si="9"/>
        <v>OUT</v>
      </c>
      <c r="E1480" s="403" t="str">
        <f t="array" ref="E1480">INDIRECT("Tableau!$T$157")</f>
        <v/>
      </c>
    </row>
    <row r="1481">
      <c r="A1481" s="402">
        <f t="array" ref="A1481">INDIRECT("Tableau!$A$158")</f>
        <v>505</v>
      </c>
      <c r="B1481" s="398" t="s">
        <v>472</v>
      </c>
      <c r="C1481" s="400" t="str">
        <f t="array" ref="C1481">INDIRECT("Tableau!$S$158")</f>
        <v>Carbelle</v>
      </c>
      <c r="D1481" s="400" t="str">
        <f t="shared" si="9"/>
        <v>OUT</v>
      </c>
      <c r="E1481" s="403" t="str">
        <f t="array" ref="E1481">INDIRECT("Tableau!$T$158")</f>
        <v/>
      </c>
    </row>
    <row r="1482">
      <c r="A1482" s="402">
        <f t="array" ref="A1482">INDIRECT("Tableau!$A$159")</f>
        <v>506</v>
      </c>
      <c r="B1482" s="398" t="s">
        <v>472</v>
      </c>
      <c r="C1482" s="400" t="str">
        <f t="array" ref="C1482">INDIRECT("Tableau!$S$159")</f>
        <v>DPS</v>
      </c>
      <c r="D1482" s="400" t="str">
        <f t="shared" si="9"/>
        <v>OUT</v>
      </c>
      <c r="E1482" s="403" t="str">
        <f t="array" ref="E1482">INDIRECT("Tableau!$T$159")</f>
        <v/>
      </c>
    </row>
    <row r="1483">
      <c r="A1483" s="402">
        <f t="array" ref="A1483">INDIRECT("Tableau!$A$160")</f>
        <v>507</v>
      </c>
      <c r="B1483" s="398" t="s">
        <v>472</v>
      </c>
      <c r="C1483" s="400" t="str">
        <f t="array" ref="C1483">INDIRECT("Tableau!$S$160")</f>
        <v/>
      </c>
      <c r="D1483" s="400" t="str">
        <f t="shared" si="9"/>
        <v>OUT</v>
      </c>
      <c r="E1483" s="403" t="str">
        <f t="array" ref="E1483">INDIRECT("Tableau!$T$160")</f>
        <v/>
      </c>
    </row>
    <row r="1484">
      <c r="A1484" s="402">
        <f t="array" ref="A1484">INDIRECT("Tableau!$A$161")</f>
        <v>508</v>
      </c>
      <c r="B1484" s="398" t="s">
        <v>472</v>
      </c>
      <c r="C1484" s="400" t="str">
        <f t="array" ref="C1484">INDIRECT("Tableau!$S$161")</f>
        <v>DPS</v>
      </c>
      <c r="D1484" s="400" t="str">
        <f t="shared" si="9"/>
        <v>OUT</v>
      </c>
      <c r="E1484" s="403" t="str">
        <f t="array" ref="E1484">INDIRECT("Tableau!$T$161")</f>
        <v/>
      </c>
    </row>
    <row r="1485">
      <c r="A1485" s="402">
        <f t="array" ref="A1485">INDIRECT("Tableau!$A$162")</f>
        <v>509</v>
      </c>
      <c r="B1485" s="398" t="s">
        <v>472</v>
      </c>
      <c r="C1485" s="400" t="str">
        <f t="array" ref="C1485">INDIRECT("Tableau!$S$162")</f>
        <v/>
      </c>
      <c r="D1485" s="400" t="str">
        <f t="shared" si="9"/>
        <v>OUT</v>
      </c>
      <c r="E1485" s="403" t="str">
        <f t="array" ref="E1485">INDIRECT("Tableau!$T$162")</f>
        <v/>
      </c>
    </row>
    <row r="1486">
      <c r="A1486" s="397">
        <f t="array" ref="A1486">INDIRECT("Tableau!$A$163")</f>
        <v>510</v>
      </c>
      <c r="B1486" s="398" t="s">
        <v>472</v>
      </c>
      <c r="C1486" s="400" t="str">
        <f t="array" ref="C1486">INDIRECT("Tableau!$S$163")</f>
        <v/>
      </c>
      <c r="D1486" s="400" t="str">
        <f t="shared" si="9"/>
        <v>OUT</v>
      </c>
      <c r="E1486" s="403" t="str">
        <f t="array" ref="E1486">INDIRECT("Tableau!$T$163")</f>
        <v/>
      </c>
    </row>
    <row r="1487">
      <c r="A1487" s="397" t="str">
        <f t="array" ref="A1487">INDIRECT("Tableau!$A$164")</f>
        <v/>
      </c>
      <c r="B1487" s="398" t="s">
        <v>472</v>
      </c>
      <c r="C1487" s="400" t="str">
        <f t="array" ref="C1487">INDIRECT("Tableau!$S$164")</f>
        <v/>
      </c>
      <c r="D1487" s="400" t="str">
        <f t="shared" si="9"/>
        <v>OUT</v>
      </c>
      <c r="E1487" s="403" t="str">
        <f t="array" ref="E1487">INDIRECT("Tableau!$T$164")</f>
        <v/>
      </c>
    </row>
    <row r="1488">
      <c r="A1488" s="397" t="str">
        <f t="array" ref="A1488">INDIRECT("Tableau!$A$165")</f>
        <v/>
      </c>
      <c r="B1488" s="398" t="s">
        <v>472</v>
      </c>
      <c r="C1488" s="400" t="str">
        <f t="array" ref="C1488">INDIRECT("Tableau!$S$165")</f>
        <v/>
      </c>
      <c r="D1488" s="400" t="str">
        <f t="shared" si="9"/>
        <v>OUT</v>
      </c>
      <c r="E1488" s="403" t="str">
        <f t="array" ref="E1488">INDIRECT("Tableau!$T$165")</f>
        <v/>
      </c>
    </row>
    <row r="1489">
      <c r="A1489" s="402">
        <f t="array" ref="A1489">INDIRECT("Tableau!$A$166")</f>
        <v>527</v>
      </c>
      <c r="B1489" s="398" t="s">
        <v>472</v>
      </c>
      <c r="C1489" s="400" t="str">
        <f t="array" ref="C1489">INDIRECT("Tableau!$S$166")</f>
        <v/>
      </c>
      <c r="D1489" s="400" t="str">
        <f t="shared" si="9"/>
        <v>OUT</v>
      </c>
      <c r="E1489" s="403" t="str">
        <f t="array" ref="E1489">INDIRECT("Tableau!$T$166")</f>
        <v/>
      </c>
    </row>
    <row r="1490">
      <c r="A1490" s="402">
        <f t="array" ref="A1490">INDIRECT("Tableau!$A$167")</f>
        <v>512</v>
      </c>
      <c r="B1490" s="398" t="s">
        <v>472</v>
      </c>
      <c r="C1490" s="400" t="str">
        <f t="array" ref="C1490">INDIRECT("Tableau!$S$167")</f>
        <v/>
      </c>
      <c r="D1490" s="400" t="str">
        <f t="shared" si="9"/>
        <v>OUT</v>
      </c>
      <c r="E1490" s="403" t="str">
        <f t="array" ref="E1490">INDIRECT("Tableau!$T$167")</f>
        <v/>
      </c>
    </row>
    <row r="1491">
      <c r="A1491" s="402">
        <f t="array" ref="A1491">INDIRECT("Tableau!$A$168")</f>
        <v>513</v>
      </c>
      <c r="B1491" s="398" t="s">
        <v>472</v>
      </c>
      <c r="C1491" s="400" t="str">
        <f t="array" ref="C1491">INDIRECT("Tableau!$S$168")</f>
        <v/>
      </c>
      <c r="D1491" s="400" t="str">
        <f t="shared" si="9"/>
        <v>OUT</v>
      </c>
      <c r="E1491" s="403" t="str">
        <f t="array" ref="E1491">INDIRECT("Tableau!$T$168")</f>
        <v/>
      </c>
    </row>
    <row r="1492">
      <c r="A1492" s="402">
        <f t="array" ref="A1492">INDIRECT("Tableau!$A$169")</f>
        <v>514</v>
      </c>
      <c r="B1492" s="398" t="s">
        <v>472</v>
      </c>
      <c r="C1492" s="400" t="str">
        <f t="array" ref="C1492">INDIRECT("Tableau!$S$169")</f>
        <v/>
      </c>
      <c r="D1492" s="400" t="str">
        <f t="shared" si="9"/>
        <v>OUT</v>
      </c>
      <c r="E1492" s="403" t="str">
        <f t="array" ref="E1492">INDIRECT("Tableau!$T$169")</f>
        <v/>
      </c>
    </row>
    <row r="1493">
      <c r="A1493" s="402">
        <f t="array" ref="A1493">INDIRECT("Tableau!$A$170")</f>
        <v>515</v>
      </c>
      <c r="B1493" s="398" t="s">
        <v>472</v>
      </c>
      <c r="C1493" s="400" t="str">
        <f t="array" ref="C1493">INDIRECT("Tableau!$S$170")</f>
        <v/>
      </c>
      <c r="D1493" s="400" t="str">
        <f t="shared" si="9"/>
        <v>OUT</v>
      </c>
      <c r="E1493" s="403" t="str">
        <f t="array" ref="E1493">INDIRECT("Tableau!$T$170")</f>
        <v/>
      </c>
    </row>
    <row r="1494">
      <c r="A1494" s="402">
        <f t="array" ref="A1494">INDIRECT("Tableau!$A$171")</f>
        <v>517</v>
      </c>
      <c r="B1494" s="398" t="s">
        <v>472</v>
      </c>
      <c r="C1494" s="400" t="str">
        <f t="array" ref="C1494">INDIRECT("Tableau!$S$171")</f>
        <v/>
      </c>
      <c r="D1494" s="400" t="str">
        <f t="shared" si="9"/>
        <v>OUT</v>
      </c>
      <c r="E1494" s="403" t="str">
        <f t="array" ref="E1494">INDIRECT("Tableau!$T$171")</f>
        <v/>
      </c>
    </row>
    <row r="1495">
      <c r="A1495" s="402">
        <f t="array" ref="A1495">INDIRECT("Tableau!$A$172")</f>
        <v>518</v>
      </c>
      <c r="B1495" s="398" t="s">
        <v>472</v>
      </c>
      <c r="C1495" s="400" t="str">
        <f t="array" ref="C1495">INDIRECT("Tableau!$S$172")</f>
        <v/>
      </c>
      <c r="D1495" s="400" t="str">
        <f t="shared" si="9"/>
        <v>OUT</v>
      </c>
      <c r="E1495" s="403" t="str">
        <f t="array" ref="E1495">INDIRECT("Tableau!$T$172")</f>
        <v/>
      </c>
    </row>
    <row r="1496">
      <c r="A1496" s="397" t="str">
        <f t="array" ref="A1496">INDIRECT("Tableau!$A$173")</f>
        <v/>
      </c>
      <c r="B1496" s="398" t="s">
        <v>472</v>
      </c>
      <c r="C1496" s="400" t="str">
        <f t="array" ref="C1496">INDIRECT("Tableau!$S$173")</f>
        <v/>
      </c>
      <c r="D1496" s="400" t="str">
        <f t="shared" si="9"/>
        <v>OUT</v>
      </c>
      <c r="E1496" s="403" t="str">
        <f t="array" ref="E1496">INDIRECT("Tableau!$T$173")</f>
        <v/>
      </c>
    </row>
    <row r="1497">
      <c r="A1497" s="402">
        <f t="array" ref="A1497">INDIRECT("Tableau!$A$174")</f>
        <v>520</v>
      </c>
      <c r="B1497" s="398" t="s">
        <v>472</v>
      </c>
      <c r="C1497" s="400" t="str">
        <f t="array" ref="C1497">INDIRECT("Tableau!$S$174")</f>
        <v/>
      </c>
      <c r="D1497" s="400" t="str">
        <f t="shared" si="9"/>
        <v>OUT</v>
      </c>
      <c r="E1497" s="403" t="str">
        <f t="array" ref="E1497">INDIRECT("Tableau!$T$174")</f>
        <v/>
      </c>
    </row>
    <row r="1498">
      <c r="A1498" s="402">
        <f t="array" ref="A1498">INDIRECT("Tableau!$A$175")</f>
        <v>521</v>
      </c>
      <c r="B1498" s="398" t="s">
        <v>472</v>
      </c>
      <c r="C1498" s="400" t="str">
        <f t="array" ref="C1498">INDIRECT("Tableau!$S$175")</f>
        <v/>
      </c>
      <c r="D1498" s="400" t="str">
        <f t="shared" si="9"/>
        <v>OUT</v>
      </c>
      <c r="E1498" s="403" t="str">
        <f t="array" ref="E1498">INDIRECT("Tableau!$T$175")</f>
        <v/>
      </c>
    </row>
    <row r="1499">
      <c r="A1499" s="402">
        <f t="array" ref="A1499">INDIRECT("Tableau!$A$176")</f>
        <v>525</v>
      </c>
      <c r="B1499" s="398" t="s">
        <v>472</v>
      </c>
      <c r="C1499" s="400" t="str">
        <f t="array" ref="C1499">INDIRECT("Tableau!$S$176")</f>
        <v>DEMA</v>
      </c>
      <c r="D1499" s="400" t="str">
        <f t="shared" si="9"/>
        <v>OUT</v>
      </c>
      <c r="E1499" s="403" t="str">
        <f t="array" ref="E1499">INDIRECT("Tableau!$T$176")</f>
        <v/>
      </c>
    </row>
    <row r="1500">
      <c r="A1500" s="402">
        <f t="array" ref="A1500">INDIRECT("Tableau!$A$177")</f>
        <v>530</v>
      </c>
      <c r="B1500" s="398" t="s">
        <v>472</v>
      </c>
      <c r="C1500" s="400" t="str">
        <f t="array" ref="C1500">INDIRECT("Tableau!$S$177")</f>
        <v/>
      </c>
      <c r="D1500" s="400" t="str">
        <f t="shared" si="9"/>
        <v>OUT</v>
      </c>
      <c r="E1500" s="403" t="str">
        <f t="array" ref="E1500">INDIRECT("Tableau!$T$177")</f>
        <v/>
      </c>
    </row>
    <row r="1501">
      <c r="A1501" s="397" t="str">
        <f t="array" ref="A1501">INDIRECT("Tableau!$A$178")</f>
        <v/>
      </c>
      <c r="B1501" s="398" t="s">
        <v>472</v>
      </c>
      <c r="C1501" s="400" t="str">
        <f t="array" ref="C1501">INDIRECT("Tableau!$S$178")</f>
        <v/>
      </c>
      <c r="D1501" s="400" t="str">
        <f t="shared" si="9"/>
        <v>OUT</v>
      </c>
      <c r="E1501" s="403" t="str">
        <f t="array" ref="E1501">INDIRECT("Tableau!$T$178")</f>
        <v/>
      </c>
    </row>
    <row r="1502">
      <c r="A1502" s="397" t="str">
        <f t="array" ref="A1502">INDIRECT("Tableau!$A$179")</f>
        <v/>
      </c>
      <c r="B1502" s="398" t="s">
        <v>472</v>
      </c>
      <c r="C1502" s="400" t="str">
        <f t="array" ref="C1502">INDIRECT("Tableau!$S$179")</f>
        <v/>
      </c>
      <c r="D1502" s="400" t="str">
        <f t="shared" si="9"/>
        <v>OUT</v>
      </c>
      <c r="E1502" s="403" t="str">
        <f t="array" ref="E1502">INDIRECT("Tableau!$T$179")</f>
        <v/>
      </c>
    </row>
    <row r="1503">
      <c r="A1503" s="397" t="str">
        <f t="array" ref="A1503">INDIRECT("Tableau!$A$180")</f>
        <v/>
      </c>
      <c r="B1503" s="398" t="s">
        <v>472</v>
      </c>
      <c r="C1503" s="400" t="str">
        <f t="array" ref="C1503">INDIRECT("Tableau!$S$180")</f>
        <v/>
      </c>
      <c r="D1503" s="400" t="str">
        <f t="shared" si="9"/>
        <v>OUT</v>
      </c>
      <c r="E1503" s="403" t="str">
        <f t="array" ref="E1503">INDIRECT("Tableau!$T$180")</f>
        <v/>
      </c>
    </row>
    <row r="1504">
      <c r="A1504" s="397" t="str">
        <f t="array" ref="A1504">INDIRECT("Tableau!$A$181")</f>
        <v/>
      </c>
      <c r="B1504" s="398" t="s">
        <v>472</v>
      </c>
      <c r="C1504" s="400" t="str">
        <f t="array" ref="C1504">INDIRECT("Tableau!$S$181")</f>
        <v/>
      </c>
      <c r="D1504" s="400" t="str">
        <f t="shared" si="9"/>
        <v>OUT</v>
      </c>
      <c r="E1504" s="403" t="str">
        <f t="array" ref="E1504">INDIRECT("Tableau!$T$181")</f>
        <v/>
      </c>
    </row>
    <row r="1505">
      <c r="A1505" s="397" t="str">
        <f t="array" ref="A1505">INDIRECT("Tableau!$A$182")</f>
        <v/>
      </c>
      <c r="B1505" s="398" t="s">
        <v>472</v>
      </c>
      <c r="C1505" s="400" t="str">
        <f t="array" ref="C1505">INDIRECT("Tableau!$S$182")</f>
        <v/>
      </c>
      <c r="D1505" s="400" t="str">
        <f t="shared" si="9"/>
        <v>OUT</v>
      </c>
      <c r="E1505" s="403" t="str">
        <f t="array" ref="E1505">INDIRECT("Tableau!$T$182")</f>
        <v/>
      </c>
    </row>
    <row r="1506">
      <c r="A1506" s="397" t="str">
        <f t="array" ref="A1506">INDIRECT("Tableau!$A$183")</f>
        <v/>
      </c>
      <c r="B1506" s="398" t="s">
        <v>472</v>
      </c>
      <c r="C1506" s="400" t="str">
        <f t="array" ref="C1506">INDIRECT("Tableau!$S$183")</f>
        <v/>
      </c>
      <c r="D1506" s="400" t="str">
        <f t="shared" si="9"/>
        <v>OUT</v>
      </c>
      <c r="E1506" s="403" t="str">
        <f t="array" ref="E1506">INDIRECT("Tableau!$T$183")</f>
        <v/>
      </c>
    </row>
    <row r="1507">
      <c r="A1507" s="397" t="str">
        <f t="array" ref="A1507">INDIRECT("Tableau!$A$184")</f>
        <v/>
      </c>
      <c r="B1507" s="398" t="s">
        <v>472</v>
      </c>
      <c r="C1507" s="400" t="str">
        <f t="array" ref="C1507">INDIRECT("Tableau!$S$184")</f>
        <v/>
      </c>
      <c r="D1507" s="400" t="str">
        <f t="shared" si="9"/>
        <v>OUT</v>
      </c>
      <c r="E1507" s="403" t="str">
        <f t="array" ref="E1507">INDIRECT("Tableau!$T$184")</f>
        <v/>
      </c>
    </row>
    <row r="1508">
      <c r="A1508" s="397" t="str">
        <f t="array" ref="A1508">INDIRECT("Tableau!$A$185")</f>
        <v/>
      </c>
      <c r="B1508" s="398" t="s">
        <v>472</v>
      </c>
      <c r="C1508" s="400" t="str">
        <f t="array" ref="C1508">INDIRECT("Tableau!$S$185")</f>
        <v/>
      </c>
      <c r="D1508" s="400" t="str">
        <f t="shared" si="9"/>
        <v>OUT</v>
      </c>
      <c r="E1508" s="403" t="str">
        <f t="array" ref="E1508">INDIRECT("Tableau!$T$185")</f>
        <v/>
      </c>
    </row>
    <row r="1509">
      <c r="A1509" s="397" t="str">
        <f t="array" ref="A1509">INDIRECT("Tableau!$A$186")</f>
        <v/>
      </c>
      <c r="B1509" s="398" t="s">
        <v>472</v>
      </c>
      <c r="C1509" s="400" t="str">
        <f t="array" ref="C1509">INDIRECT("Tableau!$S$186")</f>
        <v/>
      </c>
      <c r="D1509" s="400" t="str">
        <f t="shared" si="9"/>
        <v>OUT</v>
      </c>
      <c r="E1509" s="403" t="str">
        <f t="array" ref="E1509">INDIRECT("Tableau!$T$186")</f>
        <v/>
      </c>
    </row>
    <row r="1510">
      <c r="A1510" s="397" t="str">
        <f t="array" ref="A1510">INDIRECT("Tableau!$A$187")</f>
        <v/>
      </c>
      <c r="B1510" s="398" t="s">
        <v>472</v>
      </c>
      <c r="C1510" s="400" t="str">
        <f t="array" ref="C1510">INDIRECT("Tableau!$S$187")</f>
        <v/>
      </c>
      <c r="D1510" s="400" t="str">
        <f t="shared" si="9"/>
        <v>OUT</v>
      </c>
      <c r="E1510" s="403" t="str">
        <f t="array" ref="E1510">INDIRECT("Tableau!$T$187")</f>
        <v/>
      </c>
    </row>
    <row r="1511">
      <c r="A1511" s="397" t="str">
        <f t="array" ref="A1511">INDIRECT("Tableau!$A$188")</f>
        <v/>
      </c>
      <c r="B1511" s="398" t="s">
        <v>472</v>
      </c>
      <c r="C1511" s="400" t="str">
        <f t="array" ref="C1511">INDIRECT("Tableau!$S$188")</f>
        <v/>
      </c>
      <c r="D1511" s="400" t="str">
        <f t="shared" si="9"/>
        <v>OUT</v>
      </c>
      <c r="E1511" s="403" t="str">
        <f t="array" ref="E1511">INDIRECT("Tableau!$T$188")</f>
        <v/>
      </c>
    </row>
    <row r="1512">
      <c r="A1512" s="397" t="str">
        <f t="array" ref="A1512">INDIRECT("Tableau!$A$189")</f>
        <v/>
      </c>
      <c r="B1512" s="398" t="s">
        <v>472</v>
      </c>
      <c r="C1512" s="400" t="str">
        <f t="array" ref="C1512">INDIRECT("Tableau!$S$189")</f>
        <v/>
      </c>
      <c r="D1512" s="400" t="str">
        <f t="shared" si="9"/>
        <v>OUT</v>
      </c>
      <c r="E1512" s="403" t="str">
        <f t="array" ref="E1512">INDIRECT("Tableau!$T$189")</f>
        <v/>
      </c>
    </row>
    <row r="1513">
      <c r="A1513" s="397" t="str">
        <f t="array" ref="A1513">INDIRECT("Tableau!$A$190")</f>
        <v/>
      </c>
      <c r="B1513" s="398" t="s">
        <v>472</v>
      </c>
      <c r="C1513" s="400" t="str">
        <f t="array" ref="C1513">INDIRECT("Tableau!$S$190")</f>
        <v/>
      </c>
      <c r="D1513" s="400" t="str">
        <f t="shared" si="9"/>
        <v>OUT</v>
      </c>
      <c r="E1513" s="403" t="str">
        <f t="array" ref="E1513">INDIRECT("Tableau!$T$190")</f>
        <v/>
      </c>
    </row>
    <row r="1514">
      <c r="A1514" s="397" t="str">
        <f t="array" ref="A1514">INDIRECT("Tableau!$A$2")</f>
        <v/>
      </c>
      <c r="B1514" s="398" t="s">
        <v>473</v>
      </c>
      <c r="C1514" s="400" t="str">
        <f t="array" ref="C1514">INDIRECT("Tableau!$U$2")</f>
        <v/>
      </c>
      <c r="D1514" s="400" t="str">
        <f t="shared" ref="D1514:D1702" si="10">INDIRECT("Tableau!$V$1")</f>
        <v>IN</v>
      </c>
      <c r="E1514" s="403" t="str">
        <f t="array" ref="E1514">INDIRECT("Tableau!$V$2")</f>
        <v/>
      </c>
    </row>
    <row r="1515">
      <c r="A1515" s="402">
        <f t="array" ref="A1515">INDIRECT("Tableau!$A$3")</f>
        <v>102</v>
      </c>
      <c r="B1515" s="398" t="s">
        <v>473</v>
      </c>
      <c r="C1515" s="400" t="str">
        <f t="array" ref="C1515">INDIRECT("Tableau!$U$3")</f>
        <v/>
      </c>
      <c r="D1515" s="400" t="str">
        <f t="shared" si="10"/>
        <v>IN</v>
      </c>
      <c r="E1515" s="403" t="str">
        <f t="array" ref="E1515">INDIRECT("Tableau!$V$3")</f>
        <v/>
      </c>
    </row>
    <row r="1516">
      <c r="A1516" s="397" t="str">
        <f t="array" ref="A1516">INDIRECT("Tableau!$A$4")</f>
        <v/>
      </c>
      <c r="B1516" s="398" t="s">
        <v>473</v>
      </c>
      <c r="C1516" s="400" t="str">
        <f t="array" ref="C1516">INDIRECT("Tableau!$U$4")</f>
        <v/>
      </c>
      <c r="D1516" s="400" t="str">
        <f t="shared" si="10"/>
        <v>IN</v>
      </c>
      <c r="E1516" s="403" t="str">
        <f t="array" ref="E1516">INDIRECT("Tableau!$V$4")</f>
        <v/>
      </c>
    </row>
    <row r="1517">
      <c r="A1517" s="402">
        <f t="array" ref="A1517">INDIRECT("Tableau!$A$5")</f>
        <v>104</v>
      </c>
      <c r="B1517" s="398" t="s">
        <v>473</v>
      </c>
      <c r="C1517" s="400" t="str">
        <f t="array" ref="C1517">INDIRECT("Tableau!$U$5")</f>
        <v/>
      </c>
      <c r="D1517" s="400" t="str">
        <f t="shared" si="10"/>
        <v>IN</v>
      </c>
      <c r="E1517" s="403" t="str">
        <f t="array" ref="E1517">INDIRECT("Tableau!$V$5")</f>
        <v/>
      </c>
    </row>
    <row r="1518">
      <c r="A1518" s="402">
        <f t="array" ref="A1518">INDIRECT("Tableau!$A$6")</f>
        <v>105</v>
      </c>
      <c r="B1518" s="398" t="s">
        <v>473</v>
      </c>
      <c r="C1518" s="400" t="str">
        <f t="array" ref="C1518">INDIRECT("Tableau!$U$6")</f>
        <v/>
      </c>
      <c r="D1518" s="400" t="str">
        <f t="shared" si="10"/>
        <v>IN</v>
      </c>
      <c r="E1518" s="403" t="str">
        <f t="array" ref="E1518">INDIRECT("Tableau!$V$6")</f>
        <v/>
      </c>
    </row>
    <row r="1519">
      <c r="A1519" s="402">
        <f t="array" ref="A1519">INDIRECT("Tableau!$A$7")</f>
        <v>106</v>
      </c>
      <c r="B1519" s="398" t="s">
        <v>473</v>
      </c>
      <c r="C1519" s="400" t="str">
        <f t="array" ref="C1519">INDIRECT("Tableau!$U$7")</f>
        <v/>
      </c>
      <c r="D1519" s="400" t="str">
        <f t="shared" si="10"/>
        <v>IN</v>
      </c>
      <c r="E1519" s="403" t="str">
        <f t="array" ref="E1519">INDIRECT("Tableau!$V$7")</f>
        <v/>
      </c>
    </row>
    <row r="1520">
      <c r="A1520" s="402">
        <f t="array" ref="A1520">INDIRECT("Tableau!$A$8")</f>
        <v>107</v>
      </c>
      <c r="B1520" s="398" t="s">
        <v>473</v>
      </c>
      <c r="C1520" s="400" t="str">
        <f t="array" ref="C1520">INDIRECT("Tableau!$U$8")</f>
        <v/>
      </c>
      <c r="D1520" s="400" t="str">
        <f t="shared" si="10"/>
        <v>IN</v>
      </c>
      <c r="E1520" s="403" t="str">
        <f t="array" ref="E1520">INDIRECT("Tableau!$V$8")</f>
        <v/>
      </c>
    </row>
    <row r="1521">
      <c r="A1521" s="397">
        <f t="array" ref="A1521">INDIRECT("Tableau!$A$9")</f>
        <v>108</v>
      </c>
      <c r="B1521" s="398" t="s">
        <v>473</v>
      </c>
      <c r="C1521" s="400" t="str">
        <f t="array" ref="C1521">INDIRECT("Tableau!$U$9")</f>
        <v/>
      </c>
      <c r="D1521" s="400" t="str">
        <f t="shared" si="10"/>
        <v>IN</v>
      </c>
      <c r="E1521" s="403" t="str">
        <f t="array" ref="E1521">INDIRECT("Tableau!$V$9")</f>
        <v/>
      </c>
    </row>
    <row r="1522">
      <c r="A1522" s="402">
        <f t="array" ref="A1522">INDIRECT("Tableau!$A$10")</f>
        <v>109</v>
      </c>
      <c r="B1522" s="398" t="s">
        <v>473</v>
      </c>
      <c r="C1522" s="400" t="str">
        <f t="array" ref="C1522">INDIRECT("Tableau!$U$10")</f>
        <v/>
      </c>
      <c r="D1522" s="400" t="str">
        <f t="shared" si="10"/>
        <v>IN</v>
      </c>
      <c r="E1522" s="403" t="str">
        <f t="array" ref="E1522">INDIRECT("Tableau!$V$10")</f>
        <v/>
      </c>
    </row>
    <row r="1523">
      <c r="A1523" s="402">
        <f t="array" ref="A1523">INDIRECT("Tableau!$A$11")</f>
        <v>110</v>
      </c>
      <c r="B1523" s="398" t="s">
        <v>473</v>
      </c>
      <c r="C1523" s="400" t="str">
        <f t="array" ref="C1523">INDIRECT("Tableau!$U$11")</f>
        <v/>
      </c>
      <c r="D1523" s="400" t="str">
        <f t="shared" si="10"/>
        <v>IN</v>
      </c>
      <c r="E1523" s="403" t="str">
        <f t="array" ref="E1523">INDIRECT("Tableau!$V$11")</f>
        <v/>
      </c>
    </row>
    <row r="1524">
      <c r="A1524" s="402">
        <f t="array" ref="A1524">INDIRECT("Tableau!$A$12")</f>
        <v>111</v>
      </c>
      <c r="B1524" s="398" t="s">
        <v>473</v>
      </c>
      <c r="C1524" s="400" t="str">
        <f t="array" ref="C1524">INDIRECT("Tableau!$U$12")</f>
        <v/>
      </c>
      <c r="D1524" s="400" t="str">
        <f t="shared" si="10"/>
        <v>IN</v>
      </c>
      <c r="E1524" s="403" t="str">
        <f t="array" ref="E1524">INDIRECT("Tableau!$V$12")</f>
        <v/>
      </c>
    </row>
    <row r="1525">
      <c r="A1525" s="402">
        <f t="array" ref="A1525">INDIRECT("Tableau!$A$13")</f>
        <v>112</v>
      </c>
      <c r="B1525" s="398" t="s">
        <v>473</v>
      </c>
      <c r="C1525" s="400" t="str">
        <f t="array" ref="C1525">INDIRECT("Tableau!$U$13")</f>
        <v/>
      </c>
      <c r="D1525" s="400" t="str">
        <f t="shared" si="10"/>
        <v>IN</v>
      </c>
      <c r="E1525" s="403" t="str">
        <f t="array" ref="E1525">INDIRECT("Tableau!$V$13")</f>
        <v/>
      </c>
    </row>
    <row r="1526">
      <c r="A1526" s="402">
        <f t="array" ref="A1526">INDIRECT("Tableau!$A$14")</f>
        <v>113</v>
      </c>
      <c r="B1526" s="398" t="s">
        <v>473</v>
      </c>
      <c r="C1526" s="400" t="str">
        <f t="array" ref="C1526">INDIRECT("Tableau!$U$14")</f>
        <v/>
      </c>
      <c r="D1526" s="400" t="str">
        <f t="shared" si="10"/>
        <v>IN</v>
      </c>
      <c r="E1526" s="403" t="str">
        <f t="array" ref="E1526">INDIRECT("Tableau!$V$14")</f>
        <v/>
      </c>
    </row>
    <row r="1527">
      <c r="A1527" s="397">
        <f t="array" ref="A1527">INDIRECT("Tableau!$A$15")</f>
        <v>114</v>
      </c>
      <c r="B1527" s="398" t="s">
        <v>473</v>
      </c>
      <c r="C1527" s="400" t="str">
        <f t="array" ref="C1527">INDIRECT("Tableau!$U$15")</f>
        <v/>
      </c>
      <c r="D1527" s="400" t="str">
        <f t="shared" si="10"/>
        <v>IN</v>
      </c>
      <c r="E1527" s="403" t="str">
        <f t="array" ref="E1527">INDIRECT("Tableau!$V$15")</f>
        <v/>
      </c>
    </row>
    <row r="1528">
      <c r="A1528" s="397" t="str">
        <f t="array" ref="A1528">INDIRECT("Tableau!$A$16")</f>
        <v/>
      </c>
      <c r="B1528" s="398" t="s">
        <v>473</v>
      </c>
      <c r="C1528" s="400" t="str">
        <f t="array" ref="C1528">INDIRECT("Tableau!$U$16")</f>
        <v/>
      </c>
      <c r="D1528" s="400" t="str">
        <f t="shared" si="10"/>
        <v>IN</v>
      </c>
      <c r="E1528" s="403" t="str">
        <f t="array" ref="E1528">INDIRECT("Tableau!$V$16")</f>
        <v/>
      </c>
    </row>
    <row r="1529">
      <c r="A1529" s="397" t="str">
        <f t="array" ref="A1529">INDIRECT("Tableau!$A$17")</f>
        <v/>
      </c>
      <c r="B1529" s="398" t="s">
        <v>473</v>
      </c>
      <c r="C1529" s="400" t="str">
        <f t="array" ref="C1529">INDIRECT("Tableau!$U$17")</f>
        <v/>
      </c>
      <c r="D1529" s="400" t="str">
        <f t="shared" si="10"/>
        <v>IN</v>
      </c>
      <c r="E1529" s="403" t="str">
        <f t="array" ref="E1529">INDIRECT("Tableau!$V$17")</f>
        <v/>
      </c>
    </row>
    <row r="1530">
      <c r="A1530" s="397" t="str">
        <f t="array" ref="A1530">INDIRECT("Tableau!$A$18")</f>
        <v/>
      </c>
      <c r="B1530" s="398" t="s">
        <v>473</v>
      </c>
      <c r="C1530" s="400" t="str">
        <f t="array" ref="C1530">INDIRECT("Tableau!$U$18")</f>
        <v/>
      </c>
      <c r="D1530" s="400" t="str">
        <f t="shared" si="10"/>
        <v>IN</v>
      </c>
      <c r="E1530" s="403" t="str">
        <f t="array" ref="E1530">INDIRECT("Tableau!$V$18")</f>
        <v/>
      </c>
    </row>
    <row r="1531">
      <c r="A1531" s="397" t="str">
        <f t="array" ref="A1531">INDIRECT("Tableau!$A$19")</f>
        <v/>
      </c>
      <c r="B1531" s="398" t="s">
        <v>473</v>
      </c>
      <c r="C1531" s="400" t="str">
        <f t="array" ref="C1531">INDIRECT("Tableau!$U$19")</f>
        <v/>
      </c>
      <c r="D1531" s="400" t="str">
        <f t="shared" si="10"/>
        <v>IN</v>
      </c>
      <c r="E1531" s="403" t="str">
        <f t="array" ref="E1531">INDIRECT("Tableau!$V$19")</f>
        <v/>
      </c>
    </row>
    <row r="1532">
      <c r="A1532" s="397" t="str">
        <f t="array" ref="A1532">INDIRECT("Tableau!$A$20")</f>
        <v/>
      </c>
      <c r="B1532" s="398" t="s">
        <v>473</v>
      </c>
      <c r="C1532" s="400" t="str">
        <f t="array" ref="C1532">INDIRECT("Tableau!$U$20")</f>
        <v/>
      </c>
      <c r="D1532" s="400" t="str">
        <f t="shared" si="10"/>
        <v>IN</v>
      </c>
      <c r="E1532" s="403" t="str">
        <f t="array" ref="E1532">INDIRECT("Tableau!$V$20")</f>
        <v/>
      </c>
    </row>
    <row r="1533">
      <c r="A1533" s="397" t="str">
        <f t="array" ref="A1533">INDIRECT("Tableau!$A$21")</f>
        <v/>
      </c>
      <c r="B1533" s="398" t="s">
        <v>473</v>
      </c>
      <c r="C1533" s="400" t="str">
        <f t="array" ref="C1533">INDIRECT("Tableau!$U$21")</f>
        <v/>
      </c>
      <c r="D1533" s="400" t="str">
        <f t="shared" si="10"/>
        <v>IN</v>
      </c>
      <c r="E1533" s="403" t="str">
        <f t="array" ref="E1533">INDIRECT("Tableau!$V$21")</f>
        <v/>
      </c>
    </row>
    <row r="1534">
      <c r="A1534" s="397" t="str">
        <f t="array" ref="A1534">INDIRECT("Tableau!$A$22")</f>
        <v/>
      </c>
      <c r="B1534" s="398" t="s">
        <v>473</v>
      </c>
      <c r="C1534" s="400" t="str">
        <f t="array" ref="C1534">INDIRECT("Tableau!$U$22")</f>
        <v/>
      </c>
      <c r="D1534" s="400" t="str">
        <f t="shared" si="10"/>
        <v>IN</v>
      </c>
      <c r="E1534" s="403" t="str">
        <f t="array" ref="E1534">INDIRECT("Tableau!$V$22")</f>
        <v/>
      </c>
    </row>
    <row r="1535">
      <c r="A1535" s="397" t="str">
        <f t="array" ref="A1535">INDIRECT("Tableau!$A$23")</f>
        <v/>
      </c>
      <c r="B1535" s="398" t="s">
        <v>473</v>
      </c>
      <c r="C1535" s="400" t="str">
        <f t="array" ref="C1535">INDIRECT("Tableau!$U$23")</f>
        <v/>
      </c>
      <c r="D1535" s="400" t="str">
        <f t="shared" si="10"/>
        <v>IN</v>
      </c>
      <c r="E1535" s="403" t="str">
        <f t="array" ref="E1535">INDIRECT("Tableau!$V$23")</f>
        <v/>
      </c>
    </row>
    <row r="1536">
      <c r="A1536" s="397" t="str">
        <f t="array" ref="A1536">INDIRECT("Tableau!$A$24")</f>
        <v/>
      </c>
      <c r="B1536" s="398" t="s">
        <v>473</v>
      </c>
      <c r="C1536" s="400" t="str">
        <f t="array" ref="C1536">INDIRECT("Tableau!$U$24")</f>
        <v/>
      </c>
      <c r="D1536" s="400" t="str">
        <f t="shared" si="10"/>
        <v>IN</v>
      </c>
      <c r="E1536" s="403" t="str">
        <f t="array" ref="E1536">INDIRECT("Tableau!$V$24")</f>
        <v/>
      </c>
    </row>
    <row r="1537">
      <c r="A1537" s="397" t="str">
        <f t="array" ref="A1537">INDIRECT("Tableau!$A$25")</f>
        <v/>
      </c>
      <c r="B1537" s="398" t="s">
        <v>473</v>
      </c>
      <c r="C1537" s="400" t="str">
        <f t="array" ref="C1537">INDIRECT("Tableau!$U$25")</f>
        <v/>
      </c>
      <c r="D1537" s="400" t="str">
        <f t="shared" si="10"/>
        <v>IN</v>
      </c>
      <c r="E1537" s="403" t="str">
        <f t="array" ref="E1537">INDIRECT("Tableau!$V$25")</f>
        <v/>
      </c>
    </row>
    <row r="1538">
      <c r="A1538" s="402">
        <f t="array" ref="A1538">INDIRECT("Tableau!$A$26")</f>
        <v>201</v>
      </c>
      <c r="B1538" s="398" t="s">
        <v>473</v>
      </c>
      <c r="C1538" s="400" t="str">
        <f t="array" ref="C1538">INDIRECT("Tableau!$U$26")</f>
        <v/>
      </c>
      <c r="D1538" s="400" t="str">
        <f t="shared" si="10"/>
        <v>IN</v>
      </c>
      <c r="E1538" s="403" t="str">
        <f t="array" ref="E1538">INDIRECT("Tableau!$V$26")</f>
        <v/>
      </c>
    </row>
    <row r="1539">
      <c r="A1539" s="402">
        <f t="array" ref="A1539">INDIRECT("Tableau!$A$27")</f>
        <v>202</v>
      </c>
      <c r="B1539" s="398" t="s">
        <v>473</v>
      </c>
      <c r="C1539" s="400" t="str">
        <f t="array" ref="C1539">INDIRECT("Tableau!$U$27")</f>
        <v/>
      </c>
      <c r="D1539" s="400" t="str">
        <f t="shared" si="10"/>
        <v>IN</v>
      </c>
      <c r="E1539" s="403" t="str">
        <f t="array" ref="E1539">INDIRECT("Tableau!$V$27")</f>
        <v/>
      </c>
    </row>
    <row r="1540">
      <c r="A1540" s="402">
        <f t="array" ref="A1540">INDIRECT("Tableau!$A$28")</f>
        <v>203</v>
      </c>
      <c r="B1540" s="398" t="s">
        <v>473</v>
      </c>
      <c r="C1540" s="400" t="str">
        <f t="array" ref="C1540">INDIRECT("Tableau!$U$28")</f>
        <v>Carbelle</v>
      </c>
      <c r="D1540" s="400" t="str">
        <f t="shared" si="10"/>
        <v>IN</v>
      </c>
      <c r="E1540" s="403" t="str">
        <f t="array" ref="E1540">INDIRECT("Tableau!$V$28")</f>
        <v/>
      </c>
    </row>
    <row r="1541">
      <c r="A1541" s="402">
        <f t="array" ref="A1541">INDIRECT("Tableau!$A$29")</f>
        <v>204</v>
      </c>
      <c r="B1541" s="398" t="s">
        <v>473</v>
      </c>
      <c r="C1541" s="400" t="str">
        <f t="array" ref="C1541">INDIRECT("Tableau!$U$29")</f>
        <v>Carbelle</v>
      </c>
      <c r="D1541" s="400" t="str">
        <f t="shared" si="10"/>
        <v>IN</v>
      </c>
      <c r="E1541" s="403" t="str">
        <f t="array" ref="E1541">INDIRECT("Tableau!$V$29")</f>
        <v/>
      </c>
    </row>
    <row r="1542">
      <c r="A1542" s="402">
        <f t="array" ref="A1542">INDIRECT("Tableau!$A$30")</f>
        <v>205</v>
      </c>
      <c r="B1542" s="398" t="s">
        <v>473</v>
      </c>
      <c r="C1542" s="400" t="str">
        <f t="array" ref="C1542">INDIRECT("Tableau!$U$30")</f>
        <v>Carbelle</v>
      </c>
      <c r="D1542" s="400" t="str">
        <f t="shared" si="10"/>
        <v>IN</v>
      </c>
      <c r="E1542" s="403" t="str">
        <f t="array" ref="E1542">INDIRECT("Tableau!$V$30")</f>
        <v/>
      </c>
    </row>
    <row r="1543">
      <c r="A1543" s="402">
        <f t="array" ref="A1543">INDIRECT("Tableau!$A$31")</f>
        <v>206</v>
      </c>
      <c r="B1543" s="398" t="s">
        <v>473</v>
      </c>
      <c r="C1543" s="400" t="str">
        <f t="array" ref="C1543">INDIRECT("Tableau!$U$31")</f>
        <v>Carbelle</v>
      </c>
      <c r="D1543" s="400" t="str">
        <f t="shared" si="10"/>
        <v>IN</v>
      </c>
      <c r="E1543" s="403" t="str">
        <f t="array" ref="E1543">INDIRECT("Tableau!$V$31")</f>
        <v/>
      </c>
    </row>
    <row r="1544">
      <c r="A1544" s="402">
        <f t="array" ref="A1544">INDIRECT("Tableau!$A$32")</f>
        <v>207</v>
      </c>
      <c r="B1544" s="398" t="s">
        <v>473</v>
      </c>
      <c r="C1544" s="400" t="str">
        <f t="array" ref="C1544">INDIRECT("Tableau!$U$32")</f>
        <v>Carbelle</v>
      </c>
      <c r="D1544" s="400" t="str">
        <f t="shared" si="10"/>
        <v>IN</v>
      </c>
      <c r="E1544" s="403" t="str">
        <f t="array" ref="E1544">INDIRECT("Tableau!$V$32")</f>
        <v/>
      </c>
    </row>
    <row r="1545">
      <c r="A1545" s="402">
        <f t="array" ref="A1545">INDIRECT("Tableau!$A$33")</f>
        <v>208</v>
      </c>
      <c r="B1545" s="398" t="s">
        <v>473</v>
      </c>
      <c r="C1545" s="400" t="str">
        <f t="array" ref="C1545">INDIRECT("Tableau!$U$33")</f>
        <v>Carbelle</v>
      </c>
      <c r="D1545" s="400" t="str">
        <f t="shared" si="10"/>
        <v>IN</v>
      </c>
      <c r="E1545" s="403" t="str">
        <f t="array" ref="E1545">INDIRECT("Tableau!$V$33")</f>
        <v/>
      </c>
    </row>
    <row r="1546">
      <c r="A1546" s="402">
        <f t="array" ref="A1546">INDIRECT("Tableau!$A$34")</f>
        <v>209</v>
      </c>
      <c r="B1546" s="398" t="s">
        <v>473</v>
      </c>
      <c r="C1546" s="400" t="str">
        <f t="array" ref="C1546">INDIRECT("Tableau!$U$34")</f>
        <v>Carbelle</v>
      </c>
      <c r="D1546" s="400" t="str">
        <f t="shared" si="10"/>
        <v>IN</v>
      </c>
      <c r="E1546" s="403" t="str">
        <f t="array" ref="E1546">INDIRECT("Tableau!$V$34")</f>
        <v/>
      </c>
    </row>
    <row r="1547">
      <c r="A1547" s="402">
        <f t="array" ref="A1547">INDIRECT("Tableau!$A$35")</f>
        <v>210</v>
      </c>
      <c r="B1547" s="398" t="s">
        <v>473</v>
      </c>
      <c r="C1547" s="400" t="str">
        <f t="array" ref="C1547">INDIRECT("Tableau!$U$35")</f>
        <v>Carbelle</v>
      </c>
      <c r="D1547" s="400" t="str">
        <f t="shared" si="10"/>
        <v>IN</v>
      </c>
      <c r="E1547" s="403" t="str">
        <f t="array" ref="E1547">INDIRECT("Tableau!$V$35")</f>
        <v/>
      </c>
    </row>
    <row r="1548">
      <c r="A1548" s="402">
        <f t="array" ref="A1548">INDIRECT("Tableau!$A$36")</f>
        <v>211</v>
      </c>
      <c r="B1548" s="398" t="s">
        <v>473</v>
      </c>
      <c r="C1548" s="400" t="str">
        <f t="array" ref="C1548">INDIRECT("Tableau!$U$36")</f>
        <v>Carbelle</v>
      </c>
      <c r="D1548" s="400" t="str">
        <f t="shared" si="10"/>
        <v>IN</v>
      </c>
      <c r="E1548" s="403" t="str">
        <f t="array" ref="E1548">INDIRECT("Tableau!$V$36")</f>
        <v/>
      </c>
    </row>
    <row r="1549">
      <c r="A1549" s="402">
        <f t="array" ref="A1549">INDIRECT("Tableau!$A$37")</f>
        <v>212</v>
      </c>
      <c r="B1549" s="398" t="s">
        <v>473</v>
      </c>
      <c r="C1549" s="400" t="str">
        <f t="array" ref="C1549">INDIRECT("Tableau!$U$37")</f>
        <v/>
      </c>
      <c r="D1549" s="400" t="str">
        <f t="shared" si="10"/>
        <v>IN</v>
      </c>
      <c r="E1549" s="403" t="str">
        <f t="array" ref="E1549">INDIRECT("Tableau!$V$37")</f>
        <v/>
      </c>
    </row>
    <row r="1550">
      <c r="A1550" s="402">
        <f t="array" ref="A1550">INDIRECT("Tableau!$A$38")</f>
        <v>213</v>
      </c>
      <c r="B1550" s="398" t="s">
        <v>473</v>
      </c>
      <c r="C1550" s="400" t="str">
        <f t="array" ref="C1550">INDIRECT("Tableau!$U$38")</f>
        <v/>
      </c>
      <c r="D1550" s="400" t="str">
        <f t="shared" si="10"/>
        <v>IN</v>
      </c>
      <c r="E1550" s="403" t="str">
        <f t="array" ref="E1550">INDIRECT("Tableau!$V$38")</f>
        <v/>
      </c>
    </row>
    <row r="1551">
      <c r="A1551" s="402">
        <f t="array" ref="A1551">INDIRECT("Tableau!$A$39")</f>
        <v>214</v>
      </c>
      <c r="B1551" s="398" t="s">
        <v>473</v>
      </c>
      <c r="C1551" s="400" t="str">
        <f t="array" ref="C1551">INDIRECT("Tableau!$U$39")</f>
        <v/>
      </c>
      <c r="D1551" s="400" t="str">
        <f t="shared" si="10"/>
        <v>IN</v>
      </c>
      <c r="E1551" s="403" t="str">
        <f t="array" ref="E1551">INDIRECT("Tableau!$V$39")</f>
        <v/>
      </c>
    </row>
    <row r="1552">
      <c r="A1552" s="402">
        <f t="array" ref="A1552">INDIRECT("Tableau!$A$40")</f>
        <v>215</v>
      </c>
      <c r="B1552" s="398" t="s">
        <v>473</v>
      </c>
      <c r="C1552" s="400" t="str">
        <f t="array" ref="C1552">INDIRECT("Tableau!$U$40")</f>
        <v/>
      </c>
      <c r="D1552" s="400" t="str">
        <f t="shared" si="10"/>
        <v>IN</v>
      </c>
      <c r="E1552" s="403" t="str">
        <f t="array" ref="E1552">INDIRECT("Tableau!$V$40")</f>
        <v/>
      </c>
    </row>
    <row r="1553">
      <c r="A1553" s="402">
        <f t="array" ref="A1553">INDIRECT("Tableau!$A$41")</f>
        <v>216</v>
      </c>
      <c r="B1553" s="398" t="s">
        <v>473</v>
      </c>
      <c r="C1553" s="400" t="str">
        <f t="array" ref="C1553">INDIRECT("Tableau!$U$41")</f>
        <v/>
      </c>
      <c r="D1553" s="400" t="str">
        <f t="shared" si="10"/>
        <v>IN</v>
      </c>
      <c r="E1553" s="403" t="str">
        <f t="array" ref="E1553">INDIRECT("Tableau!$V$41")</f>
        <v/>
      </c>
    </row>
    <row r="1554">
      <c r="A1554" s="402">
        <f t="array" ref="A1554">INDIRECT("Tableau!$A$42")</f>
        <v>227</v>
      </c>
      <c r="B1554" s="398" t="s">
        <v>473</v>
      </c>
      <c r="C1554" s="400" t="str">
        <f t="array" ref="C1554">INDIRECT("Tableau!$U$42")</f>
        <v/>
      </c>
      <c r="D1554" s="400" t="str">
        <f t="shared" si="10"/>
        <v>IN</v>
      </c>
      <c r="E1554" s="403" t="str">
        <f t="array" ref="E1554">INDIRECT("Tableau!$V$42")</f>
        <v/>
      </c>
    </row>
    <row r="1555">
      <c r="A1555" s="402">
        <f t="array" ref="A1555">INDIRECT("Tableau!$A$43")</f>
        <v>217</v>
      </c>
      <c r="B1555" s="398" t="s">
        <v>473</v>
      </c>
      <c r="C1555" s="400" t="str">
        <f t="array" ref="C1555">INDIRECT("Tableau!$U$43")</f>
        <v/>
      </c>
      <c r="D1555" s="400" t="str">
        <f t="shared" si="10"/>
        <v>IN</v>
      </c>
      <c r="E1555" s="403" t="str">
        <f t="array" ref="E1555">INDIRECT("Tableau!$V$43")</f>
        <v/>
      </c>
    </row>
    <row r="1556">
      <c r="A1556" s="402">
        <f t="array" ref="A1556">INDIRECT("Tableau!$A$44")</f>
        <v>218</v>
      </c>
      <c r="B1556" s="398" t="s">
        <v>473</v>
      </c>
      <c r="C1556" s="400" t="str">
        <f t="array" ref="C1556">INDIRECT("Tableau!$U$44")</f>
        <v/>
      </c>
      <c r="D1556" s="400" t="str">
        <f t="shared" si="10"/>
        <v>IN</v>
      </c>
      <c r="E1556" s="403" t="str">
        <f t="array" ref="E1556">INDIRECT("Tableau!$V$44")</f>
        <v/>
      </c>
    </row>
    <row r="1557">
      <c r="A1557" s="397" t="str">
        <f t="array" ref="A1557">INDIRECT("Tableau!$A$45")</f>
        <v/>
      </c>
      <c r="B1557" s="398" t="s">
        <v>473</v>
      </c>
      <c r="C1557" s="400" t="str">
        <f t="array" ref="C1557">INDIRECT("Tableau!$U$45")</f>
        <v/>
      </c>
      <c r="D1557" s="400" t="str">
        <f t="shared" si="10"/>
        <v>IN</v>
      </c>
      <c r="E1557" s="403" t="str">
        <f t="array" ref="E1557">INDIRECT("Tableau!$V$45")</f>
        <v/>
      </c>
    </row>
    <row r="1558">
      <c r="A1558" s="402">
        <f t="array" ref="A1558">INDIRECT("Tableau!$A$46")</f>
        <v>220</v>
      </c>
      <c r="B1558" s="398" t="s">
        <v>473</v>
      </c>
      <c r="C1558" s="400" t="str">
        <f t="array" ref="C1558">INDIRECT("Tableau!$U$46")</f>
        <v/>
      </c>
      <c r="D1558" s="400" t="str">
        <f t="shared" si="10"/>
        <v>IN</v>
      </c>
      <c r="E1558" s="403" t="str">
        <f t="array" ref="E1558">INDIRECT("Tableau!$V$46")</f>
        <v/>
      </c>
    </row>
    <row r="1559">
      <c r="A1559" s="402">
        <f t="array" ref="A1559">INDIRECT("Tableau!$A$47")</f>
        <v>221</v>
      </c>
      <c r="B1559" s="398" t="s">
        <v>473</v>
      </c>
      <c r="C1559" s="400" t="str">
        <f t="array" ref="C1559">INDIRECT("Tableau!$U$47")</f>
        <v/>
      </c>
      <c r="D1559" s="400" t="str">
        <f t="shared" si="10"/>
        <v>IN</v>
      </c>
      <c r="E1559" s="403" t="str">
        <f t="array" ref="E1559">INDIRECT("Tableau!$V$47")</f>
        <v/>
      </c>
    </row>
    <row r="1560">
      <c r="A1560" s="402">
        <f t="array" ref="A1560">INDIRECT("Tableau!$A$48")</f>
        <v>226</v>
      </c>
      <c r="B1560" s="398" t="s">
        <v>473</v>
      </c>
      <c r="C1560" s="400" t="str">
        <f t="array" ref="C1560">INDIRECT("Tableau!$U$48")</f>
        <v/>
      </c>
      <c r="D1560" s="400" t="str">
        <f t="shared" si="10"/>
        <v>IN</v>
      </c>
      <c r="E1560" s="403" t="str">
        <f t="array" ref="E1560">INDIRECT("Tableau!$V$48")</f>
        <v/>
      </c>
    </row>
    <row r="1561">
      <c r="A1561" s="402">
        <f t="array" ref="A1561">INDIRECT("Tableau!$A$49")</f>
        <v>222</v>
      </c>
      <c r="B1561" s="398" t="s">
        <v>473</v>
      </c>
      <c r="C1561" s="400" t="str">
        <f t="array" ref="C1561">INDIRECT("Tableau!$U$49")</f>
        <v/>
      </c>
      <c r="D1561" s="400" t="str">
        <f t="shared" si="10"/>
        <v>IN</v>
      </c>
      <c r="E1561" s="403" t="str">
        <f t="array" ref="E1561">INDIRECT("Tableau!$V$49")</f>
        <v/>
      </c>
    </row>
    <row r="1562">
      <c r="A1562" s="402">
        <f t="array" ref="A1562">INDIRECT("Tableau!$A$50")</f>
        <v>224</v>
      </c>
      <c r="B1562" s="398" t="s">
        <v>473</v>
      </c>
      <c r="C1562" s="400" t="str">
        <f t="array" ref="C1562">INDIRECT("Tableau!$U$50")</f>
        <v/>
      </c>
      <c r="D1562" s="400" t="str">
        <f t="shared" si="10"/>
        <v>IN</v>
      </c>
      <c r="E1562" s="403" t="str">
        <f t="array" ref="E1562">INDIRECT("Tableau!$V$50")</f>
        <v/>
      </c>
    </row>
    <row r="1563">
      <c r="A1563" s="397">
        <f t="array" ref="A1563">INDIRECT("Tableau!$A$51")</f>
        <v>223</v>
      </c>
      <c r="B1563" s="398" t="s">
        <v>473</v>
      </c>
      <c r="C1563" s="400" t="str">
        <f t="array" ref="C1563">INDIRECT("Tableau!$U$51")</f>
        <v/>
      </c>
      <c r="D1563" s="400" t="str">
        <f t="shared" si="10"/>
        <v>IN</v>
      </c>
      <c r="E1563" s="403" t="str">
        <f t="array" ref="E1563">INDIRECT("Tableau!$V$51")</f>
        <v/>
      </c>
    </row>
    <row r="1564">
      <c r="A1564" s="402">
        <f t="array" ref="A1564">INDIRECT("Tableau!$A$52")</f>
        <v>225</v>
      </c>
      <c r="B1564" s="398" t="s">
        <v>473</v>
      </c>
      <c r="C1564" s="400" t="str">
        <f t="array" ref="C1564">INDIRECT("Tableau!$U$52")</f>
        <v/>
      </c>
      <c r="D1564" s="400" t="str">
        <f t="shared" si="10"/>
        <v>IN</v>
      </c>
      <c r="E1564" s="403" t="str">
        <f t="array" ref="E1564">INDIRECT("Tableau!$V$52")</f>
        <v/>
      </c>
    </row>
    <row r="1565">
      <c r="A1565" s="402">
        <f t="array" ref="A1565">INDIRECT("Tableau!$A$53")</f>
        <v>230</v>
      </c>
      <c r="B1565" s="398" t="s">
        <v>473</v>
      </c>
      <c r="C1565" s="400" t="str">
        <f t="array" ref="C1565">INDIRECT("Tableau!$U$53")</f>
        <v/>
      </c>
      <c r="D1565" s="400" t="str">
        <f t="shared" si="10"/>
        <v>IN</v>
      </c>
      <c r="E1565" s="403" t="str">
        <f t="array" ref="E1565">INDIRECT("Tableau!$V$53")</f>
        <v/>
      </c>
    </row>
    <row r="1566">
      <c r="A1566" s="397">
        <f t="array" ref="A1566">INDIRECT("Tableau!$A$54")</f>
        <v>231</v>
      </c>
      <c r="B1566" s="398" t="s">
        <v>473</v>
      </c>
      <c r="C1566" s="400" t="str">
        <f t="array" ref="C1566">INDIRECT("Tableau!$U$54")</f>
        <v/>
      </c>
      <c r="D1566" s="400" t="str">
        <f t="shared" si="10"/>
        <v>IN</v>
      </c>
      <c r="E1566" s="403" t="str">
        <f t="array" ref="E1566">INDIRECT("Tableau!$V$54")</f>
        <v/>
      </c>
    </row>
    <row r="1567">
      <c r="A1567" s="397" t="str">
        <f t="array" ref="A1567">INDIRECT("Tableau!$A$55")</f>
        <v/>
      </c>
      <c r="B1567" s="398" t="s">
        <v>473</v>
      </c>
      <c r="C1567" s="400" t="str">
        <f t="array" ref="C1567">INDIRECT("Tableau!$U$55")</f>
        <v/>
      </c>
      <c r="D1567" s="400" t="str">
        <f t="shared" si="10"/>
        <v>IN</v>
      </c>
      <c r="E1567" s="403" t="str">
        <f t="array" ref="E1567">INDIRECT("Tableau!$V$55")</f>
        <v/>
      </c>
    </row>
    <row r="1568">
      <c r="A1568" s="397" t="str">
        <f t="array" ref="A1568">INDIRECT("Tableau!$A$56")</f>
        <v/>
      </c>
      <c r="B1568" s="398" t="s">
        <v>473</v>
      </c>
      <c r="C1568" s="400" t="str">
        <f t="array" ref="C1568">INDIRECT("Tableau!$U$56")</f>
        <v/>
      </c>
      <c r="D1568" s="400" t="str">
        <f t="shared" si="10"/>
        <v>IN</v>
      </c>
      <c r="E1568" s="403" t="str">
        <f t="array" ref="E1568">INDIRECT("Tableau!$V$56")</f>
        <v/>
      </c>
    </row>
    <row r="1569">
      <c r="A1569" s="397" t="str">
        <f t="array" ref="A1569">INDIRECT("Tableau!$A$57")</f>
        <v/>
      </c>
      <c r="B1569" s="398" t="s">
        <v>473</v>
      </c>
      <c r="C1569" s="400" t="str">
        <f t="array" ref="C1569">INDIRECT("Tableau!$U$57")</f>
        <v/>
      </c>
      <c r="D1569" s="400" t="str">
        <f t="shared" si="10"/>
        <v>IN</v>
      </c>
      <c r="E1569" s="403" t="str">
        <f t="array" ref="E1569">INDIRECT("Tableau!$V$57")</f>
        <v/>
      </c>
    </row>
    <row r="1570">
      <c r="A1570" s="397" t="str">
        <f t="array" ref="A1570">INDIRECT("Tableau!$A$58")</f>
        <v/>
      </c>
      <c r="B1570" s="398" t="s">
        <v>473</v>
      </c>
      <c r="C1570" s="400" t="str">
        <f t="array" ref="C1570">INDIRECT("Tableau!$U$58")</f>
        <v/>
      </c>
      <c r="D1570" s="400" t="str">
        <f t="shared" si="10"/>
        <v>IN</v>
      </c>
      <c r="E1570" s="403" t="str">
        <f t="array" ref="E1570">INDIRECT("Tableau!$V$58")</f>
        <v/>
      </c>
    </row>
    <row r="1571">
      <c r="A1571" s="397" t="str">
        <f t="array" ref="A1571">INDIRECT("Tableau!$A$59")</f>
        <v/>
      </c>
      <c r="B1571" s="398" t="s">
        <v>473</v>
      </c>
      <c r="C1571" s="400" t="str">
        <f t="array" ref="C1571">INDIRECT("Tableau!$U$59")</f>
        <v/>
      </c>
      <c r="D1571" s="400" t="str">
        <f t="shared" si="10"/>
        <v>IN</v>
      </c>
      <c r="E1571" s="403" t="str">
        <f t="array" ref="E1571">INDIRECT("Tableau!$V$59")</f>
        <v/>
      </c>
    </row>
    <row r="1572">
      <c r="A1572" s="397" t="str">
        <f t="array" ref="A1572">INDIRECT("Tableau!$A$60")</f>
        <v/>
      </c>
      <c r="B1572" s="398" t="s">
        <v>473</v>
      </c>
      <c r="C1572" s="400" t="str">
        <f t="array" ref="C1572">INDIRECT("Tableau!$U$60")</f>
        <v/>
      </c>
      <c r="D1572" s="400" t="str">
        <f t="shared" si="10"/>
        <v>IN</v>
      </c>
      <c r="E1572" s="403" t="str">
        <f t="array" ref="E1572">INDIRECT("Tableau!$V$60")</f>
        <v/>
      </c>
    </row>
    <row r="1573">
      <c r="A1573" s="397" t="str">
        <f t="array" ref="A1573">INDIRECT("Tableau!$A$61")</f>
        <v/>
      </c>
      <c r="B1573" s="398" t="s">
        <v>473</v>
      </c>
      <c r="C1573" s="400" t="str">
        <f t="array" ref="C1573">INDIRECT("Tableau!$U$61")</f>
        <v/>
      </c>
      <c r="D1573" s="400" t="str">
        <f t="shared" si="10"/>
        <v>IN</v>
      </c>
      <c r="E1573" s="403" t="str">
        <f t="array" ref="E1573">INDIRECT("Tableau!$V$61")</f>
        <v/>
      </c>
    </row>
    <row r="1574">
      <c r="A1574" s="397" t="str">
        <f t="array" ref="A1574">INDIRECT("Tableau!$A$62")</f>
        <v/>
      </c>
      <c r="B1574" s="398" t="s">
        <v>473</v>
      </c>
      <c r="C1574" s="400" t="str">
        <f t="array" ref="C1574">INDIRECT("Tableau!$U$62")</f>
        <v/>
      </c>
      <c r="D1574" s="400" t="str">
        <f t="shared" si="10"/>
        <v>IN</v>
      </c>
      <c r="E1574" s="403" t="str">
        <f t="array" ref="E1574">INDIRECT("Tableau!$V$62")</f>
        <v/>
      </c>
    </row>
    <row r="1575">
      <c r="A1575" s="397" t="str">
        <f t="array" ref="A1575">INDIRECT("Tableau!$A$63")</f>
        <v/>
      </c>
      <c r="B1575" s="398" t="s">
        <v>473</v>
      </c>
      <c r="C1575" s="400" t="str">
        <f t="array" ref="C1575">INDIRECT("Tableau!$U$63")</f>
        <v/>
      </c>
      <c r="D1575" s="400" t="str">
        <f t="shared" si="10"/>
        <v>IN</v>
      </c>
      <c r="E1575" s="403" t="str">
        <f t="array" ref="E1575">INDIRECT("Tableau!$V$63")</f>
        <v/>
      </c>
    </row>
    <row r="1576">
      <c r="A1576" s="397" t="str">
        <f t="array" ref="A1576">INDIRECT("Tableau!$A$64")</f>
        <v/>
      </c>
      <c r="B1576" s="398" t="s">
        <v>473</v>
      </c>
      <c r="C1576" s="400" t="str">
        <f t="array" ref="C1576">INDIRECT("Tableau!$U$64")</f>
        <v/>
      </c>
      <c r="D1576" s="400" t="str">
        <f t="shared" si="10"/>
        <v>IN</v>
      </c>
      <c r="E1576" s="403" t="str">
        <f t="array" ref="E1576">INDIRECT("Tableau!$V$64")</f>
        <v/>
      </c>
    </row>
    <row r="1577">
      <c r="A1577" s="402">
        <f t="array" ref="A1577">INDIRECT("Tableau!$A$65")</f>
        <v>301</v>
      </c>
      <c r="B1577" s="398" t="s">
        <v>473</v>
      </c>
      <c r="C1577" s="400" t="str">
        <f t="array" ref="C1577">INDIRECT("Tableau!$U$65")</f>
        <v>Carbelle</v>
      </c>
      <c r="D1577" s="400" t="str">
        <f t="shared" si="10"/>
        <v>IN</v>
      </c>
      <c r="E1577" s="403" t="str">
        <f t="array" ref="E1577">INDIRECT("Tableau!$V$65")</f>
        <v/>
      </c>
    </row>
    <row r="1578">
      <c r="A1578" s="397" t="str">
        <f t="array" ref="A1578">INDIRECT("Tableau!$A$66")</f>
        <v/>
      </c>
      <c r="B1578" s="398" t="s">
        <v>473</v>
      </c>
      <c r="C1578" s="400" t="str">
        <f t="array" ref="C1578">INDIRECT("Tableau!$U$66")</f>
        <v/>
      </c>
      <c r="D1578" s="400" t="str">
        <f t="shared" si="10"/>
        <v>IN</v>
      </c>
      <c r="E1578" s="403" t="str">
        <f t="array" ref="E1578">INDIRECT("Tableau!$V$66")</f>
        <v/>
      </c>
    </row>
    <row r="1579">
      <c r="A1579" s="402">
        <f t="array" ref="A1579">INDIRECT("Tableau!$A$67")</f>
        <v>303</v>
      </c>
      <c r="B1579" s="398" t="s">
        <v>473</v>
      </c>
      <c r="C1579" s="400" t="str">
        <f t="array" ref="C1579">INDIRECT("Tableau!$U$67")</f>
        <v>Carbelle</v>
      </c>
      <c r="D1579" s="400" t="str">
        <f t="shared" si="10"/>
        <v>IN</v>
      </c>
      <c r="E1579" s="403" t="str">
        <f t="array" ref="E1579">INDIRECT("Tableau!$V$67")</f>
        <v/>
      </c>
    </row>
    <row r="1580">
      <c r="A1580" s="402">
        <f t="array" ref="A1580">INDIRECT("Tableau!$A$68")</f>
        <v>304</v>
      </c>
      <c r="B1580" s="398" t="s">
        <v>473</v>
      </c>
      <c r="C1580" s="400" t="str">
        <f t="array" ref="C1580">INDIRECT("Tableau!$U$68")</f>
        <v>Carbelle</v>
      </c>
      <c r="D1580" s="400" t="str">
        <f t="shared" si="10"/>
        <v>IN</v>
      </c>
      <c r="E1580" s="403" t="str">
        <f t="array" ref="E1580">INDIRECT("Tableau!$V$68")</f>
        <v/>
      </c>
    </row>
    <row r="1581">
      <c r="A1581" s="402">
        <f t="array" ref="A1581">INDIRECT("Tableau!$A$69")</f>
        <v>305</v>
      </c>
      <c r="B1581" s="398" t="s">
        <v>473</v>
      </c>
      <c r="C1581" s="400" t="str">
        <f t="array" ref="C1581">INDIRECT("Tableau!$U$69")</f>
        <v/>
      </c>
      <c r="D1581" s="400" t="str">
        <f t="shared" si="10"/>
        <v>IN</v>
      </c>
      <c r="E1581" s="403" t="str">
        <f t="array" ref="E1581">INDIRECT("Tableau!$V$69")</f>
        <v/>
      </c>
    </row>
    <row r="1582">
      <c r="A1582" s="402">
        <f t="array" ref="A1582">INDIRECT("Tableau!$A$70")</f>
        <v>306</v>
      </c>
      <c r="B1582" s="398" t="s">
        <v>473</v>
      </c>
      <c r="C1582" s="400" t="str">
        <f t="array" ref="C1582">INDIRECT("Tableau!$U$70")</f>
        <v/>
      </c>
      <c r="D1582" s="400" t="str">
        <f t="shared" si="10"/>
        <v>IN</v>
      </c>
      <c r="E1582" s="403" t="str">
        <f t="array" ref="E1582">INDIRECT("Tableau!$V$70")</f>
        <v/>
      </c>
    </row>
    <row r="1583">
      <c r="A1583" s="402">
        <f t="array" ref="A1583">INDIRECT("Tableau!$A$71")</f>
        <v>307</v>
      </c>
      <c r="B1583" s="398" t="s">
        <v>473</v>
      </c>
      <c r="C1583" s="400" t="str">
        <f t="array" ref="C1583">INDIRECT("Tableau!$U$71")</f>
        <v/>
      </c>
      <c r="D1583" s="400" t="str">
        <f t="shared" si="10"/>
        <v>IN</v>
      </c>
      <c r="E1583" s="403" t="str">
        <f t="array" ref="E1583">INDIRECT("Tableau!$V$71")</f>
        <v/>
      </c>
    </row>
    <row r="1584">
      <c r="A1584" s="397">
        <f t="array" ref="A1584">INDIRECT("Tableau!$A$72")</f>
        <v>367</v>
      </c>
      <c r="B1584" s="398" t="s">
        <v>473</v>
      </c>
      <c r="C1584" s="400" t="str">
        <f t="array" ref="C1584">INDIRECT("Tableau!$U$72")</f>
        <v/>
      </c>
      <c r="D1584" s="400" t="str">
        <f t="shared" si="10"/>
        <v>IN</v>
      </c>
      <c r="E1584" s="403" t="str">
        <f t="array" ref="E1584">INDIRECT("Tableau!$V$72")</f>
        <v/>
      </c>
    </row>
    <row r="1585">
      <c r="A1585" s="402">
        <f t="array" ref="A1585">INDIRECT("Tableau!$A$73")</f>
        <v>308</v>
      </c>
      <c r="B1585" s="398" t="s">
        <v>473</v>
      </c>
      <c r="C1585" s="400" t="str">
        <f t="array" ref="C1585">INDIRECT("Tableau!$U$73")</f>
        <v/>
      </c>
      <c r="D1585" s="400" t="str">
        <f t="shared" si="10"/>
        <v>IN</v>
      </c>
      <c r="E1585" s="403" t="str">
        <f t="array" ref="E1585">INDIRECT("Tableau!$V$73")</f>
        <v/>
      </c>
    </row>
    <row r="1586">
      <c r="A1586" s="397">
        <f t="array" ref="A1586">INDIRECT("Tableau!$A$74")</f>
        <v>319</v>
      </c>
      <c r="B1586" s="398" t="s">
        <v>473</v>
      </c>
      <c r="C1586" s="400" t="str">
        <f t="array" ref="C1586">INDIRECT("Tableau!$U$74")</f>
        <v/>
      </c>
      <c r="D1586" s="400" t="str">
        <f t="shared" si="10"/>
        <v>IN</v>
      </c>
      <c r="E1586" s="403" t="str">
        <f t="array" ref="E1586">INDIRECT("Tableau!$V$74")</f>
        <v/>
      </c>
    </row>
    <row r="1587">
      <c r="A1587" s="402">
        <f t="array" ref="A1587">INDIRECT("Tableau!$A$75")</f>
        <v>309</v>
      </c>
      <c r="B1587" s="398" t="s">
        <v>473</v>
      </c>
      <c r="C1587" s="400" t="str">
        <f t="array" ref="C1587">INDIRECT("Tableau!$U$75")</f>
        <v/>
      </c>
      <c r="D1587" s="400" t="str">
        <f t="shared" si="10"/>
        <v>IN</v>
      </c>
      <c r="E1587" s="403" t="str">
        <f t="array" ref="E1587">INDIRECT("Tableau!$V$75")</f>
        <v/>
      </c>
    </row>
    <row r="1588">
      <c r="A1588" s="402">
        <f t="array" ref="A1588">INDIRECT("Tableau!$A$76")</f>
        <v>310</v>
      </c>
      <c r="B1588" s="398" t="s">
        <v>473</v>
      </c>
      <c r="C1588" s="400" t="str">
        <f t="array" ref="C1588">INDIRECT("Tableau!$U$76")</f>
        <v/>
      </c>
      <c r="D1588" s="400" t="str">
        <f t="shared" si="10"/>
        <v>IN</v>
      </c>
      <c r="E1588" s="403" t="str">
        <f t="array" ref="E1588">INDIRECT("Tableau!$V$76")</f>
        <v/>
      </c>
    </row>
    <row r="1589">
      <c r="A1589" s="402">
        <f t="array" ref="A1589">INDIRECT("Tableau!$A$77")</f>
        <v>311</v>
      </c>
      <c r="B1589" s="398" t="s">
        <v>473</v>
      </c>
      <c r="C1589" s="400" t="str">
        <f t="array" ref="C1589">INDIRECT("Tableau!$U$77")</f>
        <v/>
      </c>
      <c r="D1589" s="400" t="str">
        <f t="shared" si="10"/>
        <v>IN</v>
      </c>
      <c r="E1589" s="403" t="str">
        <f t="array" ref="E1589">INDIRECT("Tableau!$V$77")</f>
        <v/>
      </c>
    </row>
    <row r="1590">
      <c r="A1590" s="402">
        <f t="array" ref="A1590">INDIRECT("Tableau!$A$78")</f>
        <v>312</v>
      </c>
      <c r="B1590" s="398" t="s">
        <v>473</v>
      </c>
      <c r="C1590" s="400" t="str">
        <f t="array" ref="C1590">INDIRECT("Tableau!$U$78")</f>
        <v/>
      </c>
      <c r="D1590" s="400" t="str">
        <f t="shared" si="10"/>
        <v>IN</v>
      </c>
      <c r="E1590" s="403" t="str">
        <f t="array" ref="E1590">INDIRECT("Tableau!$V$78")</f>
        <v/>
      </c>
    </row>
    <row r="1591">
      <c r="A1591" s="402">
        <f t="array" ref="A1591">INDIRECT("Tableau!$A$79")</f>
        <v>313</v>
      </c>
      <c r="B1591" s="398" t="s">
        <v>473</v>
      </c>
      <c r="C1591" s="400" t="str">
        <f t="array" ref="C1591">INDIRECT("Tableau!$U$79")</f>
        <v/>
      </c>
      <c r="D1591" s="400" t="str">
        <f t="shared" si="10"/>
        <v>IN</v>
      </c>
      <c r="E1591" s="403" t="str">
        <f t="array" ref="E1591">INDIRECT("Tableau!$V$79")</f>
        <v/>
      </c>
    </row>
    <row r="1592">
      <c r="A1592" s="402">
        <f t="array" ref="A1592">INDIRECT("Tableau!$A$80")</f>
        <v>314</v>
      </c>
      <c r="B1592" s="398" t="s">
        <v>473</v>
      </c>
      <c r="C1592" s="400" t="str">
        <f t="array" ref="C1592">INDIRECT("Tableau!$U$80")</f>
        <v/>
      </c>
      <c r="D1592" s="400" t="str">
        <f t="shared" si="10"/>
        <v>IN</v>
      </c>
      <c r="E1592" s="403" t="str">
        <f t="array" ref="E1592">INDIRECT("Tableau!$V$80")</f>
        <v/>
      </c>
    </row>
    <row r="1593">
      <c r="A1593" s="402">
        <f t="array" ref="A1593">INDIRECT("Tableau!$A$81")</f>
        <v>315</v>
      </c>
      <c r="B1593" s="398" t="s">
        <v>473</v>
      </c>
      <c r="C1593" s="400" t="str">
        <f t="array" ref="C1593">INDIRECT("Tableau!$U$81")</f>
        <v/>
      </c>
      <c r="D1593" s="400" t="str">
        <f t="shared" si="10"/>
        <v>IN</v>
      </c>
      <c r="E1593" s="403" t="str">
        <f t="array" ref="E1593">INDIRECT("Tableau!$V$81")</f>
        <v/>
      </c>
    </row>
    <row r="1594">
      <c r="A1594" s="402">
        <f t="array" ref="A1594">INDIRECT("Tableau!$A$82")</f>
        <v>316</v>
      </c>
      <c r="B1594" s="398" t="s">
        <v>473</v>
      </c>
      <c r="C1594" s="400" t="str">
        <f t="array" ref="C1594">INDIRECT("Tableau!$U$82")</f>
        <v/>
      </c>
      <c r="D1594" s="400" t="str">
        <f t="shared" si="10"/>
        <v>IN</v>
      </c>
      <c r="E1594" s="403" t="str">
        <f t="array" ref="E1594">INDIRECT("Tableau!$V$82")</f>
        <v/>
      </c>
    </row>
    <row r="1595">
      <c r="A1595" s="402">
        <f t="array" ref="A1595">INDIRECT("Tableau!$A$83")</f>
        <v>317</v>
      </c>
      <c r="B1595" s="398" t="s">
        <v>473</v>
      </c>
      <c r="C1595" s="400" t="str">
        <f t="array" ref="C1595">INDIRECT("Tableau!$U$83")</f>
        <v/>
      </c>
      <c r="D1595" s="400" t="str">
        <f t="shared" si="10"/>
        <v>IN</v>
      </c>
      <c r="E1595" s="403" t="str">
        <f t="array" ref="E1595">INDIRECT("Tableau!$V$83")</f>
        <v/>
      </c>
    </row>
    <row r="1596">
      <c r="A1596" s="402">
        <f t="array" ref="A1596">INDIRECT("Tableau!$A$84")</f>
        <v>318</v>
      </c>
      <c r="B1596" s="398" t="s">
        <v>473</v>
      </c>
      <c r="C1596" s="400" t="str">
        <f t="array" ref="C1596">INDIRECT("Tableau!$U$84")</f>
        <v/>
      </c>
      <c r="D1596" s="400" t="str">
        <f t="shared" si="10"/>
        <v>IN</v>
      </c>
      <c r="E1596" s="403" t="str">
        <f t="array" ref="E1596">INDIRECT("Tableau!$V$84")</f>
        <v/>
      </c>
    </row>
    <row r="1597">
      <c r="A1597" s="402">
        <f t="array" ref="A1597">INDIRECT("Tableau!$A$85")</f>
        <v>320</v>
      </c>
      <c r="B1597" s="398" t="s">
        <v>473</v>
      </c>
      <c r="C1597" s="400" t="str">
        <f t="array" ref="C1597">INDIRECT("Tableau!$U$85")</f>
        <v/>
      </c>
      <c r="D1597" s="400" t="str">
        <f t="shared" si="10"/>
        <v>IN</v>
      </c>
      <c r="E1597" s="403" t="str">
        <f t="array" ref="E1597">INDIRECT("Tableau!$V$85")</f>
        <v/>
      </c>
    </row>
    <row r="1598">
      <c r="A1598" s="402">
        <f t="array" ref="A1598">INDIRECT("Tableau!$A$86")</f>
        <v>321</v>
      </c>
      <c r="B1598" s="398" t="s">
        <v>473</v>
      </c>
      <c r="C1598" s="400" t="str">
        <f t="array" ref="C1598">INDIRECT("Tableau!$U$86")</f>
        <v/>
      </c>
      <c r="D1598" s="400" t="str">
        <f t="shared" si="10"/>
        <v>IN</v>
      </c>
      <c r="E1598" s="403" t="str">
        <f t="array" ref="E1598">INDIRECT("Tableau!$V$86")</f>
        <v/>
      </c>
    </row>
    <row r="1599">
      <c r="A1599" s="397" t="str">
        <f t="array" ref="A1599">INDIRECT("Tableau!$A$87")</f>
        <v/>
      </c>
      <c r="B1599" s="398" t="s">
        <v>473</v>
      </c>
      <c r="C1599" s="400" t="str">
        <f t="array" ref="C1599">INDIRECT("Tableau!$U$87")</f>
        <v/>
      </c>
      <c r="D1599" s="400" t="str">
        <f t="shared" si="10"/>
        <v>IN</v>
      </c>
      <c r="E1599" s="403" t="str">
        <f t="array" ref="E1599">INDIRECT("Tableau!$V$87")</f>
        <v/>
      </c>
    </row>
    <row r="1600">
      <c r="A1600" s="402">
        <f t="array" ref="A1600">INDIRECT("Tableau!$A$88")</f>
        <v>323</v>
      </c>
      <c r="B1600" s="398" t="s">
        <v>473</v>
      </c>
      <c r="C1600" s="400" t="str">
        <f t="array" ref="C1600">INDIRECT("Tableau!$U$88")</f>
        <v/>
      </c>
      <c r="D1600" s="400" t="str">
        <f t="shared" si="10"/>
        <v>IN</v>
      </c>
      <c r="E1600" s="403" t="str">
        <f t="array" ref="E1600">INDIRECT("Tableau!$V$88")</f>
        <v/>
      </c>
    </row>
    <row r="1601">
      <c r="A1601" s="402">
        <f t="array" ref="A1601">INDIRECT("Tableau!$A$89")</f>
        <v>324</v>
      </c>
      <c r="B1601" s="398" t="s">
        <v>473</v>
      </c>
      <c r="C1601" s="400" t="str">
        <f t="array" ref="C1601">INDIRECT("Tableau!$U$89")</f>
        <v/>
      </c>
      <c r="D1601" s="400" t="str">
        <f t="shared" si="10"/>
        <v>IN</v>
      </c>
      <c r="E1601" s="403" t="str">
        <f t="array" ref="E1601">INDIRECT("Tableau!$V$89")</f>
        <v/>
      </c>
    </row>
    <row r="1602">
      <c r="A1602" s="402">
        <f t="array" ref="A1602">INDIRECT("Tableau!$A$90")</f>
        <v>325</v>
      </c>
      <c r="B1602" s="398" t="s">
        <v>473</v>
      </c>
      <c r="C1602" s="400" t="str">
        <f t="array" ref="C1602">INDIRECT("Tableau!$U$90")</f>
        <v/>
      </c>
      <c r="D1602" s="400" t="str">
        <f t="shared" si="10"/>
        <v>IN</v>
      </c>
      <c r="E1602" s="403" t="str">
        <f t="array" ref="E1602">INDIRECT("Tableau!$V$90")</f>
        <v/>
      </c>
    </row>
    <row r="1603">
      <c r="A1603" s="402">
        <f t="array" ref="A1603">INDIRECT("Tableau!$A$91")</f>
        <v>326</v>
      </c>
      <c r="B1603" s="398" t="s">
        <v>473</v>
      </c>
      <c r="C1603" s="400" t="str">
        <f t="array" ref="C1603">INDIRECT("Tableau!$U$91")</f>
        <v/>
      </c>
      <c r="D1603" s="400" t="str">
        <f t="shared" si="10"/>
        <v>IN</v>
      </c>
      <c r="E1603" s="403" t="str">
        <f t="array" ref="E1603">INDIRECT("Tableau!$V$91")</f>
        <v/>
      </c>
    </row>
    <row r="1604">
      <c r="A1604" s="402">
        <f t="array" ref="A1604">INDIRECT("Tableau!$A$92")</f>
        <v>327</v>
      </c>
      <c r="B1604" s="398" t="s">
        <v>473</v>
      </c>
      <c r="C1604" s="400" t="str">
        <f t="array" ref="C1604">INDIRECT("Tableau!$U$92")</f>
        <v/>
      </c>
      <c r="D1604" s="400" t="str">
        <f t="shared" si="10"/>
        <v>IN</v>
      </c>
      <c r="E1604" s="403" t="str">
        <f t="array" ref="E1604">INDIRECT("Tableau!$V$92")</f>
        <v/>
      </c>
    </row>
    <row r="1605">
      <c r="A1605" s="402">
        <f t="array" ref="A1605">INDIRECT("Tableau!$A$93")</f>
        <v>328</v>
      </c>
      <c r="B1605" s="398" t="s">
        <v>473</v>
      </c>
      <c r="C1605" s="400" t="str">
        <f t="array" ref="C1605">INDIRECT("Tableau!$U$93")</f>
        <v/>
      </c>
      <c r="D1605" s="400" t="str">
        <f t="shared" si="10"/>
        <v>IN</v>
      </c>
      <c r="E1605" s="403" t="str">
        <f t="array" ref="E1605">INDIRECT("Tableau!$V$93")</f>
        <v/>
      </c>
    </row>
    <row r="1606">
      <c r="A1606" s="402">
        <f t="array" ref="A1606">INDIRECT("Tableau!$A$94")</f>
        <v>329</v>
      </c>
      <c r="B1606" s="398" t="s">
        <v>473</v>
      </c>
      <c r="C1606" s="400" t="str">
        <f t="array" ref="C1606">INDIRECT("Tableau!$U$94")</f>
        <v/>
      </c>
      <c r="D1606" s="400" t="str">
        <f t="shared" si="10"/>
        <v>IN</v>
      </c>
      <c r="E1606" s="403" t="str">
        <f t="array" ref="E1606">INDIRECT("Tableau!$V$94")</f>
        <v/>
      </c>
    </row>
    <row r="1607">
      <c r="A1607" s="402">
        <f t="array" ref="A1607">INDIRECT("Tableau!$A$95")</f>
        <v>330</v>
      </c>
      <c r="B1607" s="398" t="s">
        <v>473</v>
      </c>
      <c r="C1607" s="400" t="str">
        <f t="array" ref="C1607">INDIRECT("Tableau!$U$95")</f>
        <v/>
      </c>
      <c r="D1607" s="400" t="str">
        <f t="shared" si="10"/>
        <v>IN</v>
      </c>
      <c r="E1607" s="403" t="str">
        <f t="array" ref="E1607">INDIRECT("Tableau!$V$95")</f>
        <v/>
      </c>
    </row>
    <row r="1608">
      <c r="A1608" s="402">
        <f t="array" ref="A1608">INDIRECT("Tableau!$A$96")</f>
        <v>331</v>
      </c>
      <c r="B1608" s="398" t="s">
        <v>473</v>
      </c>
      <c r="C1608" s="400" t="str">
        <f t="array" ref="C1608">INDIRECT("Tableau!$U$96")</f>
        <v>Carbelle</v>
      </c>
      <c r="D1608" s="400" t="str">
        <f t="shared" si="10"/>
        <v>IN</v>
      </c>
      <c r="E1608" s="403" t="str">
        <f t="array" ref="E1608">INDIRECT("Tableau!$V$96")</f>
        <v/>
      </c>
    </row>
    <row r="1609">
      <c r="A1609" s="402">
        <f t="array" ref="A1609">INDIRECT("Tableau!$A$97")</f>
        <v>332</v>
      </c>
      <c r="B1609" s="398" t="s">
        <v>473</v>
      </c>
      <c r="C1609" s="400" t="str">
        <f t="array" ref="C1609">INDIRECT("Tableau!$U$97")</f>
        <v>Carbelle</v>
      </c>
      <c r="D1609" s="400" t="str">
        <f t="shared" si="10"/>
        <v>IN</v>
      </c>
      <c r="E1609" s="403" t="str">
        <f t="array" ref="E1609">INDIRECT("Tableau!$V$97")</f>
        <v/>
      </c>
    </row>
    <row r="1610">
      <c r="A1610" s="402">
        <f t="array" ref="A1610">INDIRECT("Tableau!$A$98")</f>
        <v>333</v>
      </c>
      <c r="B1610" s="398" t="s">
        <v>473</v>
      </c>
      <c r="C1610" s="400" t="str">
        <f t="array" ref="C1610">INDIRECT("Tableau!$U$98")</f>
        <v/>
      </c>
      <c r="D1610" s="400" t="str">
        <f t="shared" si="10"/>
        <v>IN</v>
      </c>
      <c r="E1610" s="403" t="str">
        <f t="array" ref="E1610">INDIRECT("Tableau!$V$98")</f>
        <v/>
      </c>
    </row>
    <row r="1611">
      <c r="A1611" s="402">
        <f t="array" ref="A1611">INDIRECT("Tableau!$A$99")</f>
        <v>334</v>
      </c>
      <c r="B1611" s="398" t="s">
        <v>473</v>
      </c>
      <c r="C1611" s="400" t="str">
        <f t="array" ref="C1611">INDIRECT("Tableau!$U$99")</f>
        <v/>
      </c>
      <c r="D1611" s="400" t="str">
        <f t="shared" si="10"/>
        <v>IN</v>
      </c>
      <c r="E1611" s="403" t="str">
        <f t="array" ref="E1611">INDIRECT("Tableau!$V$99")</f>
        <v/>
      </c>
    </row>
    <row r="1612">
      <c r="A1612" s="402">
        <f t="array" ref="A1612">INDIRECT("Tableau!$A$100")</f>
        <v>335</v>
      </c>
      <c r="B1612" s="398" t="s">
        <v>473</v>
      </c>
      <c r="C1612" s="400" t="str">
        <f t="array" ref="C1612">INDIRECT("Tableau!$U$100")</f>
        <v>Carbelle / DEMA</v>
      </c>
      <c r="D1612" s="400" t="str">
        <f t="shared" si="10"/>
        <v>IN</v>
      </c>
      <c r="E1612" s="403" t="str">
        <f t="array" ref="E1612">INDIRECT("Tableau!$V$100")</f>
        <v/>
      </c>
    </row>
    <row r="1613">
      <c r="A1613" s="402">
        <f t="array" ref="A1613">INDIRECT("Tableau!$A$101")</f>
        <v>336</v>
      </c>
      <c r="B1613" s="398" t="s">
        <v>473</v>
      </c>
      <c r="C1613" s="400" t="str">
        <f t="array" ref="C1613">INDIRECT("Tableau!$U$101")</f>
        <v>Immo Toma </v>
      </c>
      <c r="D1613" s="400" t="str">
        <f t="shared" si="10"/>
        <v>IN</v>
      </c>
      <c r="E1613" s="403" t="str">
        <f t="array" ref="E1613">INDIRECT("Tableau!$V$101")</f>
        <v/>
      </c>
    </row>
    <row r="1614">
      <c r="A1614" s="402">
        <f t="array" ref="A1614">INDIRECT("Tableau!$A$102")</f>
        <v>337</v>
      </c>
      <c r="B1614" s="398" t="s">
        <v>473</v>
      </c>
      <c r="C1614" s="400" t="str">
        <f t="array" ref="C1614">INDIRECT("Tableau!$U$102")</f>
        <v>Carbelle</v>
      </c>
      <c r="D1614" s="400" t="str">
        <f t="shared" si="10"/>
        <v>IN</v>
      </c>
      <c r="E1614" s="403" t="str">
        <f t="array" ref="E1614">INDIRECT("Tableau!$V$102")</f>
        <v/>
      </c>
    </row>
    <row r="1615">
      <c r="A1615" s="402">
        <f t="array" ref="A1615">INDIRECT("Tableau!$A$103")</f>
        <v>338</v>
      </c>
      <c r="B1615" s="398" t="s">
        <v>473</v>
      </c>
      <c r="C1615" s="400" t="str">
        <f t="array" ref="C1615">INDIRECT("Tableau!$U$103")</f>
        <v/>
      </c>
      <c r="D1615" s="400" t="str">
        <f t="shared" si="10"/>
        <v>IN</v>
      </c>
      <c r="E1615" s="403" t="str">
        <f t="array" ref="E1615">INDIRECT("Tableau!$V$103")</f>
        <v/>
      </c>
    </row>
    <row r="1616">
      <c r="A1616" s="402">
        <f t="array" ref="A1616">INDIRECT("Tableau!$A$104")</f>
        <v>339</v>
      </c>
      <c r="B1616" s="398" t="s">
        <v>473</v>
      </c>
      <c r="C1616" s="400" t="str">
        <f t="array" ref="C1616">INDIRECT("Tableau!$U$104")</f>
        <v/>
      </c>
      <c r="D1616" s="400" t="str">
        <f t="shared" si="10"/>
        <v>IN</v>
      </c>
      <c r="E1616" s="403" t="str">
        <f t="array" ref="E1616">INDIRECT("Tableau!$V$104")</f>
        <v/>
      </c>
    </row>
    <row r="1617">
      <c r="A1617" s="402">
        <f t="array" ref="A1617">INDIRECT("Tableau!$A$105")</f>
        <v>340</v>
      </c>
      <c r="B1617" s="398" t="s">
        <v>473</v>
      </c>
      <c r="C1617" s="400" t="str">
        <f t="array" ref="C1617">INDIRECT("Tableau!$U$105")</f>
        <v>Carbelle</v>
      </c>
      <c r="D1617" s="400" t="str">
        <f t="shared" si="10"/>
        <v>IN</v>
      </c>
      <c r="E1617" s="403" t="str">
        <f t="array" ref="E1617">INDIRECT("Tableau!$V$105")</f>
        <v/>
      </c>
    </row>
    <row r="1618">
      <c r="A1618" s="402">
        <f t="array" ref="A1618">INDIRECT("Tableau!$A$106")</f>
        <v>341</v>
      </c>
      <c r="B1618" s="398" t="s">
        <v>473</v>
      </c>
      <c r="C1618" s="400" t="str">
        <f t="array" ref="C1618">INDIRECT("Tableau!$U$106")</f>
        <v>Carbelle</v>
      </c>
      <c r="D1618" s="400" t="str">
        <f t="shared" si="10"/>
        <v>IN</v>
      </c>
      <c r="E1618" s="403" t="str">
        <f t="array" ref="E1618">INDIRECT("Tableau!$V$106")</f>
        <v/>
      </c>
    </row>
    <row r="1619">
      <c r="A1619" s="402">
        <f t="array" ref="A1619">INDIRECT("Tableau!$A$107")</f>
        <v>365</v>
      </c>
      <c r="B1619" s="398" t="s">
        <v>473</v>
      </c>
      <c r="C1619" s="400" t="str">
        <f t="array" ref="C1619">INDIRECT("Tableau!$U$107")</f>
        <v/>
      </c>
      <c r="D1619" s="400" t="str">
        <f t="shared" si="10"/>
        <v>IN</v>
      </c>
      <c r="E1619" s="403" t="str">
        <f t="array" ref="E1619">INDIRECT("Tableau!$V$107")</f>
        <v/>
      </c>
    </row>
    <row r="1620">
      <c r="A1620" s="402">
        <f t="array" ref="A1620">INDIRECT("Tableau!$A$108")</f>
        <v>342</v>
      </c>
      <c r="B1620" s="398" t="s">
        <v>473</v>
      </c>
      <c r="C1620" s="400" t="str">
        <f t="array" ref="C1620">INDIRECT("Tableau!$U$108")</f>
        <v>Carbelle</v>
      </c>
      <c r="D1620" s="400" t="str">
        <f t="shared" si="10"/>
        <v>IN</v>
      </c>
      <c r="E1620" s="403" t="str">
        <f t="array" ref="E1620">INDIRECT("Tableau!$V$108")</f>
        <v/>
      </c>
    </row>
    <row r="1621">
      <c r="A1621" s="402">
        <f t="array" ref="A1621">INDIRECT("Tableau!$A$109")</f>
        <v>343</v>
      </c>
      <c r="B1621" s="398" t="s">
        <v>473</v>
      </c>
      <c r="C1621" s="400" t="str">
        <f t="array" ref="C1621">INDIRECT("Tableau!$U$109")</f>
        <v>Carbelle</v>
      </c>
      <c r="D1621" s="400" t="str">
        <f t="shared" si="10"/>
        <v>IN</v>
      </c>
      <c r="E1621" s="403" t="str">
        <f t="array" ref="E1621">INDIRECT("Tableau!$V$109")</f>
        <v/>
      </c>
    </row>
    <row r="1622">
      <c r="A1622" s="402">
        <f t="array" ref="A1622">INDIRECT("Tableau!$A$110")</f>
        <v>344</v>
      </c>
      <c r="B1622" s="398" t="s">
        <v>473</v>
      </c>
      <c r="C1622" s="400" t="str">
        <f t="array" ref="C1622">INDIRECT("Tableau!$U$110")</f>
        <v>Immo Toma </v>
      </c>
      <c r="D1622" s="400" t="str">
        <f t="shared" si="10"/>
        <v>IN</v>
      </c>
      <c r="E1622" s="403" t="str">
        <f t="array" ref="E1622">INDIRECT("Tableau!$V$110")</f>
        <v/>
      </c>
    </row>
    <row r="1623">
      <c r="A1623" s="402">
        <f t="array" ref="A1623">INDIRECT("Tableau!$A$111")</f>
        <v>363</v>
      </c>
      <c r="B1623" s="398" t="s">
        <v>473</v>
      </c>
      <c r="C1623" s="400" t="str">
        <f t="array" ref="C1623">INDIRECT("Tableau!$U$111")</f>
        <v>DEMA</v>
      </c>
      <c r="D1623" s="400" t="str">
        <f t="shared" si="10"/>
        <v>IN</v>
      </c>
      <c r="E1623" s="403" t="str">
        <f t="array" ref="E1623">INDIRECT("Tableau!$V$111")</f>
        <v/>
      </c>
    </row>
    <row r="1624">
      <c r="A1624" s="402">
        <f t="array" ref="A1624">INDIRECT("Tableau!$A$112")</f>
        <v>345</v>
      </c>
      <c r="B1624" s="398" t="s">
        <v>473</v>
      </c>
      <c r="C1624" s="400" t="str">
        <f t="array" ref="C1624">INDIRECT("Tableau!$U$112")</f>
        <v/>
      </c>
      <c r="D1624" s="400" t="str">
        <f t="shared" si="10"/>
        <v>IN</v>
      </c>
      <c r="E1624" s="403" t="str">
        <f t="array" ref="E1624">INDIRECT("Tableau!$V$112")</f>
        <v/>
      </c>
    </row>
    <row r="1625">
      <c r="A1625" s="402">
        <f t="array" ref="A1625">INDIRECT("Tableau!$A$113")</f>
        <v>346</v>
      </c>
      <c r="B1625" s="398" t="s">
        <v>473</v>
      </c>
      <c r="C1625" s="400" t="str">
        <f t="array" ref="C1625">INDIRECT("Tableau!$U$113")</f>
        <v/>
      </c>
      <c r="D1625" s="400" t="str">
        <f t="shared" si="10"/>
        <v>IN</v>
      </c>
      <c r="E1625" s="403" t="str">
        <f t="array" ref="E1625">INDIRECT("Tableau!$V$113")</f>
        <v/>
      </c>
    </row>
    <row r="1626">
      <c r="A1626" s="402">
        <f t="array" ref="A1626">INDIRECT("Tableau!$A$114")</f>
        <v>359</v>
      </c>
      <c r="B1626" s="398" t="s">
        <v>473</v>
      </c>
      <c r="C1626" s="400" t="str">
        <f t="array" ref="C1626">INDIRECT("Tableau!$U$114")</f>
        <v/>
      </c>
      <c r="D1626" s="400" t="str">
        <f t="shared" si="10"/>
        <v>IN</v>
      </c>
      <c r="E1626" s="403" t="str">
        <f t="array" ref="E1626">INDIRECT("Tableau!$V$114")</f>
        <v/>
      </c>
    </row>
    <row r="1627">
      <c r="A1627" s="402">
        <f t="array" ref="A1627">INDIRECT("Tableau!$A$115")</f>
        <v>360</v>
      </c>
      <c r="B1627" s="398" t="s">
        <v>473</v>
      </c>
      <c r="C1627" s="400" t="str">
        <f t="array" ref="C1627">INDIRECT("Tableau!$U$115")</f>
        <v/>
      </c>
      <c r="D1627" s="400" t="str">
        <f t="shared" si="10"/>
        <v>IN</v>
      </c>
      <c r="E1627" s="403" t="str">
        <f t="array" ref="E1627">INDIRECT("Tableau!$V$115")</f>
        <v/>
      </c>
    </row>
    <row r="1628">
      <c r="A1628" s="402">
        <f t="array" ref="A1628">INDIRECT("Tableau!$A$116")</f>
        <v>361</v>
      </c>
      <c r="B1628" s="398" t="s">
        <v>473</v>
      </c>
      <c r="C1628" s="400" t="str">
        <f t="array" ref="C1628">INDIRECT("Tableau!$U$116")</f>
        <v/>
      </c>
      <c r="D1628" s="400" t="str">
        <f t="shared" si="10"/>
        <v>IN</v>
      </c>
      <c r="E1628" s="403" t="str">
        <f t="array" ref="E1628">INDIRECT("Tableau!$V$116")</f>
        <v/>
      </c>
    </row>
    <row r="1629">
      <c r="A1629" s="397" t="str">
        <f t="array" ref="A1629">INDIRECT("Tableau!$A$117")</f>
        <v/>
      </c>
      <c r="B1629" s="398" t="s">
        <v>473</v>
      </c>
      <c r="C1629" s="400" t="str">
        <f t="array" ref="C1629">INDIRECT("Tableau!$U$117")</f>
        <v/>
      </c>
      <c r="D1629" s="400" t="str">
        <f t="shared" si="10"/>
        <v>IN</v>
      </c>
      <c r="E1629" s="403" t="str">
        <f t="array" ref="E1629">INDIRECT("Tableau!$V$117")</f>
        <v/>
      </c>
    </row>
    <row r="1630">
      <c r="A1630" s="402">
        <f t="array" ref="A1630">INDIRECT("Tableau!$A$118")</f>
        <v>347</v>
      </c>
      <c r="B1630" s="398" t="s">
        <v>473</v>
      </c>
      <c r="C1630" s="400" t="str">
        <f t="array" ref="C1630">INDIRECT("Tableau!$U$118")</f>
        <v>BP Martelange</v>
      </c>
      <c r="D1630" s="400" t="str">
        <f t="shared" si="10"/>
        <v>IN</v>
      </c>
      <c r="E1630" s="403" t="str">
        <f t="array" ref="E1630">INDIRECT("Tableau!$V$118")</f>
        <v/>
      </c>
    </row>
    <row r="1631">
      <c r="A1631" s="402">
        <f t="array" ref="A1631">INDIRECT("Tableau!$A$119")</f>
        <v>348</v>
      </c>
      <c r="B1631" s="398" t="s">
        <v>473</v>
      </c>
      <c r="C1631" s="400" t="str">
        <f t="array" ref="C1631">INDIRECT("Tableau!$U$119")</f>
        <v>Carbelle</v>
      </c>
      <c r="D1631" s="400" t="str">
        <f t="shared" si="10"/>
        <v>IN</v>
      </c>
      <c r="E1631" s="403" t="str">
        <f t="array" ref="E1631">INDIRECT("Tableau!$V$119")</f>
        <v/>
      </c>
    </row>
    <row r="1632">
      <c r="A1632" s="402">
        <f t="array" ref="A1632">INDIRECT("Tableau!$A$120")</f>
        <v>349</v>
      </c>
      <c r="B1632" s="398" t="s">
        <v>473</v>
      </c>
      <c r="C1632" s="400" t="str">
        <f t="array" ref="C1632">INDIRECT("Tableau!$U$120")</f>
        <v>Carbelle / DEMA</v>
      </c>
      <c r="D1632" s="400" t="str">
        <f t="shared" si="10"/>
        <v>IN</v>
      </c>
      <c r="E1632" s="403" t="str">
        <f t="array" ref="E1632">INDIRECT("Tableau!$V$120")</f>
        <v/>
      </c>
    </row>
    <row r="1633">
      <c r="A1633" s="402">
        <f t="array" ref="A1633">INDIRECT("Tableau!$A$121")</f>
        <v>350</v>
      </c>
      <c r="B1633" s="398" t="s">
        <v>473</v>
      </c>
      <c r="C1633" s="400" t="str">
        <f t="array" ref="C1633">INDIRECT("Tableau!$U$121")</f>
        <v>Carbelle</v>
      </c>
      <c r="D1633" s="400" t="str">
        <f t="shared" si="10"/>
        <v>IN</v>
      </c>
      <c r="E1633" s="403" t="str">
        <f t="array" ref="E1633">INDIRECT("Tableau!$V$121")</f>
        <v/>
      </c>
    </row>
    <row r="1634">
      <c r="A1634" s="402">
        <f t="array" ref="A1634">INDIRECT("Tableau!$A$122")</f>
        <v>351</v>
      </c>
      <c r="B1634" s="398" t="s">
        <v>473</v>
      </c>
      <c r="C1634" s="400" t="str">
        <f t="array" ref="C1634">INDIRECT("Tableau!$U$122")</f>
        <v>Carbelle / DEMA</v>
      </c>
      <c r="D1634" s="400" t="str">
        <f t="shared" si="10"/>
        <v>IN</v>
      </c>
      <c r="E1634" s="403" t="str">
        <f t="array" ref="E1634">INDIRECT("Tableau!$V$122")</f>
        <v/>
      </c>
    </row>
    <row r="1635">
      <c r="A1635" s="402">
        <f t="array" ref="A1635">INDIRECT("Tableau!$A$123")</f>
        <v>352</v>
      </c>
      <c r="B1635" s="398" t="s">
        <v>473</v>
      </c>
      <c r="C1635" s="400" t="str">
        <f t="array" ref="C1635">INDIRECT("Tableau!$U$123")</f>
        <v/>
      </c>
      <c r="D1635" s="400" t="str">
        <f t="shared" si="10"/>
        <v>IN</v>
      </c>
      <c r="E1635" s="403" t="str">
        <f t="array" ref="E1635">INDIRECT("Tableau!$V$123")</f>
        <v/>
      </c>
    </row>
    <row r="1636">
      <c r="A1636" s="402">
        <f t="array" ref="A1636">INDIRECT("Tableau!$A$124")</f>
        <v>353</v>
      </c>
      <c r="B1636" s="398" t="s">
        <v>473</v>
      </c>
      <c r="C1636" s="400" t="str">
        <f t="array" ref="C1636">INDIRECT("Tableau!$U$124")</f>
        <v/>
      </c>
      <c r="D1636" s="400" t="str">
        <f t="shared" si="10"/>
        <v>IN</v>
      </c>
      <c r="E1636" s="403" t="str">
        <f t="array" ref="E1636">INDIRECT("Tableau!$V$124")</f>
        <v/>
      </c>
    </row>
    <row r="1637">
      <c r="A1637" s="397" t="str">
        <f t="array" ref="A1637">INDIRECT("Tableau!$A$125")</f>
        <v/>
      </c>
      <c r="B1637" s="398" t="s">
        <v>473</v>
      </c>
      <c r="C1637" s="400" t="str">
        <f t="array" ref="C1637">INDIRECT("Tableau!$U$125")</f>
        <v/>
      </c>
      <c r="D1637" s="400" t="str">
        <f t="shared" si="10"/>
        <v>IN</v>
      </c>
      <c r="E1637" s="403" t="str">
        <f t="array" ref="E1637">INDIRECT("Tableau!$V$125")</f>
        <v/>
      </c>
    </row>
    <row r="1638">
      <c r="A1638" s="402">
        <f t="array" ref="A1638">INDIRECT("Tableau!$A$126")</f>
        <v>354</v>
      </c>
      <c r="B1638" s="398" t="s">
        <v>473</v>
      </c>
      <c r="C1638" s="400" t="str">
        <f t="array" ref="C1638">INDIRECT("Tableau!$U$126")</f>
        <v/>
      </c>
      <c r="D1638" s="400" t="str">
        <f t="shared" si="10"/>
        <v>IN</v>
      </c>
      <c r="E1638" s="403" t="str">
        <f t="array" ref="E1638">INDIRECT("Tableau!$V$126")</f>
        <v/>
      </c>
    </row>
    <row r="1639">
      <c r="A1639" s="402">
        <f t="array" ref="A1639">INDIRECT("Tableau!$A$127")</f>
        <v>355</v>
      </c>
      <c r="B1639" s="398" t="s">
        <v>473</v>
      </c>
      <c r="C1639" s="400" t="str">
        <f t="array" ref="C1639">INDIRECT("Tableau!$U$127")</f>
        <v/>
      </c>
      <c r="D1639" s="400" t="str">
        <f t="shared" si="10"/>
        <v>IN</v>
      </c>
      <c r="E1639" s="403" t="str">
        <f t="array" ref="E1639">INDIRECT("Tableau!$V$127")</f>
        <v/>
      </c>
    </row>
    <row r="1640">
      <c r="A1640" s="402">
        <f t="array" ref="A1640">INDIRECT("Tableau!$A$128")</f>
        <v>356</v>
      </c>
      <c r="B1640" s="398" t="s">
        <v>473</v>
      </c>
      <c r="C1640" s="400" t="str">
        <f t="array" ref="C1640">INDIRECT("Tableau!$U$128")</f>
        <v>Immo Toma </v>
      </c>
      <c r="D1640" s="400" t="str">
        <f t="shared" si="10"/>
        <v>IN</v>
      </c>
      <c r="E1640" s="403" t="str">
        <f t="array" ref="E1640">INDIRECT("Tableau!$V$128")</f>
        <v/>
      </c>
    </row>
    <row r="1641">
      <c r="A1641" s="402">
        <f t="array" ref="A1641">INDIRECT("Tableau!$A$129")</f>
        <v>357</v>
      </c>
      <c r="B1641" s="398" t="s">
        <v>473</v>
      </c>
      <c r="C1641" s="400" t="str">
        <f t="array" ref="C1641">INDIRECT("Tableau!$U$129")</f>
        <v/>
      </c>
      <c r="D1641" s="400" t="str">
        <f t="shared" si="10"/>
        <v>IN</v>
      </c>
      <c r="E1641" s="403" t="str">
        <f t="array" ref="E1641">INDIRECT("Tableau!$V$129")</f>
        <v/>
      </c>
    </row>
    <row r="1642">
      <c r="A1642" s="397" t="str">
        <f t="array" ref="A1642">INDIRECT("Tableau!$A$130")</f>
        <v/>
      </c>
      <c r="B1642" s="398" t="s">
        <v>473</v>
      </c>
      <c r="C1642" s="400" t="str">
        <f t="array" ref="C1642">INDIRECT("Tableau!$U$130")</f>
        <v/>
      </c>
      <c r="D1642" s="400" t="str">
        <f t="shared" si="10"/>
        <v>IN</v>
      </c>
      <c r="E1642" s="403" t="str">
        <f t="array" ref="E1642">INDIRECT("Tableau!$V$130")</f>
        <v/>
      </c>
    </row>
    <row r="1643">
      <c r="A1643" s="397" t="str">
        <f t="array" ref="A1643">INDIRECT("Tableau!$A$131")</f>
        <v/>
      </c>
      <c r="B1643" s="398" t="s">
        <v>473</v>
      </c>
      <c r="C1643" s="400" t="str">
        <f t="array" ref="C1643">INDIRECT("Tableau!$U$131")</f>
        <v/>
      </c>
      <c r="D1643" s="400" t="str">
        <f t="shared" si="10"/>
        <v>IN</v>
      </c>
      <c r="E1643" s="403" t="str">
        <f t="array" ref="E1643">INDIRECT("Tableau!$V$131")</f>
        <v/>
      </c>
    </row>
    <row r="1644">
      <c r="A1644" s="397" t="str">
        <f t="array" ref="A1644">INDIRECT("Tableau!$A$132")</f>
        <v/>
      </c>
      <c r="B1644" s="398" t="s">
        <v>473</v>
      </c>
      <c r="C1644" s="400" t="str">
        <f t="array" ref="C1644">INDIRECT("Tableau!$U$132")</f>
        <v/>
      </c>
      <c r="D1644" s="400" t="str">
        <f t="shared" si="10"/>
        <v>IN</v>
      </c>
      <c r="E1644" s="403" t="str">
        <f t="array" ref="E1644">INDIRECT("Tableau!$V$132")</f>
        <v/>
      </c>
    </row>
    <row r="1645">
      <c r="A1645" s="397" t="str">
        <f t="array" ref="A1645">INDIRECT("Tableau!$A$133")</f>
        <v/>
      </c>
      <c r="B1645" s="398" t="s">
        <v>473</v>
      </c>
      <c r="C1645" s="400" t="str">
        <f t="array" ref="C1645">INDIRECT("Tableau!$U$133")</f>
        <v/>
      </c>
      <c r="D1645" s="400" t="str">
        <f t="shared" si="10"/>
        <v>IN</v>
      </c>
      <c r="E1645" s="403" t="str">
        <f t="array" ref="E1645">INDIRECT("Tableau!$V$133")</f>
        <v/>
      </c>
    </row>
    <row r="1646">
      <c r="A1646" s="397" t="str">
        <f t="array" ref="A1646">INDIRECT("Tableau!$A$134")</f>
        <v/>
      </c>
      <c r="B1646" s="398" t="s">
        <v>473</v>
      </c>
      <c r="C1646" s="400" t="str">
        <f t="array" ref="C1646">INDIRECT("Tableau!$U$134")</f>
        <v/>
      </c>
      <c r="D1646" s="400" t="str">
        <f t="shared" si="10"/>
        <v>IN</v>
      </c>
      <c r="E1646" s="403" t="str">
        <f t="array" ref="E1646">INDIRECT("Tableau!$V$134")</f>
        <v/>
      </c>
    </row>
    <row r="1647">
      <c r="A1647" s="402">
        <f t="array" ref="A1647">INDIRECT("Tableau!$A$135")</f>
        <v>401</v>
      </c>
      <c r="B1647" s="398" t="s">
        <v>473</v>
      </c>
      <c r="C1647" s="400" t="str">
        <f t="array" ref="C1647">INDIRECT("Tableau!$U$135")</f>
        <v>Carbelle</v>
      </c>
      <c r="D1647" s="400" t="str">
        <f t="shared" si="10"/>
        <v>IN</v>
      </c>
      <c r="E1647" s="403" t="str">
        <f t="array" ref="E1647">INDIRECT("Tableau!$V$135")</f>
        <v/>
      </c>
    </row>
    <row r="1648">
      <c r="A1648" s="402">
        <f t="array" ref="A1648">INDIRECT("Tableau!$A$136")</f>
        <v>402</v>
      </c>
      <c r="B1648" s="398" t="s">
        <v>473</v>
      </c>
      <c r="C1648" s="400" t="str">
        <f t="array" ref="C1648">INDIRECT("Tableau!$U$136")</f>
        <v>Carbelle</v>
      </c>
      <c r="D1648" s="400" t="str">
        <f t="shared" si="10"/>
        <v>IN</v>
      </c>
      <c r="E1648" s="400" t="str">
        <f t="array" ref="E1648">INDIRECT("Tableau!$V$1")</f>
        <v>IN</v>
      </c>
    </row>
    <row r="1649">
      <c r="A1649" s="402">
        <f t="array" ref="A1649">INDIRECT("Tableau!$A$137")</f>
        <v>403</v>
      </c>
      <c r="B1649" s="398" t="s">
        <v>473</v>
      </c>
      <c r="C1649" s="400" t="str">
        <f t="array" ref="C1649">INDIRECT("Tableau!$U$137")</f>
        <v>Immo Toma </v>
      </c>
      <c r="D1649" s="400" t="str">
        <f t="shared" si="10"/>
        <v>IN</v>
      </c>
      <c r="E1649" s="403" t="str">
        <f t="array" ref="E1649">INDIRECT("Tableau!$V$137")</f>
        <v/>
      </c>
    </row>
    <row r="1650">
      <c r="A1650" s="402">
        <f t="array" ref="A1650">INDIRECT("Tableau!$A$138")</f>
        <v>404</v>
      </c>
      <c r="B1650" s="398" t="s">
        <v>473</v>
      </c>
      <c r="C1650" s="400" t="str">
        <f t="array" ref="C1650">INDIRECT("Tableau!$U$138")</f>
        <v>Carbelle</v>
      </c>
      <c r="D1650" s="400" t="str">
        <f t="shared" si="10"/>
        <v>IN</v>
      </c>
      <c r="E1650" s="403" t="str">
        <f t="array" ref="E1650">INDIRECT("Tableau!$V$138")</f>
        <v/>
      </c>
    </row>
    <row r="1651">
      <c r="A1651" s="402">
        <f t="array" ref="A1651">INDIRECT("Tableau!$A$139")</f>
        <v>405</v>
      </c>
      <c r="B1651" s="398" t="s">
        <v>473</v>
      </c>
      <c r="C1651" s="400" t="str">
        <f t="array" ref="C1651">INDIRECT("Tableau!$U$139")</f>
        <v/>
      </c>
      <c r="D1651" s="400" t="str">
        <f t="shared" si="10"/>
        <v>IN</v>
      </c>
      <c r="E1651" s="403" t="str">
        <f t="array" ref="E1651">INDIRECT("Tableau!$V$139")</f>
        <v/>
      </c>
    </row>
    <row r="1652">
      <c r="A1652" s="402">
        <f t="array" ref="A1652">INDIRECT("Tableau!$A$140")</f>
        <v>406</v>
      </c>
      <c r="B1652" s="398" t="s">
        <v>473</v>
      </c>
      <c r="C1652" s="400" t="str">
        <f t="array" ref="C1652">INDIRECT("Tableau!$U$140")</f>
        <v/>
      </c>
      <c r="D1652" s="400" t="str">
        <f t="shared" si="10"/>
        <v>IN</v>
      </c>
      <c r="E1652" s="403" t="str">
        <f t="array" ref="E1652">INDIRECT("Tableau!$V$140")</f>
        <v/>
      </c>
    </row>
    <row r="1653">
      <c r="A1653" s="402">
        <f t="array" ref="A1653">INDIRECT("Tableau!$A$141")</f>
        <v>407</v>
      </c>
      <c r="B1653" s="398" t="s">
        <v>473</v>
      </c>
      <c r="C1653" s="400" t="str">
        <f t="array" ref="C1653">INDIRECT("Tableau!$U$141")</f>
        <v>Carbelle</v>
      </c>
      <c r="D1653" s="400" t="str">
        <f t="shared" si="10"/>
        <v>IN</v>
      </c>
      <c r="E1653" s="403" t="str">
        <f t="array" ref="E1653">INDIRECT("Tableau!$V$141")</f>
        <v/>
      </c>
    </row>
    <row r="1654">
      <c r="A1654" s="402">
        <f t="array" ref="A1654">INDIRECT("Tableau!$A$142")</f>
        <v>408</v>
      </c>
      <c r="B1654" s="398" t="s">
        <v>473</v>
      </c>
      <c r="C1654" s="400" t="str">
        <f t="array" ref="C1654">INDIRECT("Tableau!$U$142")</f>
        <v>Carbelle</v>
      </c>
      <c r="D1654" s="400" t="str">
        <f t="shared" si="10"/>
        <v>IN</v>
      </c>
      <c r="E1654" s="403" t="str">
        <f t="array" ref="E1654">INDIRECT("Tableau!$V$142")</f>
        <v/>
      </c>
    </row>
    <row r="1655">
      <c r="A1655" s="402">
        <f t="array" ref="A1655">INDIRECT("Tableau!$A$143")</f>
        <v>409</v>
      </c>
      <c r="B1655" s="398" t="s">
        <v>473</v>
      </c>
      <c r="C1655" s="400" t="str">
        <f t="array" ref="C1655">INDIRECT("Tableau!$U$143")</f>
        <v/>
      </c>
      <c r="D1655" s="400" t="str">
        <f t="shared" si="10"/>
        <v>IN</v>
      </c>
      <c r="E1655" s="403" t="str">
        <f t="array" ref="E1655">INDIRECT("Tableau!$V$143")</f>
        <v/>
      </c>
    </row>
    <row r="1656">
      <c r="A1656" s="397">
        <f t="array" ref="A1656">INDIRECT("Tableau!$A$144")</f>
        <v>415</v>
      </c>
      <c r="B1656" s="398" t="s">
        <v>473</v>
      </c>
      <c r="C1656" s="400" t="str">
        <f t="array" ref="C1656">INDIRECT("Tableau!$U$144")</f>
        <v>Carbelle</v>
      </c>
      <c r="D1656" s="400" t="str">
        <f t="shared" si="10"/>
        <v>IN</v>
      </c>
      <c r="E1656" s="403" t="str">
        <f t="array" ref="E1656">INDIRECT("Tableau!$V$144")</f>
        <v/>
      </c>
    </row>
    <row r="1657">
      <c r="A1657" s="397" t="str">
        <f t="array" ref="A1657">INDIRECT("Tableau!$A$145")</f>
        <v/>
      </c>
      <c r="B1657" s="398" t="s">
        <v>473</v>
      </c>
      <c r="C1657" s="400" t="str">
        <f t="array" ref="C1657">INDIRECT("Tableau!$U$145")</f>
        <v/>
      </c>
      <c r="D1657" s="400" t="str">
        <f t="shared" si="10"/>
        <v>IN</v>
      </c>
      <c r="E1657" s="403" t="str">
        <f t="array" ref="E1657">INDIRECT("Tableau!$V$145")</f>
        <v/>
      </c>
    </row>
    <row r="1658">
      <c r="A1658" s="397" t="str">
        <f t="array" ref="A1658">INDIRECT("Tableau!$A$146")</f>
        <v/>
      </c>
      <c r="B1658" s="398" t="s">
        <v>473</v>
      </c>
      <c r="C1658" s="400" t="str">
        <f t="array" ref="C1658">INDIRECT("Tableau!$U$146")</f>
        <v/>
      </c>
      <c r="D1658" s="400" t="str">
        <f t="shared" si="10"/>
        <v>IN</v>
      </c>
      <c r="E1658" s="403" t="str">
        <f t="array" ref="E1658">INDIRECT("Tableau!$V$146")</f>
        <v/>
      </c>
    </row>
    <row r="1659">
      <c r="A1659" s="397" t="str">
        <f t="array" ref="A1659">INDIRECT("Tableau!$A$147")</f>
        <v/>
      </c>
      <c r="B1659" s="398" t="s">
        <v>473</v>
      </c>
      <c r="C1659" s="400" t="str">
        <f t="array" ref="C1659">INDIRECT("Tableau!$U$147")</f>
        <v/>
      </c>
      <c r="D1659" s="400" t="str">
        <f t="shared" si="10"/>
        <v>IN</v>
      </c>
      <c r="E1659" s="403" t="str">
        <f t="array" ref="E1659">INDIRECT("Tableau!$V$147")</f>
        <v/>
      </c>
    </row>
    <row r="1660">
      <c r="A1660" s="397" t="str">
        <f t="array" ref="A1660">INDIRECT("Tableau!$A$148")</f>
        <v/>
      </c>
      <c r="B1660" s="398" t="s">
        <v>473</v>
      </c>
      <c r="C1660" s="400" t="str">
        <f t="array" ref="C1660">INDIRECT("Tableau!$U$148")</f>
        <v/>
      </c>
      <c r="D1660" s="400" t="str">
        <f t="shared" si="10"/>
        <v>IN</v>
      </c>
      <c r="E1660" s="403" t="str">
        <f t="array" ref="E1660">INDIRECT("Tableau!$V$148")</f>
        <v/>
      </c>
    </row>
    <row r="1661">
      <c r="A1661" s="397" t="str">
        <f t="array" ref="A1661">INDIRECT("Tableau!$A$149")</f>
        <v/>
      </c>
      <c r="B1661" s="398" t="s">
        <v>473</v>
      </c>
      <c r="C1661" s="400" t="str">
        <f t="array" ref="C1661">INDIRECT("Tableau!$U$149")</f>
        <v/>
      </c>
      <c r="D1661" s="400" t="str">
        <f t="shared" si="10"/>
        <v>IN</v>
      </c>
      <c r="E1661" s="403" t="str">
        <f t="array" ref="E1661">INDIRECT("Tableau!$V$149")</f>
        <v/>
      </c>
    </row>
    <row r="1662">
      <c r="A1662" s="397" t="str">
        <f t="array" ref="A1662">INDIRECT("Tableau!$A$150")</f>
        <v/>
      </c>
      <c r="B1662" s="398" t="s">
        <v>473</v>
      </c>
      <c r="C1662" s="400" t="str">
        <f t="array" ref="C1662">INDIRECT("Tableau!$U$150")</f>
        <v/>
      </c>
      <c r="D1662" s="400" t="str">
        <f t="shared" si="10"/>
        <v>IN</v>
      </c>
      <c r="E1662" s="403" t="str">
        <f t="array" ref="E1662">INDIRECT("Tableau!$V$150")</f>
        <v/>
      </c>
    </row>
    <row r="1663">
      <c r="A1663" s="397" t="str">
        <f t="array" ref="A1663">INDIRECT("Tableau!$A$151")</f>
        <v/>
      </c>
      <c r="B1663" s="398" t="s">
        <v>473</v>
      </c>
      <c r="C1663" s="400" t="str">
        <f t="array" ref="C1663">INDIRECT("Tableau!$U$151")</f>
        <v/>
      </c>
      <c r="D1663" s="400" t="str">
        <f t="shared" si="10"/>
        <v>IN</v>
      </c>
      <c r="E1663" s="403" t="str">
        <f t="array" ref="E1663">INDIRECT("Tableau!$V$151")</f>
        <v/>
      </c>
    </row>
    <row r="1664">
      <c r="A1664" s="397" t="str">
        <f t="array" ref="A1664">INDIRECT("Tableau!$A$152")</f>
        <v/>
      </c>
      <c r="B1664" s="398" t="s">
        <v>473</v>
      </c>
      <c r="C1664" s="400" t="str">
        <f t="array" ref="C1664">INDIRECT("Tableau!$U$152")</f>
        <v/>
      </c>
      <c r="D1664" s="400" t="str">
        <f t="shared" si="10"/>
        <v>IN</v>
      </c>
      <c r="E1664" s="403" t="str">
        <f t="array" ref="E1664">INDIRECT("Tableau!$V$152")</f>
        <v/>
      </c>
    </row>
    <row r="1665">
      <c r="A1665" s="397" t="str">
        <f t="array" ref="A1665">INDIRECT("Tableau!$A$153")</f>
        <v/>
      </c>
      <c r="B1665" s="398" t="s">
        <v>473</v>
      </c>
      <c r="C1665" s="400" t="str">
        <f t="array" ref="C1665">INDIRECT("Tableau!$U$153")</f>
        <v/>
      </c>
      <c r="D1665" s="400" t="str">
        <f t="shared" si="10"/>
        <v>IN</v>
      </c>
      <c r="E1665" s="403" t="str">
        <f t="array" ref="E1665">INDIRECT("Tableau!$V$153")</f>
        <v/>
      </c>
    </row>
    <row r="1666">
      <c r="A1666" s="402">
        <f t="array" ref="A1666">INDIRECT("Tableau!$A$154")</f>
        <v>501</v>
      </c>
      <c r="B1666" s="398" t="s">
        <v>473</v>
      </c>
      <c r="C1666" s="400" t="str">
        <f t="array" ref="C1666">INDIRECT("Tableau!$U$154")</f>
        <v/>
      </c>
      <c r="D1666" s="400" t="str">
        <f t="shared" si="10"/>
        <v>IN</v>
      </c>
      <c r="E1666" s="403" t="str">
        <f t="array" ref="E1666">INDIRECT("Tableau!$V$154")</f>
        <v/>
      </c>
    </row>
    <row r="1667">
      <c r="A1667" s="402">
        <f t="array" ref="A1667">INDIRECT("Tableau!$A$155")</f>
        <v>502</v>
      </c>
      <c r="B1667" s="398" t="s">
        <v>473</v>
      </c>
      <c r="C1667" s="400" t="str">
        <f t="array" ref="C1667">INDIRECT("Tableau!$U$155")</f>
        <v>DPS</v>
      </c>
      <c r="D1667" s="400" t="str">
        <f t="shared" si="10"/>
        <v>IN</v>
      </c>
      <c r="E1667" s="403" t="str">
        <f t="array" ref="E1667">INDIRECT("Tableau!$V$155")</f>
        <v/>
      </c>
    </row>
    <row r="1668">
      <c r="A1668" s="397" t="str">
        <f t="array" ref="A1668">INDIRECT("Tableau!$A$156")</f>
        <v/>
      </c>
      <c r="B1668" s="398" t="s">
        <v>473</v>
      </c>
      <c r="C1668" s="400" t="str">
        <f t="array" ref="C1668">INDIRECT("Tableau!$U$156")</f>
        <v>DPS</v>
      </c>
      <c r="D1668" s="400" t="str">
        <f t="shared" si="10"/>
        <v>IN</v>
      </c>
      <c r="E1668" s="403" t="str">
        <f t="array" ref="E1668">INDIRECT("Tableau!$V$156")</f>
        <v/>
      </c>
    </row>
    <row r="1669">
      <c r="A1669" s="397" t="str">
        <f t="array" ref="A1669">INDIRECT("Tableau!$A$157")</f>
        <v/>
      </c>
      <c r="B1669" s="398" t="s">
        <v>473</v>
      </c>
      <c r="C1669" s="400" t="str">
        <f t="array" ref="C1669">INDIRECT("Tableau!$U$157")</f>
        <v>DPS</v>
      </c>
      <c r="D1669" s="400" t="str">
        <f t="shared" si="10"/>
        <v>IN</v>
      </c>
      <c r="E1669" s="403" t="str">
        <f t="array" ref="E1669">INDIRECT("Tableau!$V$157")</f>
        <v/>
      </c>
    </row>
    <row r="1670">
      <c r="A1670" s="402">
        <f t="array" ref="A1670">INDIRECT("Tableau!$A$158")</f>
        <v>505</v>
      </c>
      <c r="B1670" s="398" t="s">
        <v>473</v>
      </c>
      <c r="C1670" s="400" t="str">
        <f t="array" ref="C1670">INDIRECT("Tableau!$U$158")</f>
        <v>DPS</v>
      </c>
      <c r="D1670" s="400" t="str">
        <f t="shared" si="10"/>
        <v>IN</v>
      </c>
      <c r="E1670" s="403" t="str">
        <f t="array" ref="E1670">INDIRECT("Tableau!$V$158")</f>
        <v/>
      </c>
    </row>
    <row r="1671">
      <c r="A1671" s="402">
        <f t="array" ref="A1671">INDIRECT("Tableau!$A$159")</f>
        <v>506</v>
      </c>
      <c r="B1671" s="398" t="s">
        <v>473</v>
      </c>
      <c r="C1671" s="400" t="str">
        <f t="array" ref="C1671">INDIRECT("Tableau!$U$159")</f>
        <v/>
      </c>
      <c r="D1671" s="400" t="str">
        <f t="shared" si="10"/>
        <v>IN</v>
      </c>
      <c r="E1671" s="403" t="str">
        <f t="array" ref="E1671">INDIRECT("Tableau!$V$159")</f>
        <v/>
      </c>
    </row>
    <row r="1672">
      <c r="A1672" s="402">
        <f t="array" ref="A1672">INDIRECT("Tableau!$A$160")</f>
        <v>507</v>
      </c>
      <c r="B1672" s="398" t="s">
        <v>473</v>
      </c>
      <c r="C1672" s="400" t="str">
        <f t="array" ref="C1672">INDIRECT("Tableau!$U$160")</f>
        <v>DPS</v>
      </c>
      <c r="D1672" s="400" t="str">
        <f t="shared" si="10"/>
        <v>IN</v>
      </c>
      <c r="E1672" s="403" t="str">
        <f t="array" ref="E1672">INDIRECT("Tableau!$V$160")</f>
        <v/>
      </c>
    </row>
    <row r="1673">
      <c r="A1673" s="402">
        <f t="array" ref="A1673">INDIRECT("Tableau!$A$161")</f>
        <v>508</v>
      </c>
      <c r="B1673" s="398" t="s">
        <v>473</v>
      </c>
      <c r="C1673" s="400" t="str">
        <f t="array" ref="C1673">INDIRECT("Tableau!$U$161")</f>
        <v/>
      </c>
      <c r="D1673" s="400" t="str">
        <f t="shared" si="10"/>
        <v>IN</v>
      </c>
      <c r="E1673" s="403" t="str">
        <f t="array" ref="E1673">INDIRECT("Tableau!$V$161")</f>
        <v/>
      </c>
    </row>
    <row r="1674">
      <c r="A1674" s="402">
        <f t="array" ref="A1674">INDIRECT("Tableau!$A$162")</f>
        <v>509</v>
      </c>
      <c r="B1674" s="398" t="s">
        <v>473</v>
      </c>
      <c r="C1674" s="400" t="str">
        <f t="array" ref="C1674">INDIRECT("Tableau!$U$162")</f>
        <v/>
      </c>
      <c r="D1674" s="400" t="str">
        <f t="shared" si="10"/>
        <v>IN</v>
      </c>
      <c r="E1674" s="403" t="str">
        <f t="array" ref="E1674">INDIRECT("Tableau!$V$162")</f>
        <v/>
      </c>
    </row>
    <row r="1675">
      <c r="A1675" s="397">
        <f t="array" ref="A1675">INDIRECT("Tableau!$A$163")</f>
        <v>510</v>
      </c>
      <c r="B1675" s="398" t="s">
        <v>473</v>
      </c>
      <c r="C1675" s="400" t="str">
        <f t="array" ref="C1675">INDIRECT("Tableau!$U$163")</f>
        <v>DPS</v>
      </c>
      <c r="D1675" s="400" t="str">
        <f t="shared" si="10"/>
        <v>IN</v>
      </c>
      <c r="E1675" s="403" t="str">
        <f t="array" ref="E1675">INDIRECT("Tableau!$V$163")</f>
        <v/>
      </c>
    </row>
    <row r="1676">
      <c r="A1676" s="397" t="str">
        <f t="array" ref="A1676">INDIRECT("Tableau!$A$164")</f>
        <v/>
      </c>
      <c r="B1676" s="398" t="s">
        <v>473</v>
      </c>
      <c r="C1676" s="400" t="str">
        <f t="array" ref="C1676">INDIRECT("Tableau!$U$164")</f>
        <v/>
      </c>
      <c r="D1676" s="400" t="str">
        <f t="shared" si="10"/>
        <v>IN</v>
      </c>
      <c r="E1676" s="403" t="str">
        <f t="array" ref="E1676">INDIRECT("Tableau!$V$164")</f>
        <v/>
      </c>
    </row>
    <row r="1677">
      <c r="A1677" s="397" t="str">
        <f t="array" ref="A1677">INDIRECT("Tableau!$A$165")</f>
        <v/>
      </c>
      <c r="B1677" s="398" t="s">
        <v>473</v>
      </c>
      <c r="C1677" s="400" t="str">
        <f t="array" ref="C1677">INDIRECT("Tableau!$U$165")</f>
        <v/>
      </c>
      <c r="D1677" s="400" t="str">
        <f t="shared" si="10"/>
        <v>IN</v>
      </c>
      <c r="E1677" s="403" t="str">
        <f t="array" ref="E1677">INDIRECT("Tableau!$V$165")</f>
        <v/>
      </c>
    </row>
    <row r="1678">
      <c r="A1678" s="402">
        <f t="array" ref="A1678">INDIRECT("Tableau!$A$166")</f>
        <v>527</v>
      </c>
      <c r="B1678" s="398" t="s">
        <v>473</v>
      </c>
      <c r="C1678" s="400" t="str">
        <f t="array" ref="C1678">INDIRECT("Tableau!$U$166")</f>
        <v/>
      </c>
      <c r="D1678" s="400" t="str">
        <f t="shared" si="10"/>
        <v>IN</v>
      </c>
      <c r="E1678" s="403" t="str">
        <f t="array" ref="E1678">INDIRECT("Tableau!$V$166")</f>
        <v/>
      </c>
    </row>
    <row r="1679">
      <c r="A1679" s="402">
        <f t="array" ref="A1679">INDIRECT("Tableau!$A$167")</f>
        <v>512</v>
      </c>
      <c r="B1679" s="398" t="s">
        <v>473</v>
      </c>
      <c r="C1679" s="400" t="str">
        <f t="array" ref="C1679">INDIRECT("Tableau!$U$167")</f>
        <v>DPS</v>
      </c>
      <c r="D1679" s="400" t="str">
        <f t="shared" si="10"/>
        <v>IN</v>
      </c>
      <c r="E1679" s="403" t="str">
        <f t="array" ref="E1679">INDIRECT("Tableau!$V$167")</f>
        <v/>
      </c>
    </row>
    <row r="1680">
      <c r="A1680" s="402">
        <f t="array" ref="A1680">INDIRECT("Tableau!$A$168")</f>
        <v>513</v>
      </c>
      <c r="B1680" s="398" t="s">
        <v>473</v>
      </c>
      <c r="C1680" s="400" t="str">
        <f t="array" ref="C1680">INDIRECT("Tableau!$U$168")</f>
        <v/>
      </c>
      <c r="D1680" s="400" t="str">
        <f t="shared" si="10"/>
        <v>IN</v>
      </c>
      <c r="E1680" s="403" t="str">
        <f t="array" ref="E1680">INDIRECT("Tableau!$V$168")</f>
        <v/>
      </c>
    </row>
    <row r="1681">
      <c r="A1681" s="402">
        <f t="array" ref="A1681">INDIRECT("Tableau!$A$169")</f>
        <v>514</v>
      </c>
      <c r="B1681" s="398" t="s">
        <v>473</v>
      </c>
      <c r="C1681" s="400" t="str">
        <f t="array" ref="C1681">INDIRECT("Tableau!$U$169")</f>
        <v/>
      </c>
      <c r="D1681" s="400" t="str">
        <f t="shared" si="10"/>
        <v>IN</v>
      </c>
      <c r="E1681" s="403" t="str">
        <f t="array" ref="E1681">INDIRECT("Tableau!$V$169")</f>
        <v/>
      </c>
    </row>
    <row r="1682">
      <c r="A1682" s="402">
        <f t="array" ref="A1682">INDIRECT("Tableau!$A$170")</f>
        <v>515</v>
      </c>
      <c r="B1682" s="398" t="s">
        <v>473</v>
      </c>
      <c r="C1682" s="400" t="str">
        <f t="array" ref="C1682">INDIRECT("Tableau!$U$170")</f>
        <v/>
      </c>
      <c r="D1682" s="400" t="str">
        <f t="shared" si="10"/>
        <v>IN</v>
      </c>
      <c r="E1682" s="403" t="str">
        <f t="array" ref="E1682">INDIRECT("Tableau!$V$170")</f>
        <v/>
      </c>
    </row>
    <row r="1683">
      <c r="A1683" s="402">
        <f t="array" ref="A1683">INDIRECT("Tableau!$A$171")</f>
        <v>517</v>
      </c>
      <c r="B1683" s="398" t="s">
        <v>473</v>
      </c>
      <c r="C1683" s="400" t="str">
        <f t="array" ref="C1683">INDIRECT("Tableau!$U$171")</f>
        <v/>
      </c>
      <c r="D1683" s="400" t="str">
        <f t="shared" si="10"/>
        <v>IN</v>
      </c>
      <c r="E1683" s="403" t="str">
        <f t="array" ref="E1683">INDIRECT("Tableau!$V$171")</f>
        <v/>
      </c>
    </row>
    <row r="1684">
      <c r="A1684" s="402">
        <f t="array" ref="A1684">INDIRECT("Tableau!$A$172")</f>
        <v>518</v>
      </c>
      <c r="B1684" s="398" t="s">
        <v>473</v>
      </c>
      <c r="C1684" s="400" t="str">
        <f t="array" ref="C1684">INDIRECT("Tableau!$U$172")</f>
        <v/>
      </c>
      <c r="D1684" s="400" t="str">
        <f t="shared" si="10"/>
        <v>IN</v>
      </c>
      <c r="E1684" s="403" t="str">
        <f t="array" ref="E1684">INDIRECT("Tableau!$V$172")</f>
        <v/>
      </c>
    </row>
    <row r="1685">
      <c r="A1685" s="397" t="str">
        <f t="array" ref="A1685">INDIRECT("Tableau!$A$173")</f>
        <v/>
      </c>
      <c r="B1685" s="398" t="s">
        <v>473</v>
      </c>
      <c r="C1685" s="400" t="str">
        <f t="array" ref="C1685">INDIRECT("Tableau!$U$173")</f>
        <v/>
      </c>
      <c r="D1685" s="400" t="str">
        <f t="shared" si="10"/>
        <v>IN</v>
      </c>
      <c r="E1685" s="403" t="str">
        <f t="array" ref="E1685">INDIRECT("Tableau!$V$173")</f>
        <v/>
      </c>
    </row>
    <row r="1686">
      <c r="A1686" s="402">
        <f t="array" ref="A1686">INDIRECT("Tableau!$A$174")</f>
        <v>520</v>
      </c>
      <c r="B1686" s="398" t="s">
        <v>473</v>
      </c>
      <c r="C1686" s="400" t="str">
        <f t="array" ref="C1686">INDIRECT("Tableau!$U$174")</f>
        <v/>
      </c>
      <c r="D1686" s="400" t="str">
        <f t="shared" si="10"/>
        <v>IN</v>
      </c>
      <c r="E1686" s="403" t="str">
        <f t="array" ref="E1686">INDIRECT("Tableau!$V$174")</f>
        <v/>
      </c>
    </row>
    <row r="1687">
      <c r="A1687" s="402">
        <f t="array" ref="A1687">INDIRECT("Tableau!$A$175")</f>
        <v>521</v>
      </c>
      <c r="B1687" s="398" t="s">
        <v>473</v>
      </c>
      <c r="C1687" s="400" t="str">
        <f t="array" ref="C1687">INDIRECT("Tableau!$U$175")</f>
        <v/>
      </c>
      <c r="D1687" s="400" t="str">
        <f t="shared" si="10"/>
        <v>IN</v>
      </c>
      <c r="E1687" s="403" t="str">
        <f t="array" ref="E1687">INDIRECT("Tableau!$V$175")</f>
        <v/>
      </c>
    </row>
    <row r="1688">
      <c r="A1688" s="402">
        <f t="array" ref="A1688">INDIRECT("Tableau!$A$176")</f>
        <v>525</v>
      </c>
      <c r="B1688" s="398" t="s">
        <v>473</v>
      </c>
      <c r="C1688" s="400" t="str">
        <f t="array" ref="C1688">INDIRECT("Tableau!$U$176")</f>
        <v/>
      </c>
      <c r="D1688" s="400" t="str">
        <f t="shared" si="10"/>
        <v>IN</v>
      </c>
      <c r="E1688" s="403" t="str">
        <f t="array" ref="E1688">INDIRECT("Tableau!$V$176")</f>
        <v/>
      </c>
    </row>
    <row r="1689">
      <c r="A1689" s="402">
        <f t="array" ref="A1689">INDIRECT("Tableau!$A$177")</f>
        <v>530</v>
      </c>
      <c r="B1689" s="398" t="s">
        <v>473</v>
      </c>
      <c r="C1689" s="400" t="str">
        <f t="array" ref="C1689">INDIRECT("Tableau!$U$177")</f>
        <v>DPS</v>
      </c>
      <c r="D1689" s="400" t="str">
        <f t="shared" si="10"/>
        <v>IN</v>
      </c>
      <c r="E1689" s="403" t="str">
        <f t="array" ref="E1689">INDIRECT("Tableau!$V$177")</f>
        <v/>
      </c>
    </row>
    <row r="1690">
      <c r="A1690" s="397" t="str">
        <f t="array" ref="A1690">INDIRECT("Tableau!$A$178")</f>
        <v/>
      </c>
      <c r="B1690" s="398" t="s">
        <v>473</v>
      </c>
      <c r="C1690" s="400" t="str">
        <f t="array" ref="C1690">INDIRECT("Tableau!$U$178")</f>
        <v/>
      </c>
      <c r="D1690" s="400" t="str">
        <f t="shared" si="10"/>
        <v>IN</v>
      </c>
      <c r="E1690" s="403" t="str">
        <f t="array" ref="E1690">INDIRECT("Tableau!$V$178")</f>
        <v/>
      </c>
    </row>
    <row r="1691">
      <c r="A1691" s="397" t="str">
        <f t="array" ref="A1691">INDIRECT("Tableau!$A$179")</f>
        <v/>
      </c>
      <c r="B1691" s="398" t="s">
        <v>473</v>
      </c>
      <c r="C1691" s="400" t="str">
        <f t="array" ref="C1691">INDIRECT("Tableau!$U$179")</f>
        <v/>
      </c>
      <c r="D1691" s="400" t="str">
        <f t="shared" si="10"/>
        <v>IN</v>
      </c>
      <c r="E1691" s="403" t="str">
        <f t="array" ref="E1691">INDIRECT("Tableau!$V$179")</f>
        <v/>
      </c>
    </row>
    <row r="1692">
      <c r="A1692" s="397" t="str">
        <f t="array" ref="A1692">INDIRECT("Tableau!$A$180")</f>
        <v/>
      </c>
      <c r="B1692" s="398" t="s">
        <v>473</v>
      </c>
      <c r="C1692" s="400" t="str">
        <f t="array" ref="C1692">INDIRECT("Tableau!$U$180")</f>
        <v/>
      </c>
      <c r="D1692" s="400" t="str">
        <f t="shared" si="10"/>
        <v>IN</v>
      </c>
      <c r="E1692" s="403" t="str">
        <f t="array" ref="E1692">INDIRECT("Tableau!$V$180")</f>
        <v/>
      </c>
    </row>
    <row r="1693">
      <c r="A1693" s="397" t="str">
        <f t="array" ref="A1693">INDIRECT("Tableau!$A$181")</f>
        <v/>
      </c>
      <c r="B1693" s="398" t="s">
        <v>473</v>
      </c>
      <c r="C1693" s="400" t="str">
        <f t="array" ref="C1693">INDIRECT("Tableau!$U$181")</f>
        <v/>
      </c>
      <c r="D1693" s="400" t="str">
        <f t="shared" si="10"/>
        <v>IN</v>
      </c>
      <c r="E1693" s="403" t="str">
        <f t="array" ref="E1693">INDIRECT("Tableau!$V$181")</f>
        <v/>
      </c>
    </row>
    <row r="1694">
      <c r="A1694" s="397" t="str">
        <f t="array" ref="A1694">INDIRECT("Tableau!$A$182")</f>
        <v/>
      </c>
      <c r="B1694" s="398" t="s">
        <v>473</v>
      </c>
      <c r="C1694" s="400" t="str">
        <f t="array" ref="C1694">INDIRECT("Tableau!$U$182")</f>
        <v/>
      </c>
      <c r="D1694" s="400" t="str">
        <f t="shared" si="10"/>
        <v>IN</v>
      </c>
      <c r="E1694" s="403" t="str">
        <f t="array" ref="E1694">INDIRECT("Tableau!$V$182")</f>
        <v/>
      </c>
    </row>
    <row r="1695">
      <c r="A1695" s="397" t="str">
        <f t="array" ref="A1695">INDIRECT("Tableau!$A$183")</f>
        <v/>
      </c>
      <c r="B1695" s="398" t="s">
        <v>473</v>
      </c>
      <c r="C1695" s="400" t="str">
        <f t="array" ref="C1695">INDIRECT("Tableau!$U$183")</f>
        <v/>
      </c>
      <c r="D1695" s="400" t="str">
        <f t="shared" si="10"/>
        <v>IN</v>
      </c>
      <c r="E1695" s="403" t="str">
        <f t="array" ref="E1695">INDIRECT("Tableau!$V$183")</f>
        <v/>
      </c>
    </row>
    <row r="1696">
      <c r="A1696" s="397" t="str">
        <f t="array" ref="A1696">INDIRECT("Tableau!$A$184")</f>
        <v/>
      </c>
      <c r="B1696" s="398" t="s">
        <v>473</v>
      </c>
      <c r="C1696" s="400" t="str">
        <f t="array" ref="C1696">INDIRECT("Tableau!$U$184")</f>
        <v/>
      </c>
      <c r="D1696" s="400" t="str">
        <f t="shared" si="10"/>
        <v>IN</v>
      </c>
      <c r="E1696" s="403" t="str">
        <f t="array" ref="E1696">INDIRECT("Tableau!$V$184")</f>
        <v/>
      </c>
    </row>
    <row r="1697">
      <c r="A1697" s="397" t="str">
        <f t="array" ref="A1697">INDIRECT("Tableau!$A$185")</f>
        <v/>
      </c>
      <c r="B1697" s="398" t="s">
        <v>473</v>
      </c>
      <c r="C1697" s="400" t="str">
        <f t="array" ref="C1697">INDIRECT("Tableau!$U$185")</f>
        <v/>
      </c>
      <c r="D1697" s="400" t="str">
        <f t="shared" si="10"/>
        <v>IN</v>
      </c>
      <c r="E1697" s="403" t="str">
        <f t="array" ref="E1697">INDIRECT("Tableau!$V$185")</f>
        <v/>
      </c>
    </row>
    <row r="1698">
      <c r="A1698" s="397" t="str">
        <f t="array" ref="A1698">INDIRECT("Tableau!$A$186")</f>
        <v/>
      </c>
      <c r="B1698" s="398" t="s">
        <v>473</v>
      </c>
      <c r="C1698" s="400" t="str">
        <f t="array" ref="C1698">INDIRECT("Tableau!$U$186")</f>
        <v/>
      </c>
      <c r="D1698" s="400" t="str">
        <f t="shared" si="10"/>
        <v>IN</v>
      </c>
      <c r="E1698" s="403" t="str">
        <f t="array" ref="E1698">INDIRECT("Tableau!$V$186")</f>
        <v/>
      </c>
    </row>
    <row r="1699">
      <c r="A1699" s="397" t="str">
        <f t="array" ref="A1699">INDIRECT("Tableau!$A$187")</f>
        <v/>
      </c>
      <c r="B1699" s="398" t="s">
        <v>473</v>
      </c>
      <c r="C1699" s="400" t="str">
        <f t="array" ref="C1699">INDIRECT("Tableau!$U$187")</f>
        <v/>
      </c>
      <c r="D1699" s="400" t="str">
        <f t="shared" si="10"/>
        <v>IN</v>
      </c>
      <c r="E1699" s="403" t="str">
        <f t="array" ref="E1699">INDIRECT("Tableau!$V$187")</f>
        <v/>
      </c>
    </row>
    <row r="1700">
      <c r="A1700" s="397" t="str">
        <f t="array" ref="A1700">INDIRECT("Tableau!$A$188")</f>
        <v/>
      </c>
      <c r="B1700" s="398" t="s">
        <v>473</v>
      </c>
      <c r="C1700" s="400" t="str">
        <f t="array" ref="C1700">INDIRECT("Tableau!$U$188")</f>
        <v/>
      </c>
      <c r="D1700" s="400" t="str">
        <f t="shared" si="10"/>
        <v>IN</v>
      </c>
      <c r="E1700" s="403" t="str">
        <f t="array" ref="E1700">INDIRECT("Tableau!$V$188")</f>
        <v/>
      </c>
    </row>
    <row r="1701">
      <c r="A1701" s="397" t="str">
        <f t="array" ref="A1701">INDIRECT("Tableau!$A$189")</f>
        <v/>
      </c>
      <c r="B1701" s="398" t="s">
        <v>473</v>
      </c>
      <c r="C1701" s="400" t="str">
        <f t="array" ref="C1701">INDIRECT("Tableau!$U$189")</f>
        <v/>
      </c>
      <c r="D1701" s="400" t="str">
        <f t="shared" si="10"/>
        <v>IN</v>
      </c>
      <c r="E1701" s="403" t="str">
        <f t="array" ref="E1701">INDIRECT("Tableau!$V$189")</f>
        <v/>
      </c>
    </row>
    <row r="1702">
      <c r="A1702" s="397" t="str">
        <f t="array" ref="A1702">INDIRECT("Tableau!$A$190")</f>
        <v/>
      </c>
      <c r="B1702" s="398" t="s">
        <v>473</v>
      </c>
      <c r="C1702" s="400" t="str">
        <f t="array" ref="C1702">INDIRECT("Tableau!$U$190")</f>
        <v/>
      </c>
      <c r="D1702" s="400" t="str">
        <f t="shared" si="10"/>
        <v>IN</v>
      </c>
      <c r="E1702" s="403" t="str">
        <f t="array" ref="E1702">INDIRECT("Tableau!$V$190")</f>
        <v/>
      </c>
    </row>
    <row r="1703">
      <c r="A1703" s="397" t="str">
        <f t="array" ref="A1703">INDIRECT("Tableau!$A$2")</f>
        <v/>
      </c>
      <c r="B1703" s="398" t="s">
        <v>473</v>
      </c>
      <c r="C1703" s="400" t="str">
        <f t="array" ref="C1703">INDIRECT("Tableau!$W$2")</f>
        <v/>
      </c>
      <c r="D1703" s="400" t="str">
        <f t="shared" ref="D1703:D1891" si="11">INDIRECT("Tableau!$X$1")</f>
        <v>OUT</v>
      </c>
      <c r="E1703" s="403" t="str">
        <f t="array" ref="E1703">INDIRECT("Tableau!$X$2")</f>
        <v/>
      </c>
    </row>
    <row r="1704">
      <c r="A1704" s="402">
        <f t="array" ref="A1704">INDIRECT("Tableau!$A$3")</f>
        <v>102</v>
      </c>
      <c r="B1704" s="398" t="s">
        <v>473</v>
      </c>
      <c r="C1704" s="400" t="str">
        <f t="array" ref="C1704">INDIRECT("Tableau!$W$3")</f>
        <v>DEMA</v>
      </c>
      <c r="D1704" s="400" t="str">
        <f t="shared" si="11"/>
        <v>OUT</v>
      </c>
      <c r="E1704" s="403" t="str">
        <f t="array" ref="E1704">INDIRECT("Tableau!$X$3")</f>
        <v/>
      </c>
    </row>
    <row r="1705">
      <c r="A1705" s="397" t="str">
        <f t="array" ref="A1705">INDIRECT("Tableau!$A$4")</f>
        <v/>
      </c>
      <c r="B1705" s="398" t="s">
        <v>473</v>
      </c>
      <c r="C1705" s="400" t="str">
        <f t="array" ref="C1705">INDIRECT("Tableau!$W$4")</f>
        <v/>
      </c>
      <c r="D1705" s="400" t="str">
        <f t="shared" si="11"/>
        <v>OUT</v>
      </c>
      <c r="E1705" s="403" t="str">
        <f t="array" ref="E1705">INDIRECT("Tableau!$X$4")</f>
        <v/>
      </c>
    </row>
    <row r="1706">
      <c r="A1706" s="402">
        <f t="array" ref="A1706">INDIRECT("Tableau!$A$5")</f>
        <v>104</v>
      </c>
      <c r="B1706" s="398" t="s">
        <v>473</v>
      </c>
      <c r="C1706" s="400" t="str">
        <f t="array" ref="C1706">INDIRECT("Tableau!$W$5")</f>
        <v/>
      </c>
      <c r="D1706" s="400" t="str">
        <f t="shared" si="11"/>
        <v>OUT</v>
      </c>
      <c r="E1706" s="403" t="str">
        <f t="array" ref="E1706">INDIRECT("Tableau!$X$5")</f>
        <v/>
      </c>
    </row>
    <row r="1707">
      <c r="A1707" s="402">
        <f t="array" ref="A1707">INDIRECT("Tableau!$A$6")</f>
        <v>105</v>
      </c>
      <c r="B1707" s="398" t="s">
        <v>473</v>
      </c>
      <c r="C1707" s="400" t="str">
        <f t="array" ref="C1707">INDIRECT("Tableau!$W$6")</f>
        <v/>
      </c>
      <c r="D1707" s="400" t="str">
        <f t="shared" si="11"/>
        <v>OUT</v>
      </c>
      <c r="E1707" s="403" t="str">
        <f t="array" ref="E1707">INDIRECT("Tableau!$X$6")</f>
        <v/>
      </c>
    </row>
    <row r="1708">
      <c r="A1708" s="402">
        <f t="array" ref="A1708">INDIRECT("Tableau!$A$7")</f>
        <v>106</v>
      </c>
      <c r="B1708" s="398" t="s">
        <v>473</v>
      </c>
      <c r="C1708" s="400" t="str">
        <f t="array" ref="C1708">INDIRECT("Tableau!$W$7")</f>
        <v/>
      </c>
      <c r="D1708" s="400" t="str">
        <f t="shared" si="11"/>
        <v>OUT</v>
      </c>
      <c r="E1708" s="403" t="str">
        <f t="array" ref="E1708">INDIRECT("Tableau!$X$7")</f>
        <v/>
      </c>
    </row>
    <row r="1709">
      <c r="A1709" s="402">
        <f t="array" ref="A1709">INDIRECT("Tableau!$A$8")</f>
        <v>107</v>
      </c>
      <c r="B1709" s="398" t="s">
        <v>473</v>
      </c>
      <c r="C1709" s="400" t="str">
        <f t="array" ref="C1709">INDIRECT("Tableau!$W$8")</f>
        <v/>
      </c>
      <c r="D1709" s="400" t="str">
        <f t="shared" si="11"/>
        <v>OUT</v>
      </c>
      <c r="E1709" s="403" t="str">
        <f t="array" ref="E1709">INDIRECT("Tableau!$X$8")</f>
        <v/>
      </c>
    </row>
    <row r="1710">
      <c r="A1710" s="397">
        <f t="array" ref="A1710">INDIRECT("Tableau!$A$9")</f>
        <v>108</v>
      </c>
      <c r="B1710" s="398" t="s">
        <v>473</v>
      </c>
      <c r="C1710" s="400" t="str">
        <f t="array" ref="C1710">INDIRECT("Tableau!$W$9")</f>
        <v/>
      </c>
      <c r="D1710" s="400" t="str">
        <f t="shared" si="11"/>
        <v>OUT</v>
      </c>
      <c r="E1710" s="403" t="str">
        <f t="array" ref="E1710">INDIRECT("Tableau!$X$9")</f>
        <v/>
      </c>
    </row>
    <row r="1711">
      <c r="A1711" s="402">
        <f t="array" ref="A1711">INDIRECT("Tableau!$A$10")</f>
        <v>109</v>
      </c>
      <c r="B1711" s="398" t="s">
        <v>473</v>
      </c>
      <c r="C1711" s="400" t="str">
        <f t="array" ref="C1711">INDIRECT("Tableau!$W$10")</f>
        <v/>
      </c>
      <c r="D1711" s="400" t="str">
        <f t="shared" si="11"/>
        <v>OUT</v>
      </c>
      <c r="E1711" s="403" t="str">
        <f t="array" ref="E1711">INDIRECT("Tableau!$X$10")</f>
        <v/>
      </c>
    </row>
    <row r="1712">
      <c r="A1712" s="402">
        <f t="array" ref="A1712">INDIRECT("Tableau!$A$11")</f>
        <v>110</v>
      </c>
      <c r="B1712" s="398" t="s">
        <v>473</v>
      </c>
      <c r="C1712" s="400" t="str">
        <f t="array" ref="C1712">INDIRECT("Tableau!$W$11")</f>
        <v/>
      </c>
      <c r="D1712" s="400" t="str">
        <f t="shared" si="11"/>
        <v>OUT</v>
      </c>
      <c r="E1712" s="403" t="str">
        <f t="array" ref="E1712">INDIRECT("Tableau!$X$11")</f>
        <v/>
      </c>
    </row>
    <row r="1713">
      <c r="A1713" s="402">
        <f t="array" ref="A1713">INDIRECT("Tableau!$A$12")</f>
        <v>111</v>
      </c>
      <c r="B1713" s="398" t="s">
        <v>473</v>
      </c>
      <c r="C1713" s="400" t="str">
        <f t="array" ref="C1713">INDIRECT("Tableau!$W$12")</f>
        <v/>
      </c>
      <c r="D1713" s="400" t="str">
        <f t="shared" si="11"/>
        <v>OUT</v>
      </c>
      <c r="E1713" s="403" t="str">
        <f t="array" ref="E1713">INDIRECT("Tableau!$X$12")</f>
        <v/>
      </c>
    </row>
    <row r="1714">
      <c r="A1714" s="402">
        <f t="array" ref="A1714">INDIRECT("Tableau!$A$13")</f>
        <v>112</v>
      </c>
      <c r="B1714" s="398" t="s">
        <v>473</v>
      </c>
      <c r="C1714" s="400" t="str">
        <f t="array" ref="C1714">INDIRECT("Tableau!$W$13")</f>
        <v/>
      </c>
      <c r="D1714" s="400" t="str">
        <f t="shared" si="11"/>
        <v>OUT</v>
      </c>
      <c r="E1714" s="403" t="str">
        <f t="array" ref="E1714">INDIRECT("Tableau!$X$13")</f>
        <v/>
      </c>
    </row>
    <row r="1715">
      <c r="A1715" s="402">
        <f t="array" ref="A1715">INDIRECT("Tableau!$A$14")</f>
        <v>113</v>
      </c>
      <c r="B1715" s="398" t="s">
        <v>473</v>
      </c>
      <c r="C1715" s="400" t="str">
        <f t="array" ref="C1715">INDIRECT("Tableau!$W$14")</f>
        <v/>
      </c>
      <c r="D1715" s="400" t="str">
        <f t="shared" si="11"/>
        <v>OUT</v>
      </c>
      <c r="E1715" s="403" t="str">
        <f t="array" ref="E1715">INDIRECT("Tableau!$X$14")</f>
        <v/>
      </c>
    </row>
    <row r="1716">
      <c r="A1716" s="397">
        <f t="array" ref="A1716">INDIRECT("Tableau!$A$15")</f>
        <v>114</v>
      </c>
      <c r="B1716" s="398" t="s">
        <v>473</v>
      </c>
      <c r="C1716" s="400" t="str">
        <f t="array" ref="C1716">INDIRECT("Tableau!$W$15")</f>
        <v/>
      </c>
      <c r="D1716" s="400" t="str">
        <f t="shared" si="11"/>
        <v>OUT</v>
      </c>
      <c r="E1716" s="403" t="str">
        <f t="array" ref="E1716">INDIRECT("Tableau!$X$15")</f>
        <v/>
      </c>
    </row>
    <row r="1717">
      <c r="A1717" s="397" t="str">
        <f t="array" ref="A1717">INDIRECT("Tableau!$A$16")</f>
        <v/>
      </c>
      <c r="B1717" s="398" t="s">
        <v>473</v>
      </c>
      <c r="C1717" s="400" t="str">
        <f t="array" ref="C1717">INDIRECT("Tableau!$W$16")</f>
        <v/>
      </c>
      <c r="D1717" s="400" t="str">
        <f t="shared" si="11"/>
        <v>OUT</v>
      </c>
      <c r="E1717" s="403" t="str">
        <f t="array" ref="E1717">INDIRECT("Tableau!$X$16")</f>
        <v/>
      </c>
    </row>
    <row r="1718">
      <c r="A1718" s="397" t="str">
        <f t="array" ref="A1718">INDIRECT("Tableau!$A$17")</f>
        <v/>
      </c>
      <c r="B1718" s="398" t="s">
        <v>473</v>
      </c>
      <c r="C1718" s="400" t="str">
        <f t="array" ref="C1718">INDIRECT("Tableau!$W$17")</f>
        <v/>
      </c>
      <c r="D1718" s="400" t="str">
        <f t="shared" si="11"/>
        <v>OUT</v>
      </c>
      <c r="E1718" s="403" t="str">
        <f t="array" ref="E1718">INDIRECT("Tableau!$X$17")</f>
        <v/>
      </c>
    </row>
    <row r="1719">
      <c r="A1719" s="397" t="str">
        <f t="array" ref="A1719">INDIRECT("Tableau!$A$18")</f>
        <v/>
      </c>
      <c r="B1719" s="398" t="s">
        <v>473</v>
      </c>
      <c r="C1719" s="400" t="str">
        <f t="array" ref="C1719">INDIRECT("Tableau!$W$18")</f>
        <v/>
      </c>
      <c r="D1719" s="400" t="str">
        <f t="shared" si="11"/>
        <v>OUT</v>
      </c>
      <c r="E1719" s="403" t="str">
        <f t="array" ref="E1719">INDIRECT("Tableau!$X$18")</f>
        <v/>
      </c>
    </row>
    <row r="1720">
      <c r="A1720" s="397" t="str">
        <f t="array" ref="A1720">INDIRECT("Tableau!$A$19")</f>
        <v/>
      </c>
      <c r="B1720" s="398" t="s">
        <v>473</v>
      </c>
      <c r="C1720" s="400" t="str">
        <f t="array" ref="C1720">INDIRECT("Tableau!$W$19")</f>
        <v/>
      </c>
      <c r="D1720" s="400" t="str">
        <f t="shared" si="11"/>
        <v>OUT</v>
      </c>
      <c r="E1720" s="403" t="str">
        <f t="array" ref="E1720">INDIRECT("Tableau!$X$19")</f>
        <v/>
      </c>
    </row>
    <row r="1721">
      <c r="A1721" s="397" t="str">
        <f t="array" ref="A1721">INDIRECT("Tableau!$A$20")</f>
        <v/>
      </c>
      <c r="B1721" s="398" t="s">
        <v>473</v>
      </c>
      <c r="C1721" s="400" t="str">
        <f t="array" ref="C1721">INDIRECT("Tableau!$W$20")</f>
        <v/>
      </c>
      <c r="D1721" s="400" t="str">
        <f t="shared" si="11"/>
        <v>OUT</v>
      </c>
      <c r="E1721" s="403" t="str">
        <f t="array" ref="E1721">INDIRECT("Tableau!$X$20")</f>
        <v/>
      </c>
    </row>
    <row r="1722">
      <c r="A1722" s="397" t="str">
        <f t="array" ref="A1722">INDIRECT("Tableau!$A$21")</f>
        <v/>
      </c>
      <c r="B1722" s="398" t="s">
        <v>473</v>
      </c>
      <c r="C1722" s="400" t="str">
        <f t="array" ref="C1722">INDIRECT("Tableau!$W$21")</f>
        <v/>
      </c>
      <c r="D1722" s="400" t="str">
        <f t="shared" si="11"/>
        <v>OUT</v>
      </c>
      <c r="E1722" s="403" t="str">
        <f t="array" ref="E1722">INDIRECT("Tableau!$X$21")</f>
        <v/>
      </c>
    </row>
    <row r="1723">
      <c r="A1723" s="397" t="str">
        <f t="array" ref="A1723">INDIRECT("Tableau!$A$22")</f>
        <v/>
      </c>
      <c r="B1723" s="398" t="s">
        <v>473</v>
      </c>
      <c r="C1723" s="400" t="str">
        <f t="array" ref="C1723">INDIRECT("Tableau!$W$22")</f>
        <v/>
      </c>
      <c r="D1723" s="400" t="str">
        <f t="shared" si="11"/>
        <v>OUT</v>
      </c>
      <c r="E1723" s="403" t="str">
        <f t="array" ref="E1723">INDIRECT("Tableau!$X$22")</f>
        <v/>
      </c>
    </row>
    <row r="1724">
      <c r="A1724" s="397" t="str">
        <f t="array" ref="A1724">INDIRECT("Tableau!$A$23")</f>
        <v/>
      </c>
      <c r="B1724" s="398" t="s">
        <v>473</v>
      </c>
      <c r="C1724" s="400" t="str">
        <f t="array" ref="C1724">INDIRECT("Tableau!$W$23")</f>
        <v/>
      </c>
      <c r="D1724" s="400" t="str">
        <f t="shared" si="11"/>
        <v>OUT</v>
      </c>
      <c r="E1724" s="403" t="str">
        <f t="array" ref="E1724">INDIRECT("Tableau!$X$23")</f>
        <v/>
      </c>
    </row>
    <row r="1725">
      <c r="A1725" s="397" t="str">
        <f t="array" ref="A1725">INDIRECT("Tableau!$A$24")</f>
        <v/>
      </c>
      <c r="B1725" s="398" t="s">
        <v>473</v>
      </c>
      <c r="C1725" s="400" t="str">
        <f t="array" ref="C1725">INDIRECT("Tableau!$W$24")</f>
        <v/>
      </c>
      <c r="D1725" s="400" t="str">
        <f t="shared" si="11"/>
        <v>OUT</v>
      </c>
      <c r="E1725" s="403" t="str">
        <f t="array" ref="E1725">INDIRECT("Tableau!$X$24")</f>
        <v/>
      </c>
    </row>
    <row r="1726">
      <c r="A1726" s="397" t="str">
        <f t="array" ref="A1726">INDIRECT("Tableau!$A$25")</f>
        <v/>
      </c>
      <c r="B1726" s="398" t="s">
        <v>473</v>
      </c>
      <c r="C1726" s="400" t="str">
        <f t="array" ref="C1726">INDIRECT("Tableau!$W$25")</f>
        <v/>
      </c>
      <c r="D1726" s="400" t="str">
        <f t="shared" si="11"/>
        <v>OUT</v>
      </c>
      <c r="E1726" s="403" t="str">
        <f t="array" ref="E1726">INDIRECT("Tableau!$X$25")</f>
        <v/>
      </c>
    </row>
    <row r="1727">
      <c r="A1727" s="402">
        <f t="array" ref="A1727">INDIRECT("Tableau!$A$26")</f>
        <v>201</v>
      </c>
      <c r="B1727" s="398" t="s">
        <v>473</v>
      </c>
      <c r="C1727" s="400" t="str">
        <f t="array" ref="C1727">INDIRECT("Tableau!$W$26")</f>
        <v/>
      </c>
      <c r="D1727" s="400" t="str">
        <f t="shared" si="11"/>
        <v>OUT</v>
      </c>
      <c r="E1727" s="403" t="str">
        <f t="array" ref="E1727">INDIRECT("Tableau!$X$26")</f>
        <v/>
      </c>
    </row>
    <row r="1728">
      <c r="A1728" s="402">
        <f t="array" ref="A1728">INDIRECT("Tableau!$A$27")</f>
        <v>202</v>
      </c>
      <c r="B1728" s="398" t="s">
        <v>473</v>
      </c>
      <c r="C1728" s="400" t="str">
        <f t="array" ref="C1728">INDIRECT("Tableau!$W$27")</f>
        <v/>
      </c>
      <c r="D1728" s="400" t="str">
        <f t="shared" si="11"/>
        <v>OUT</v>
      </c>
      <c r="E1728" s="403" t="str">
        <f t="array" ref="E1728">INDIRECT("Tableau!$X$27")</f>
        <v/>
      </c>
    </row>
    <row r="1729">
      <c r="A1729" s="402">
        <f t="array" ref="A1729">INDIRECT("Tableau!$A$28")</f>
        <v>203</v>
      </c>
      <c r="B1729" s="398" t="s">
        <v>473</v>
      </c>
      <c r="C1729" s="400" t="str">
        <f t="array" ref="C1729">INDIRECT("Tableau!$W$28")</f>
        <v/>
      </c>
      <c r="D1729" s="400" t="str">
        <f t="shared" si="11"/>
        <v>OUT</v>
      </c>
      <c r="E1729" s="403" t="str">
        <f t="array" ref="E1729">INDIRECT("Tableau!$X$28")</f>
        <v/>
      </c>
    </row>
    <row r="1730">
      <c r="A1730" s="402">
        <f t="array" ref="A1730">INDIRECT("Tableau!$A$29")</f>
        <v>204</v>
      </c>
      <c r="B1730" s="398" t="s">
        <v>473</v>
      </c>
      <c r="C1730" s="400" t="str">
        <f t="array" ref="C1730">INDIRECT("Tableau!$W$29")</f>
        <v/>
      </c>
      <c r="D1730" s="400" t="str">
        <f t="shared" si="11"/>
        <v>OUT</v>
      </c>
      <c r="E1730" s="403" t="str">
        <f t="array" ref="E1730">INDIRECT("Tableau!$X$29")</f>
        <v/>
      </c>
    </row>
    <row r="1731">
      <c r="A1731" s="402">
        <f t="array" ref="A1731">INDIRECT("Tableau!$A$30")</f>
        <v>205</v>
      </c>
      <c r="B1731" s="398" t="s">
        <v>473</v>
      </c>
      <c r="C1731" s="400" t="str">
        <f t="array" ref="C1731">INDIRECT("Tableau!$W$30")</f>
        <v/>
      </c>
      <c r="D1731" s="400" t="str">
        <f t="shared" si="11"/>
        <v>OUT</v>
      </c>
      <c r="E1731" s="403" t="str">
        <f t="array" ref="E1731">INDIRECT("Tableau!$X$30")</f>
        <v/>
      </c>
    </row>
    <row r="1732">
      <c r="A1732" s="402">
        <f t="array" ref="A1732">INDIRECT("Tableau!$A$31")</f>
        <v>206</v>
      </c>
      <c r="B1732" s="398" t="s">
        <v>473</v>
      </c>
      <c r="C1732" s="400" t="str">
        <f t="array" ref="C1732">INDIRECT("Tableau!$W$31")</f>
        <v/>
      </c>
      <c r="D1732" s="400" t="str">
        <f t="shared" si="11"/>
        <v>OUT</v>
      </c>
      <c r="E1732" s="403" t="str">
        <f t="array" ref="E1732">INDIRECT("Tableau!$X$31")</f>
        <v/>
      </c>
    </row>
    <row r="1733">
      <c r="A1733" s="402">
        <f t="array" ref="A1733">INDIRECT("Tableau!$A$32")</f>
        <v>207</v>
      </c>
      <c r="B1733" s="398" t="s">
        <v>473</v>
      </c>
      <c r="C1733" s="400" t="str">
        <f t="array" ref="C1733">INDIRECT("Tableau!$W$32")</f>
        <v/>
      </c>
      <c r="D1733" s="400" t="str">
        <f t="shared" si="11"/>
        <v>OUT</v>
      </c>
      <c r="E1733" s="403" t="str">
        <f t="array" ref="E1733">INDIRECT("Tableau!$X$32")</f>
        <v/>
      </c>
    </row>
    <row r="1734">
      <c r="A1734" s="402">
        <f t="array" ref="A1734">INDIRECT("Tableau!$A$33")</f>
        <v>208</v>
      </c>
      <c r="B1734" s="398" t="s">
        <v>473</v>
      </c>
      <c r="C1734" s="400" t="str">
        <f t="array" ref="C1734">INDIRECT("Tableau!$W$33")</f>
        <v/>
      </c>
      <c r="D1734" s="400" t="str">
        <f t="shared" si="11"/>
        <v>OUT</v>
      </c>
      <c r="E1734" s="403" t="str">
        <f t="array" ref="E1734">INDIRECT("Tableau!$X$33")</f>
        <v/>
      </c>
    </row>
    <row r="1735">
      <c r="A1735" s="402">
        <f t="array" ref="A1735">INDIRECT("Tableau!$A$34")</f>
        <v>209</v>
      </c>
      <c r="B1735" s="398" t="s">
        <v>473</v>
      </c>
      <c r="C1735" s="400" t="str">
        <f t="array" ref="C1735">INDIRECT("Tableau!$W$34")</f>
        <v/>
      </c>
      <c r="D1735" s="400" t="str">
        <f t="shared" si="11"/>
        <v>OUT</v>
      </c>
      <c r="E1735" s="403" t="str">
        <f t="array" ref="E1735">INDIRECT("Tableau!$X$34")</f>
        <v/>
      </c>
    </row>
    <row r="1736">
      <c r="A1736" s="402">
        <f t="array" ref="A1736">INDIRECT("Tableau!$A$35")</f>
        <v>210</v>
      </c>
      <c r="B1736" s="398" t="s">
        <v>473</v>
      </c>
      <c r="C1736" s="400" t="str">
        <f t="array" ref="C1736">INDIRECT("Tableau!$W$35")</f>
        <v/>
      </c>
      <c r="D1736" s="400" t="str">
        <f t="shared" si="11"/>
        <v>OUT</v>
      </c>
      <c r="E1736" s="403" t="str">
        <f t="array" ref="E1736">INDIRECT("Tableau!$X$35")</f>
        <v/>
      </c>
    </row>
    <row r="1737">
      <c r="A1737" s="402">
        <f t="array" ref="A1737">INDIRECT("Tableau!$A$36")</f>
        <v>211</v>
      </c>
      <c r="B1737" s="398" t="s">
        <v>473</v>
      </c>
      <c r="C1737" s="400" t="str">
        <f t="array" ref="C1737">INDIRECT("Tableau!$W$36")</f>
        <v/>
      </c>
      <c r="D1737" s="400" t="str">
        <f t="shared" si="11"/>
        <v>OUT</v>
      </c>
      <c r="E1737" s="403" t="str">
        <f t="array" ref="E1737">INDIRECT("Tableau!$X$36")</f>
        <v/>
      </c>
    </row>
    <row r="1738">
      <c r="A1738" s="402">
        <f t="array" ref="A1738">INDIRECT("Tableau!$A$37")</f>
        <v>212</v>
      </c>
      <c r="B1738" s="398" t="s">
        <v>473</v>
      </c>
      <c r="C1738" s="400" t="str">
        <f t="array" ref="C1738">INDIRECT("Tableau!$W$37")</f>
        <v/>
      </c>
      <c r="D1738" s="400" t="str">
        <f t="shared" si="11"/>
        <v>OUT</v>
      </c>
      <c r="E1738" s="403" t="str">
        <f t="array" ref="E1738">INDIRECT("Tableau!$X$37")</f>
        <v/>
      </c>
    </row>
    <row r="1739">
      <c r="A1739" s="402">
        <f t="array" ref="A1739">INDIRECT("Tableau!$A$38")</f>
        <v>213</v>
      </c>
      <c r="B1739" s="398" t="s">
        <v>473</v>
      </c>
      <c r="C1739" s="400" t="str">
        <f t="array" ref="C1739">INDIRECT("Tableau!$W$38")</f>
        <v/>
      </c>
      <c r="D1739" s="400" t="str">
        <f t="shared" si="11"/>
        <v>OUT</v>
      </c>
      <c r="E1739" s="403" t="str">
        <f t="array" ref="E1739">INDIRECT("Tableau!$X$38")</f>
        <v/>
      </c>
    </row>
    <row r="1740">
      <c r="A1740" s="402">
        <f t="array" ref="A1740">INDIRECT("Tableau!$A$39")</f>
        <v>214</v>
      </c>
      <c r="B1740" s="398" t="s">
        <v>473</v>
      </c>
      <c r="C1740" s="400" t="str">
        <f t="array" ref="C1740">INDIRECT("Tableau!$W$39")</f>
        <v/>
      </c>
      <c r="D1740" s="400" t="str">
        <f t="shared" si="11"/>
        <v>OUT</v>
      </c>
      <c r="E1740" s="403" t="str">
        <f t="array" ref="E1740">INDIRECT("Tableau!$X$39")</f>
        <v/>
      </c>
    </row>
    <row r="1741">
      <c r="A1741" s="402">
        <f t="array" ref="A1741">INDIRECT("Tableau!$A$40")</f>
        <v>215</v>
      </c>
      <c r="B1741" s="398" t="s">
        <v>473</v>
      </c>
      <c r="C1741" s="400" t="str">
        <f t="array" ref="C1741">INDIRECT("Tableau!$W$40")</f>
        <v/>
      </c>
      <c r="D1741" s="400" t="str">
        <f t="shared" si="11"/>
        <v>OUT</v>
      </c>
      <c r="E1741" s="403" t="str">
        <f t="array" ref="E1741">INDIRECT("Tableau!$X$40")</f>
        <v/>
      </c>
    </row>
    <row r="1742">
      <c r="A1742" s="402">
        <f t="array" ref="A1742">INDIRECT("Tableau!$A$41")</f>
        <v>216</v>
      </c>
      <c r="B1742" s="398" t="s">
        <v>473</v>
      </c>
      <c r="C1742" s="400" t="str">
        <f t="array" ref="C1742">INDIRECT("Tableau!$W$41")</f>
        <v/>
      </c>
      <c r="D1742" s="400" t="str">
        <f t="shared" si="11"/>
        <v>OUT</v>
      </c>
      <c r="E1742" s="403" t="str">
        <f t="array" ref="E1742">INDIRECT("Tableau!$X$41")</f>
        <v/>
      </c>
    </row>
    <row r="1743">
      <c r="A1743" s="402">
        <f t="array" ref="A1743">INDIRECT("Tableau!$A$42")</f>
        <v>227</v>
      </c>
      <c r="B1743" s="398" t="s">
        <v>473</v>
      </c>
      <c r="C1743" s="400" t="str">
        <f t="array" ref="C1743">INDIRECT("Tableau!$W$42")</f>
        <v/>
      </c>
      <c r="D1743" s="400" t="str">
        <f t="shared" si="11"/>
        <v>OUT</v>
      </c>
      <c r="E1743" s="403" t="str">
        <f t="array" ref="E1743">INDIRECT("Tableau!$X$42")</f>
        <v/>
      </c>
    </row>
    <row r="1744">
      <c r="A1744" s="402">
        <f t="array" ref="A1744">INDIRECT("Tableau!$A$43")</f>
        <v>217</v>
      </c>
      <c r="B1744" s="398" t="s">
        <v>473</v>
      </c>
      <c r="C1744" s="400" t="str">
        <f t="array" ref="C1744">INDIRECT("Tableau!$W$43")</f>
        <v/>
      </c>
      <c r="D1744" s="400" t="str">
        <f t="shared" si="11"/>
        <v>OUT</v>
      </c>
      <c r="E1744" s="403" t="str">
        <f t="array" ref="E1744">INDIRECT("Tableau!$X$43")</f>
        <v/>
      </c>
    </row>
    <row r="1745">
      <c r="A1745" s="402">
        <f t="array" ref="A1745">INDIRECT("Tableau!$A$44")</f>
        <v>218</v>
      </c>
      <c r="B1745" s="398" t="s">
        <v>473</v>
      </c>
      <c r="C1745" s="400" t="str">
        <f t="array" ref="C1745">INDIRECT("Tableau!$W$44")</f>
        <v/>
      </c>
      <c r="D1745" s="400" t="str">
        <f t="shared" si="11"/>
        <v>OUT</v>
      </c>
      <c r="E1745" s="403" t="str">
        <f t="array" ref="E1745">INDIRECT("Tableau!$X$44")</f>
        <v/>
      </c>
    </row>
    <row r="1746">
      <c r="A1746" s="397" t="str">
        <f t="array" ref="A1746">INDIRECT("Tableau!$A$45")</f>
        <v/>
      </c>
      <c r="B1746" s="398" t="s">
        <v>473</v>
      </c>
      <c r="C1746" s="400" t="str">
        <f t="array" ref="C1746">INDIRECT("Tableau!$W$45")</f>
        <v/>
      </c>
      <c r="D1746" s="400" t="str">
        <f t="shared" si="11"/>
        <v>OUT</v>
      </c>
      <c r="E1746" s="403" t="str">
        <f t="array" ref="E1746">INDIRECT("Tableau!$X$45")</f>
        <v/>
      </c>
    </row>
    <row r="1747">
      <c r="A1747" s="402">
        <f t="array" ref="A1747">INDIRECT("Tableau!$A$46")</f>
        <v>220</v>
      </c>
      <c r="B1747" s="398" t="s">
        <v>473</v>
      </c>
      <c r="C1747" s="400" t="str">
        <f t="array" ref="C1747">INDIRECT("Tableau!$W$46")</f>
        <v/>
      </c>
      <c r="D1747" s="400" t="str">
        <f t="shared" si="11"/>
        <v>OUT</v>
      </c>
      <c r="E1747" s="403" t="str">
        <f t="array" ref="E1747">INDIRECT("Tableau!$X$46")</f>
        <v/>
      </c>
    </row>
    <row r="1748">
      <c r="A1748" s="402">
        <f t="array" ref="A1748">INDIRECT("Tableau!$A$47")</f>
        <v>221</v>
      </c>
      <c r="B1748" s="398" t="s">
        <v>473</v>
      </c>
      <c r="C1748" s="400" t="str">
        <f t="array" ref="C1748">INDIRECT("Tableau!$W$47")</f>
        <v/>
      </c>
      <c r="D1748" s="400" t="str">
        <f t="shared" si="11"/>
        <v>OUT</v>
      </c>
      <c r="E1748" s="403" t="str">
        <f t="array" ref="E1748">INDIRECT("Tableau!$X$47")</f>
        <v/>
      </c>
    </row>
    <row r="1749">
      <c r="A1749" s="402">
        <f t="array" ref="A1749">INDIRECT("Tableau!$A$48")</f>
        <v>226</v>
      </c>
      <c r="B1749" s="398" t="s">
        <v>473</v>
      </c>
      <c r="C1749" s="400" t="str">
        <f t="array" ref="C1749">INDIRECT("Tableau!$W$48")</f>
        <v/>
      </c>
      <c r="D1749" s="400" t="str">
        <f t="shared" si="11"/>
        <v>OUT</v>
      </c>
      <c r="E1749" s="403" t="str">
        <f t="array" ref="E1749">INDIRECT("Tableau!$X$48")</f>
        <v/>
      </c>
    </row>
    <row r="1750">
      <c r="A1750" s="402">
        <f t="array" ref="A1750">INDIRECT("Tableau!$A$49")</f>
        <v>222</v>
      </c>
      <c r="B1750" s="398" t="s">
        <v>473</v>
      </c>
      <c r="C1750" s="400" t="str">
        <f t="array" ref="C1750">INDIRECT("Tableau!$W$49")</f>
        <v/>
      </c>
      <c r="D1750" s="400" t="str">
        <f t="shared" si="11"/>
        <v>OUT</v>
      </c>
      <c r="E1750" s="403" t="str">
        <f t="array" ref="E1750">INDIRECT("Tableau!$X$49")</f>
        <v/>
      </c>
    </row>
    <row r="1751">
      <c r="A1751" s="402">
        <f t="array" ref="A1751">INDIRECT("Tableau!$A$50")</f>
        <v>224</v>
      </c>
      <c r="B1751" s="398" t="s">
        <v>473</v>
      </c>
      <c r="C1751" s="400" t="str">
        <f t="array" ref="C1751">INDIRECT("Tableau!$W$50")</f>
        <v/>
      </c>
      <c r="D1751" s="400" t="str">
        <f t="shared" si="11"/>
        <v>OUT</v>
      </c>
      <c r="E1751" s="403" t="str">
        <f t="array" ref="E1751">INDIRECT("Tableau!$X$50")</f>
        <v/>
      </c>
    </row>
    <row r="1752">
      <c r="A1752" s="397">
        <f t="array" ref="A1752">INDIRECT("Tableau!$A$51")</f>
        <v>223</v>
      </c>
      <c r="B1752" s="398" t="s">
        <v>473</v>
      </c>
      <c r="C1752" s="400" t="str">
        <f t="array" ref="C1752">INDIRECT("Tableau!$W$51")</f>
        <v/>
      </c>
      <c r="D1752" s="400" t="str">
        <f t="shared" si="11"/>
        <v>OUT</v>
      </c>
      <c r="E1752" s="403" t="str">
        <f t="array" ref="E1752">INDIRECT("Tableau!$X$51")</f>
        <v/>
      </c>
    </row>
    <row r="1753">
      <c r="A1753" s="402">
        <f t="array" ref="A1753">INDIRECT("Tableau!$A$52")</f>
        <v>225</v>
      </c>
      <c r="B1753" s="398" t="s">
        <v>473</v>
      </c>
      <c r="C1753" s="400" t="str">
        <f t="array" ref="C1753">INDIRECT("Tableau!$W$52")</f>
        <v/>
      </c>
      <c r="D1753" s="400" t="str">
        <f t="shared" si="11"/>
        <v>OUT</v>
      </c>
      <c r="E1753" s="403" t="str">
        <f t="array" ref="E1753">INDIRECT("Tableau!$X$52")</f>
        <v/>
      </c>
    </row>
    <row r="1754">
      <c r="A1754" s="402">
        <f t="array" ref="A1754">INDIRECT("Tableau!$A$53")</f>
        <v>230</v>
      </c>
      <c r="B1754" s="398" t="s">
        <v>473</v>
      </c>
      <c r="C1754" s="400" t="str">
        <f t="array" ref="C1754">INDIRECT("Tableau!$W$53")</f>
        <v>DEMA</v>
      </c>
      <c r="D1754" s="400" t="str">
        <f t="shared" si="11"/>
        <v>OUT</v>
      </c>
      <c r="E1754" s="403" t="str">
        <f t="array" ref="E1754">INDIRECT("Tableau!$X$53")</f>
        <v/>
      </c>
    </row>
    <row r="1755">
      <c r="A1755" s="397">
        <f t="array" ref="A1755">INDIRECT("Tableau!$A$54")</f>
        <v>231</v>
      </c>
      <c r="B1755" s="398" t="s">
        <v>473</v>
      </c>
      <c r="C1755" s="400" t="str">
        <f t="array" ref="C1755">INDIRECT("Tableau!$W$54")</f>
        <v/>
      </c>
      <c r="D1755" s="400" t="str">
        <f t="shared" si="11"/>
        <v>OUT</v>
      </c>
      <c r="E1755" s="403" t="str">
        <f t="array" ref="E1755">INDIRECT("Tableau!$X$54")</f>
        <v/>
      </c>
    </row>
    <row r="1756">
      <c r="A1756" s="397" t="str">
        <f t="array" ref="A1756">INDIRECT("Tableau!$A$55")</f>
        <v/>
      </c>
      <c r="B1756" s="398" t="s">
        <v>473</v>
      </c>
      <c r="C1756" s="400" t="str">
        <f t="array" ref="C1756">INDIRECT("Tableau!$W$55")</f>
        <v/>
      </c>
      <c r="D1756" s="400" t="str">
        <f t="shared" si="11"/>
        <v>OUT</v>
      </c>
      <c r="E1756" s="403" t="str">
        <f t="array" ref="E1756">INDIRECT("Tableau!$X$55")</f>
        <v/>
      </c>
    </row>
    <row r="1757">
      <c r="A1757" s="397" t="str">
        <f t="array" ref="A1757">INDIRECT("Tableau!$A$56")</f>
        <v/>
      </c>
      <c r="B1757" s="398" t="s">
        <v>473</v>
      </c>
      <c r="C1757" s="400" t="str">
        <f t="array" ref="C1757">INDIRECT("Tableau!$W$56")</f>
        <v/>
      </c>
      <c r="D1757" s="400" t="str">
        <f t="shared" si="11"/>
        <v>OUT</v>
      </c>
      <c r="E1757" s="403" t="str">
        <f t="array" ref="E1757">INDIRECT("Tableau!$X$56")</f>
        <v/>
      </c>
    </row>
    <row r="1758">
      <c r="A1758" s="397" t="str">
        <f t="array" ref="A1758">INDIRECT("Tableau!$A$57")</f>
        <v/>
      </c>
      <c r="B1758" s="398" t="s">
        <v>473</v>
      </c>
      <c r="C1758" s="400" t="str">
        <f t="array" ref="C1758">INDIRECT("Tableau!$W$57")</f>
        <v/>
      </c>
      <c r="D1758" s="400" t="str">
        <f t="shared" si="11"/>
        <v>OUT</v>
      </c>
      <c r="E1758" s="403" t="str">
        <f t="array" ref="E1758">INDIRECT("Tableau!$X$57")</f>
        <v/>
      </c>
    </row>
    <row r="1759">
      <c r="A1759" s="397" t="str">
        <f t="array" ref="A1759">INDIRECT("Tableau!$A$58")</f>
        <v/>
      </c>
      <c r="B1759" s="398" t="s">
        <v>473</v>
      </c>
      <c r="C1759" s="400" t="str">
        <f t="array" ref="C1759">INDIRECT("Tableau!$W$58")</f>
        <v/>
      </c>
      <c r="D1759" s="400" t="str">
        <f t="shared" si="11"/>
        <v>OUT</v>
      </c>
      <c r="E1759" s="403" t="str">
        <f t="array" ref="E1759">INDIRECT("Tableau!$X$58")</f>
        <v/>
      </c>
    </row>
    <row r="1760">
      <c r="A1760" s="397" t="str">
        <f t="array" ref="A1760">INDIRECT("Tableau!$A$59")</f>
        <v/>
      </c>
      <c r="B1760" s="398" t="s">
        <v>473</v>
      </c>
      <c r="C1760" s="400" t="str">
        <f t="array" ref="C1760">INDIRECT("Tableau!$W$59")</f>
        <v/>
      </c>
      <c r="D1760" s="400" t="str">
        <f t="shared" si="11"/>
        <v>OUT</v>
      </c>
      <c r="E1760" s="403" t="str">
        <f t="array" ref="E1760">INDIRECT("Tableau!$X$59")</f>
        <v/>
      </c>
    </row>
    <row r="1761">
      <c r="A1761" s="397" t="str">
        <f t="array" ref="A1761">INDIRECT("Tableau!$A$60")</f>
        <v/>
      </c>
      <c r="B1761" s="398" t="s">
        <v>473</v>
      </c>
      <c r="C1761" s="400" t="str">
        <f t="array" ref="C1761">INDIRECT("Tableau!$W$60")</f>
        <v/>
      </c>
      <c r="D1761" s="400" t="str">
        <f t="shared" si="11"/>
        <v>OUT</v>
      </c>
      <c r="E1761" s="403" t="str">
        <f t="array" ref="E1761">INDIRECT("Tableau!$X$60")</f>
        <v/>
      </c>
    </row>
    <row r="1762">
      <c r="A1762" s="397" t="str">
        <f t="array" ref="A1762">INDIRECT("Tableau!$A$61")</f>
        <v/>
      </c>
      <c r="B1762" s="398" t="s">
        <v>473</v>
      </c>
      <c r="C1762" s="400" t="str">
        <f t="array" ref="C1762">INDIRECT("Tableau!$W$61")</f>
        <v/>
      </c>
      <c r="D1762" s="400" t="str">
        <f t="shared" si="11"/>
        <v>OUT</v>
      </c>
      <c r="E1762" s="403" t="str">
        <f t="array" ref="E1762">INDIRECT("Tableau!$X$61")</f>
        <v/>
      </c>
    </row>
    <row r="1763">
      <c r="A1763" s="397" t="str">
        <f t="array" ref="A1763">INDIRECT("Tableau!$A$62")</f>
        <v/>
      </c>
      <c r="B1763" s="398" t="s">
        <v>473</v>
      </c>
      <c r="C1763" s="400" t="str">
        <f t="array" ref="C1763">INDIRECT("Tableau!$W$62")</f>
        <v/>
      </c>
      <c r="D1763" s="400" t="str">
        <f t="shared" si="11"/>
        <v>OUT</v>
      </c>
      <c r="E1763" s="403" t="str">
        <f t="array" ref="E1763">INDIRECT("Tableau!$X$62")</f>
        <v/>
      </c>
    </row>
    <row r="1764">
      <c r="A1764" s="397" t="str">
        <f t="array" ref="A1764">INDIRECT("Tableau!$A$63")</f>
        <v/>
      </c>
      <c r="B1764" s="398" t="s">
        <v>473</v>
      </c>
      <c r="C1764" s="400" t="str">
        <f t="array" ref="C1764">INDIRECT("Tableau!$W$63")</f>
        <v/>
      </c>
      <c r="D1764" s="400" t="str">
        <f t="shared" si="11"/>
        <v>OUT</v>
      </c>
      <c r="E1764" s="403" t="str">
        <f t="array" ref="E1764">INDIRECT("Tableau!$X$63")</f>
        <v/>
      </c>
    </row>
    <row r="1765">
      <c r="A1765" s="397" t="str">
        <f t="array" ref="A1765">INDIRECT("Tableau!$A$64")</f>
        <v/>
      </c>
      <c r="B1765" s="398" t="s">
        <v>473</v>
      </c>
      <c r="C1765" s="400" t="str">
        <f t="array" ref="C1765">INDIRECT("Tableau!$W$64")</f>
        <v/>
      </c>
      <c r="D1765" s="400" t="str">
        <f t="shared" si="11"/>
        <v>OUT</v>
      </c>
      <c r="E1765" s="403" t="str">
        <f t="array" ref="E1765">INDIRECT("Tableau!$X$64")</f>
        <v/>
      </c>
    </row>
    <row r="1766">
      <c r="A1766" s="402">
        <f t="array" ref="A1766">INDIRECT("Tableau!$A$65")</f>
        <v>301</v>
      </c>
      <c r="B1766" s="398" t="s">
        <v>473</v>
      </c>
      <c r="C1766" s="400" t="str">
        <f t="array" ref="C1766">INDIRECT("Tableau!$W$65")</f>
        <v/>
      </c>
      <c r="D1766" s="400" t="str">
        <f t="shared" si="11"/>
        <v>OUT</v>
      </c>
      <c r="E1766" s="403" t="str">
        <f t="array" ref="E1766">INDIRECT("Tableau!$X$65")</f>
        <v/>
      </c>
    </row>
    <row r="1767">
      <c r="A1767" s="397" t="str">
        <f t="array" ref="A1767">INDIRECT("Tableau!$A$66")</f>
        <v/>
      </c>
      <c r="B1767" s="398" t="s">
        <v>473</v>
      </c>
      <c r="C1767" s="400" t="str">
        <f t="array" ref="C1767">INDIRECT("Tableau!$W$66")</f>
        <v/>
      </c>
      <c r="D1767" s="400" t="str">
        <f t="shared" si="11"/>
        <v>OUT</v>
      </c>
      <c r="E1767" s="403" t="str">
        <f t="array" ref="E1767">INDIRECT("Tableau!$X$66")</f>
        <v/>
      </c>
    </row>
    <row r="1768">
      <c r="A1768" s="402">
        <f t="array" ref="A1768">INDIRECT("Tableau!$A$67")</f>
        <v>303</v>
      </c>
      <c r="B1768" s="398" t="s">
        <v>473</v>
      </c>
      <c r="C1768" s="400" t="str">
        <f t="array" ref="C1768">INDIRECT("Tableau!$W$67")</f>
        <v/>
      </c>
      <c r="D1768" s="400" t="str">
        <f t="shared" si="11"/>
        <v>OUT</v>
      </c>
      <c r="E1768" s="403" t="str">
        <f t="array" ref="E1768">INDIRECT("Tableau!$X$67")</f>
        <v/>
      </c>
    </row>
    <row r="1769">
      <c r="A1769" s="402">
        <f t="array" ref="A1769">INDIRECT("Tableau!$A$68")</f>
        <v>304</v>
      </c>
      <c r="B1769" s="398" t="s">
        <v>473</v>
      </c>
      <c r="C1769" s="400" t="str">
        <f t="array" ref="C1769">INDIRECT("Tableau!$W$68")</f>
        <v/>
      </c>
      <c r="D1769" s="400" t="str">
        <f t="shared" si="11"/>
        <v>OUT</v>
      </c>
      <c r="E1769" s="403" t="str">
        <f t="array" ref="E1769">INDIRECT("Tableau!$X$68")</f>
        <v/>
      </c>
    </row>
    <row r="1770">
      <c r="A1770" s="402">
        <f t="array" ref="A1770">INDIRECT("Tableau!$A$69")</f>
        <v>305</v>
      </c>
      <c r="B1770" s="398" t="s">
        <v>473</v>
      </c>
      <c r="C1770" s="400" t="str">
        <f t="array" ref="C1770">INDIRECT("Tableau!$W$69")</f>
        <v/>
      </c>
      <c r="D1770" s="400" t="str">
        <f t="shared" si="11"/>
        <v>OUT</v>
      </c>
      <c r="E1770" s="403" t="str">
        <f t="array" ref="E1770">INDIRECT("Tableau!$X$69")</f>
        <v/>
      </c>
    </row>
    <row r="1771">
      <c r="A1771" s="402">
        <f t="array" ref="A1771">INDIRECT("Tableau!$A$70")</f>
        <v>306</v>
      </c>
      <c r="B1771" s="398" t="s">
        <v>473</v>
      </c>
      <c r="C1771" s="400" t="str">
        <f t="array" ref="C1771">INDIRECT("Tableau!$W$70")</f>
        <v/>
      </c>
      <c r="D1771" s="400" t="str">
        <f t="shared" si="11"/>
        <v>OUT</v>
      </c>
      <c r="E1771" s="403" t="str">
        <f t="array" ref="E1771">INDIRECT("Tableau!$X$70")</f>
        <v/>
      </c>
    </row>
    <row r="1772">
      <c r="A1772" s="402">
        <f t="array" ref="A1772">INDIRECT("Tableau!$A$71")</f>
        <v>307</v>
      </c>
      <c r="B1772" s="398" t="s">
        <v>473</v>
      </c>
      <c r="C1772" s="400" t="str">
        <f t="array" ref="C1772">INDIRECT("Tableau!$W$71")</f>
        <v/>
      </c>
      <c r="D1772" s="400" t="str">
        <f t="shared" si="11"/>
        <v>OUT</v>
      </c>
      <c r="E1772" s="403" t="str">
        <f t="array" ref="E1772">INDIRECT("Tableau!$X$71")</f>
        <v/>
      </c>
    </row>
    <row r="1773">
      <c r="A1773" s="397">
        <f t="array" ref="A1773">INDIRECT("Tableau!$A$72")</f>
        <v>367</v>
      </c>
      <c r="B1773" s="398" t="s">
        <v>473</v>
      </c>
      <c r="C1773" s="400" t="str">
        <f t="array" ref="C1773">INDIRECT("Tableau!$W$72")</f>
        <v/>
      </c>
      <c r="D1773" s="400" t="str">
        <f t="shared" si="11"/>
        <v>OUT</v>
      </c>
      <c r="E1773" s="403" t="str">
        <f t="array" ref="E1773">INDIRECT("Tableau!$X$72")</f>
        <v/>
      </c>
    </row>
    <row r="1774">
      <c r="A1774" s="402">
        <f t="array" ref="A1774">INDIRECT("Tableau!$A$73")</f>
        <v>308</v>
      </c>
      <c r="B1774" s="398" t="s">
        <v>473</v>
      </c>
      <c r="C1774" s="400" t="str">
        <f t="array" ref="C1774">INDIRECT("Tableau!$W$73")</f>
        <v/>
      </c>
      <c r="D1774" s="400" t="str">
        <f t="shared" si="11"/>
        <v>OUT</v>
      </c>
      <c r="E1774" s="403" t="str">
        <f t="array" ref="E1774">INDIRECT("Tableau!$X$73")</f>
        <v/>
      </c>
    </row>
    <row r="1775">
      <c r="A1775" s="397">
        <f t="array" ref="A1775">INDIRECT("Tableau!$A$74")</f>
        <v>319</v>
      </c>
      <c r="B1775" s="398" t="s">
        <v>473</v>
      </c>
      <c r="C1775" s="400" t="str">
        <f t="array" ref="C1775">INDIRECT("Tableau!$W$74")</f>
        <v/>
      </c>
      <c r="D1775" s="400" t="str">
        <f t="shared" si="11"/>
        <v>OUT</v>
      </c>
      <c r="E1775" s="403" t="str">
        <f t="array" ref="E1775">INDIRECT("Tableau!$X$74")</f>
        <v/>
      </c>
    </row>
    <row r="1776">
      <c r="A1776" s="402">
        <f t="array" ref="A1776">INDIRECT("Tableau!$A$75")</f>
        <v>309</v>
      </c>
      <c r="B1776" s="398" t="s">
        <v>473</v>
      </c>
      <c r="C1776" s="400" t="str">
        <f t="array" ref="C1776">INDIRECT("Tableau!$W$75")</f>
        <v/>
      </c>
      <c r="D1776" s="400" t="str">
        <f t="shared" si="11"/>
        <v>OUT</v>
      </c>
      <c r="E1776" s="403" t="str">
        <f t="array" ref="E1776">INDIRECT("Tableau!$X$75")</f>
        <v/>
      </c>
    </row>
    <row r="1777">
      <c r="A1777" s="402">
        <f t="array" ref="A1777">INDIRECT("Tableau!$A$76")</f>
        <v>310</v>
      </c>
      <c r="B1777" s="398" t="s">
        <v>473</v>
      </c>
      <c r="C1777" s="400" t="str">
        <f t="array" ref="C1777">INDIRECT("Tableau!$W$76")</f>
        <v/>
      </c>
      <c r="D1777" s="400" t="str">
        <f t="shared" si="11"/>
        <v>OUT</v>
      </c>
      <c r="E1777" s="403" t="str">
        <f t="array" ref="E1777">INDIRECT("Tableau!$X$76")</f>
        <v/>
      </c>
    </row>
    <row r="1778">
      <c r="A1778" s="402">
        <f t="array" ref="A1778">INDIRECT("Tableau!$A$77")</f>
        <v>311</v>
      </c>
      <c r="B1778" s="398" t="s">
        <v>473</v>
      </c>
      <c r="C1778" s="400" t="str">
        <f t="array" ref="C1778">INDIRECT("Tableau!$W$77")</f>
        <v/>
      </c>
      <c r="D1778" s="400" t="str">
        <f t="shared" si="11"/>
        <v>OUT</v>
      </c>
      <c r="E1778" s="403" t="str">
        <f t="array" ref="E1778">INDIRECT("Tableau!$X$77")</f>
        <v/>
      </c>
    </row>
    <row r="1779">
      <c r="A1779" s="402">
        <f t="array" ref="A1779">INDIRECT("Tableau!$A$78")</f>
        <v>312</v>
      </c>
      <c r="B1779" s="398" t="s">
        <v>473</v>
      </c>
      <c r="C1779" s="400" t="str">
        <f t="array" ref="C1779">INDIRECT("Tableau!$W$78")</f>
        <v/>
      </c>
      <c r="D1779" s="400" t="str">
        <f t="shared" si="11"/>
        <v>OUT</v>
      </c>
      <c r="E1779" s="403" t="str">
        <f t="array" ref="E1779">INDIRECT("Tableau!$X$78")</f>
        <v/>
      </c>
    </row>
    <row r="1780">
      <c r="A1780" s="402">
        <f t="array" ref="A1780">INDIRECT("Tableau!$A$79")</f>
        <v>313</v>
      </c>
      <c r="B1780" s="398" t="s">
        <v>473</v>
      </c>
      <c r="C1780" s="400" t="str">
        <f t="array" ref="C1780">INDIRECT("Tableau!$W$79")</f>
        <v/>
      </c>
      <c r="D1780" s="400" t="str">
        <f t="shared" si="11"/>
        <v>OUT</v>
      </c>
      <c r="E1780" s="403" t="str">
        <f t="array" ref="E1780">INDIRECT("Tableau!$X$79")</f>
        <v/>
      </c>
    </row>
    <row r="1781">
      <c r="A1781" s="402">
        <f t="array" ref="A1781">INDIRECT("Tableau!$A$80")</f>
        <v>314</v>
      </c>
      <c r="B1781" s="398" t="s">
        <v>473</v>
      </c>
      <c r="C1781" s="400" t="str">
        <f t="array" ref="C1781">INDIRECT("Tableau!$W$80")</f>
        <v/>
      </c>
      <c r="D1781" s="400" t="str">
        <f t="shared" si="11"/>
        <v>OUT</v>
      </c>
      <c r="E1781" s="403" t="str">
        <f t="array" ref="E1781">INDIRECT("Tableau!$X$80")</f>
        <v/>
      </c>
    </row>
    <row r="1782">
      <c r="A1782" s="402">
        <f t="array" ref="A1782">INDIRECT("Tableau!$A$81")</f>
        <v>315</v>
      </c>
      <c r="B1782" s="398" t="s">
        <v>473</v>
      </c>
      <c r="C1782" s="400" t="str">
        <f t="array" ref="C1782">INDIRECT("Tableau!$W$81")</f>
        <v/>
      </c>
      <c r="D1782" s="400" t="str">
        <f t="shared" si="11"/>
        <v>OUT</v>
      </c>
      <c r="E1782" s="403" t="str">
        <f t="array" ref="E1782">INDIRECT("Tableau!$X$81")</f>
        <v/>
      </c>
    </row>
    <row r="1783">
      <c r="A1783" s="402">
        <f t="array" ref="A1783">INDIRECT("Tableau!$A$82")</f>
        <v>316</v>
      </c>
      <c r="B1783" s="398" t="s">
        <v>473</v>
      </c>
      <c r="C1783" s="400" t="str">
        <f t="array" ref="C1783">INDIRECT("Tableau!$W$82")</f>
        <v/>
      </c>
      <c r="D1783" s="400" t="str">
        <f t="shared" si="11"/>
        <v>OUT</v>
      </c>
      <c r="E1783" s="403" t="str">
        <f t="array" ref="E1783">INDIRECT("Tableau!$X$82")</f>
        <v/>
      </c>
    </row>
    <row r="1784">
      <c r="A1784" s="402">
        <f t="array" ref="A1784">INDIRECT("Tableau!$A$83")</f>
        <v>317</v>
      </c>
      <c r="B1784" s="398" t="s">
        <v>473</v>
      </c>
      <c r="C1784" s="400" t="str">
        <f t="array" ref="C1784">INDIRECT("Tableau!$W$83")</f>
        <v/>
      </c>
      <c r="D1784" s="400" t="str">
        <f t="shared" si="11"/>
        <v>OUT</v>
      </c>
      <c r="E1784" s="403" t="str">
        <f t="array" ref="E1784">INDIRECT("Tableau!$X$83")</f>
        <v/>
      </c>
    </row>
    <row r="1785">
      <c r="A1785" s="402">
        <f t="array" ref="A1785">INDIRECT("Tableau!$A$84")</f>
        <v>318</v>
      </c>
      <c r="B1785" s="398" t="s">
        <v>473</v>
      </c>
      <c r="C1785" s="400" t="str">
        <f t="array" ref="C1785">INDIRECT("Tableau!$W$84")</f>
        <v/>
      </c>
      <c r="D1785" s="400" t="str">
        <f t="shared" si="11"/>
        <v>OUT</v>
      </c>
      <c r="E1785" s="403" t="str">
        <f t="array" ref="E1785">INDIRECT("Tableau!$X$84")</f>
        <v/>
      </c>
    </row>
    <row r="1786">
      <c r="A1786" s="402">
        <f t="array" ref="A1786">INDIRECT("Tableau!$A$85")</f>
        <v>320</v>
      </c>
      <c r="B1786" s="398" t="s">
        <v>473</v>
      </c>
      <c r="C1786" s="400" t="str">
        <f t="array" ref="C1786">INDIRECT("Tableau!$W$85")</f>
        <v/>
      </c>
      <c r="D1786" s="400" t="str">
        <f t="shared" si="11"/>
        <v>OUT</v>
      </c>
      <c r="E1786" s="403" t="str">
        <f t="array" ref="E1786">INDIRECT("Tableau!$X$85")</f>
        <v/>
      </c>
    </row>
    <row r="1787">
      <c r="A1787" s="402">
        <f t="array" ref="A1787">INDIRECT("Tableau!$A$86")</f>
        <v>321</v>
      </c>
      <c r="B1787" s="398" t="s">
        <v>473</v>
      </c>
      <c r="C1787" s="400" t="str">
        <f t="array" ref="C1787">INDIRECT("Tableau!$W$86")</f>
        <v/>
      </c>
      <c r="D1787" s="400" t="str">
        <f t="shared" si="11"/>
        <v>OUT</v>
      </c>
      <c r="E1787" s="403" t="str">
        <f t="array" ref="E1787">INDIRECT("Tableau!$X$86")</f>
        <v/>
      </c>
    </row>
    <row r="1788">
      <c r="A1788" s="397" t="str">
        <f t="array" ref="A1788">INDIRECT("Tableau!$A$87")</f>
        <v/>
      </c>
      <c r="B1788" s="398" t="s">
        <v>473</v>
      </c>
      <c r="C1788" s="400" t="str">
        <f t="array" ref="C1788">INDIRECT("Tableau!$W$87")</f>
        <v/>
      </c>
      <c r="D1788" s="400" t="str">
        <f t="shared" si="11"/>
        <v>OUT</v>
      </c>
      <c r="E1788" s="403" t="str">
        <f t="array" ref="E1788">INDIRECT("Tableau!$X$87")</f>
        <v/>
      </c>
    </row>
    <row r="1789">
      <c r="A1789" s="402">
        <f t="array" ref="A1789">INDIRECT("Tableau!$A$88")</f>
        <v>323</v>
      </c>
      <c r="B1789" s="398" t="s">
        <v>473</v>
      </c>
      <c r="C1789" s="400" t="str">
        <f t="array" ref="C1789">INDIRECT("Tableau!$W$88")</f>
        <v/>
      </c>
      <c r="D1789" s="400" t="str">
        <f t="shared" si="11"/>
        <v>OUT</v>
      </c>
      <c r="E1789" s="403" t="str">
        <f t="array" ref="E1789">INDIRECT("Tableau!$X$88")</f>
        <v/>
      </c>
    </row>
    <row r="1790">
      <c r="A1790" s="402">
        <f t="array" ref="A1790">INDIRECT("Tableau!$A$89")</f>
        <v>324</v>
      </c>
      <c r="B1790" s="398" t="s">
        <v>473</v>
      </c>
      <c r="C1790" s="400" t="str">
        <f t="array" ref="C1790">INDIRECT("Tableau!$W$89")</f>
        <v/>
      </c>
      <c r="D1790" s="400" t="str">
        <f t="shared" si="11"/>
        <v>OUT</v>
      </c>
      <c r="E1790" s="403" t="str">
        <f t="array" ref="E1790">INDIRECT("Tableau!$X$89")</f>
        <v/>
      </c>
    </row>
    <row r="1791">
      <c r="A1791" s="402">
        <f t="array" ref="A1791">INDIRECT("Tableau!$A$90")</f>
        <v>325</v>
      </c>
      <c r="B1791" s="398" t="s">
        <v>473</v>
      </c>
      <c r="C1791" s="400" t="str">
        <f t="array" ref="C1791">INDIRECT("Tableau!$W$90")</f>
        <v>DEMA</v>
      </c>
      <c r="D1791" s="400" t="str">
        <f t="shared" si="11"/>
        <v>OUT</v>
      </c>
      <c r="E1791" s="403" t="str">
        <f t="array" ref="E1791">INDIRECT("Tableau!$X$90")</f>
        <v/>
      </c>
    </row>
    <row r="1792">
      <c r="A1792" s="402">
        <f t="array" ref="A1792">INDIRECT("Tableau!$A$91")</f>
        <v>326</v>
      </c>
      <c r="B1792" s="398" t="s">
        <v>473</v>
      </c>
      <c r="C1792" s="400" t="str">
        <f t="array" ref="C1792">INDIRECT("Tableau!$W$91")</f>
        <v/>
      </c>
      <c r="D1792" s="400" t="str">
        <f t="shared" si="11"/>
        <v>OUT</v>
      </c>
      <c r="E1792" s="403" t="str">
        <f t="array" ref="E1792">INDIRECT("Tableau!$X$91")</f>
        <v/>
      </c>
    </row>
    <row r="1793">
      <c r="A1793" s="402">
        <f t="array" ref="A1793">INDIRECT("Tableau!$A$92")</f>
        <v>327</v>
      </c>
      <c r="B1793" s="398" t="s">
        <v>473</v>
      </c>
      <c r="C1793" s="400" t="str">
        <f t="array" ref="C1793">INDIRECT("Tableau!$W$92")</f>
        <v/>
      </c>
      <c r="D1793" s="400" t="str">
        <f t="shared" si="11"/>
        <v>OUT</v>
      </c>
      <c r="E1793" s="403" t="str">
        <f t="array" ref="E1793">INDIRECT("Tableau!$X$92")</f>
        <v/>
      </c>
    </row>
    <row r="1794">
      <c r="A1794" s="402">
        <f t="array" ref="A1794">INDIRECT("Tableau!$A$93")</f>
        <v>328</v>
      </c>
      <c r="B1794" s="398" t="s">
        <v>473</v>
      </c>
      <c r="C1794" s="400" t="str">
        <f t="array" ref="C1794">INDIRECT("Tableau!$W$93")</f>
        <v/>
      </c>
      <c r="D1794" s="400" t="str">
        <f t="shared" si="11"/>
        <v>OUT</v>
      </c>
      <c r="E1794" s="403" t="str">
        <f t="array" ref="E1794">INDIRECT("Tableau!$X$93")</f>
        <v/>
      </c>
    </row>
    <row r="1795">
      <c r="A1795" s="402">
        <f t="array" ref="A1795">INDIRECT("Tableau!$A$94")</f>
        <v>329</v>
      </c>
      <c r="B1795" s="398" t="s">
        <v>473</v>
      </c>
      <c r="C1795" s="400" t="str">
        <f t="array" ref="C1795">INDIRECT("Tableau!$W$94")</f>
        <v/>
      </c>
      <c r="D1795" s="400" t="str">
        <f t="shared" si="11"/>
        <v>OUT</v>
      </c>
      <c r="E1795" s="403" t="str">
        <f t="array" ref="E1795">INDIRECT("Tableau!$X$94")</f>
        <v/>
      </c>
    </row>
    <row r="1796">
      <c r="A1796" s="402">
        <f t="array" ref="A1796">INDIRECT("Tableau!$A$95")</f>
        <v>330</v>
      </c>
      <c r="B1796" s="398" t="s">
        <v>473</v>
      </c>
      <c r="C1796" s="400" t="str">
        <f t="array" ref="C1796">INDIRECT("Tableau!$W$95")</f>
        <v>DEMA</v>
      </c>
      <c r="D1796" s="400" t="str">
        <f t="shared" si="11"/>
        <v>OUT</v>
      </c>
      <c r="E1796" s="403" t="str">
        <f t="array" ref="E1796">INDIRECT("Tableau!$X$95")</f>
        <v/>
      </c>
    </row>
    <row r="1797">
      <c r="A1797" s="402">
        <f t="array" ref="A1797">INDIRECT("Tableau!$A$96")</f>
        <v>331</v>
      </c>
      <c r="B1797" s="398" t="s">
        <v>473</v>
      </c>
      <c r="C1797" s="400" t="str">
        <f t="array" ref="C1797">INDIRECT("Tableau!$W$96")</f>
        <v>DEMA</v>
      </c>
      <c r="D1797" s="400" t="str">
        <f t="shared" si="11"/>
        <v>OUT</v>
      </c>
      <c r="E1797" s="403" t="str">
        <f t="array" ref="E1797">INDIRECT("Tableau!$X$96")</f>
        <v/>
      </c>
    </row>
    <row r="1798">
      <c r="A1798" s="402">
        <f t="array" ref="A1798">INDIRECT("Tableau!$A$97")</f>
        <v>332</v>
      </c>
      <c r="B1798" s="398" t="s">
        <v>473</v>
      </c>
      <c r="C1798" s="400" t="str">
        <f t="array" ref="C1798">INDIRECT("Tableau!$W$97")</f>
        <v/>
      </c>
      <c r="D1798" s="400" t="str">
        <f t="shared" si="11"/>
        <v>OUT</v>
      </c>
      <c r="E1798" s="403" t="str">
        <f t="array" ref="E1798">INDIRECT("Tableau!$X$97")</f>
        <v/>
      </c>
    </row>
    <row r="1799">
      <c r="A1799" s="402">
        <f t="array" ref="A1799">INDIRECT("Tableau!$A$98")</f>
        <v>333</v>
      </c>
      <c r="B1799" s="398" t="s">
        <v>473</v>
      </c>
      <c r="C1799" s="400" t="str">
        <f t="array" ref="C1799">INDIRECT("Tableau!$W$98")</f>
        <v/>
      </c>
      <c r="D1799" s="400" t="str">
        <f t="shared" si="11"/>
        <v>OUT</v>
      </c>
      <c r="E1799" s="403" t="str">
        <f t="array" ref="E1799">INDIRECT("Tableau!$X$98")</f>
        <v/>
      </c>
    </row>
    <row r="1800">
      <c r="A1800" s="402">
        <f t="array" ref="A1800">INDIRECT("Tableau!$A$99")</f>
        <v>334</v>
      </c>
      <c r="B1800" s="398" t="s">
        <v>473</v>
      </c>
      <c r="C1800" s="400" t="str">
        <f t="array" ref="C1800">INDIRECT("Tableau!$W$99")</f>
        <v>Bloqué</v>
      </c>
      <c r="D1800" s="400" t="str">
        <f t="shared" si="11"/>
        <v>OUT</v>
      </c>
      <c r="E1800" s="403" t="str">
        <f t="array" ref="E1800">INDIRECT("Tableau!$X$99")</f>
        <v/>
      </c>
    </row>
    <row r="1801">
      <c r="A1801" s="402">
        <f t="array" ref="A1801">INDIRECT("Tableau!$A$100")</f>
        <v>335</v>
      </c>
      <c r="B1801" s="398" t="s">
        <v>473</v>
      </c>
      <c r="C1801" s="400" t="str">
        <f t="array" ref="C1801">INDIRECT("Tableau!$W$100")</f>
        <v/>
      </c>
      <c r="D1801" s="400" t="str">
        <f t="shared" si="11"/>
        <v>OUT</v>
      </c>
      <c r="E1801" s="403" t="str">
        <f t="array" ref="E1801">INDIRECT("Tableau!$X$100")</f>
        <v/>
      </c>
    </row>
    <row r="1802">
      <c r="A1802" s="402">
        <f t="array" ref="A1802">INDIRECT("Tableau!$A$101")</f>
        <v>336</v>
      </c>
      <c r="B1802" s="398" t="s">
        <v>473</v>
      </c>
      <c r="C1802" s="400" t="str">
        <f t="array" ref="C1802">INDIRECT("Tableau!$W$101")</f>
        <v/>
      </c>
      <c r="D1802" s="400" t="str">
        <f t="shared" si="11"/>
        <v>OUT</v>
      </c>
      <c r="E1802" s="403" t="str">
        <f t="array" ref="E1802">INDIRECT("Tableau!$X$101")</f>
        <v/>
      </c>
    </row>
    <row r="1803">
      <c r="A1803" s="402">
        <f t="array" ref="A1803">INDIRECT("Tableau!$A$102")</f>
        <v>337</v>
      </c>
      <c r="B1803" s="398" t="s">
        <v>473</v>
      </c>
      <c r="C1803" s="400" t="str">
        <f t="array" ref="C1803">INDIRECT("Tableau!$W$102")</f>
        <v/>
      </c>
      <c r="D1803" s="400" t="str">
        <f t="shared" si="11"/>
        <v>OUT</v>
      </c>
      <c r="E1803" s="403" t="str">
        <f t="array" ref="E1803">INDIRECT("Tableau!$X$102")</f>
        <v/>
      </c>
    </row>
    <row r="1804">
      <c r="A1804" s="402">
        <f t="array" ref="A1804">INDIRECT("Tableau!$A$103")</f>
        <v>338</v>
      </c>
      <c r="B1804" s="398" t="s">
        <v>473</v>
      </c>
      <c r="C1804" s="400" t="str">
        <f t="array" ref="C1804">INDIRECT("Tableau!$W$103")</f>
        <v/>
      </c>
      <c r="D1804" s="400" t="str">
        <f t="shared" si="11"/>
        <v>OUT</v>
      </c>
      <c r="E1804" s="403" t="str">
        <f t="array" ref="E1804">INDIRECT("Tableau!$X$103")</f>
        <v/>
      </c>
    </row>
    <row r="1805">
      <c r="A1805" s="402">
        <f t="array" ref="A1805">INDIRECT("Tableau!$A$104")</f>
        <v>339</v>
      </c>
      <c r="B1805" s="398" t="s">
        <v>473</v>
      </c>
      <c r="C1805" s="400" t="str">
        <f t="array" ref="C1805">INDIRECT("Tableau!$W$104")</f>
        <v/>
      </c>
      <c r="D1805" s="400" t="str">
        <f t="shared" si="11"/>
        <v>OUT</v>
      </c>
      <c r="E1805" s="403" t="str">
        <f t="array" ref="E1805">INDIRECT("Tableau!$X$104")</f>
        <v/>
      </c>
    </row>
    <row r="1806">
      <c r="A1806" s="402">
        <f t="array" ref="A1806">INDIRECT("Tableau!$A$105")</f>
        <v>340</v>
      </c>
      <c r="B1806" s="398" t="s">
        <v>473</v>
      </c>
      <c r="C1806" s="400" t="str">
        <f t="array" ref="C1806">INDIRECT("Tableau!$W$105")</f>
        <v/>
      </c>
      <c r="D1806" s="400" t="str">
        <f t="shared" si="11"/>
        <v>OUT</v>
      </c>
      <c r="E1806" s="403" t="str">
        <f t="array" ref="E1806">INDIRECT("Tableau!$X$105")</f>
        <v/>
      </c>
    </row>
    <row r="1807">
      <c r="A1807" s="402">
        <f t="array" ref="A1807">INDIRECT("Tableau!$A$106")</f>
        <v>341</v>
      </c>
      <c r="B1807" s="398" t="s">
        <v>473</v>
      </c>
      <c r="C1807" s="400" t="str">
        <f t="array" ref="C1807">INDIRECT("Tableau!$W$106")</f>
        <v/>
      </c>
      <c r="D1807" s="400" t="str">
        <f t="shared" si="11"/>
        <v>OUT</v>
      </c>
      <c r="E1807" s="403" t="str">
        <f t="array" ref="E1807">INDIRECT("Tableau!$X$106")</f>
        <v/>
      </c>
    </row>
    <row r="1808">
      <c r="A1808" s="402">
        <f t="array" ref="A1808">INDIRECT("Tableau!$A$107")</f>
        <v>365</v>
      </c>
      <c r="B1808" s="398" t="s">
        <v>473</v>
      </c>
      <c r="C1808" s="400" t="str">
        <f t="array" ref="C1808">INDIRECT("Tableau!$W$107")</f>
        <v/>
      </c>
      <c r="D1808" s="400" t="str">
        <f t="shared" si="11"/>
        <v>OUT</v>
      </c>
      <c r="E1808" s="403" t="str">
        <f t="array" ref="E1808">INDIRECT("Tableau!$X$107")</f>
        <v/>
      </c>
    </row>
    <row r="1809">
      <c r="A1809" s="402">
        <f t="array" ref="A1809">INDIRECT("Tableau!$A$108")</f>
        <v>342</v>
      </c>
      <c r="B1809" s="398" t="s">
        <v>473</v>
      </c>
      <c r="C1809" s="400" t="str">
        <f t="array" ref="C1809">INDIRECT("Tableau!$W$108")</f>
        <v/>
      </c>
      <c r="D1809" s="400" t="str">
        <f t="shared" si="11"/>
        <v>OUT</v>
      </c>
      <c r="E1809" s="403" t="str">
        <f t="array" ref="E1809">INDIRECT("Tableau!$X$108")</f>
        <v/>
      </c>
    </row>
    <row r="1810">
      <c r="A1810" s="402">
        <f t="array" ref="A1810">INDIRECT("Tableau!$A$109")</f>
        <v>343</v>
      </c>
      <c r="B1810" s="398" t="s">
        <v>473</v>
      </c>
      <c r="C1810" s="400" t="str">
        <f t="array" ref="C1810">INDIRECT("Tableau!$W$109")</f>
        <v/>
      </c>
      <c r="D1810" s="400" t="str">
        <f t="shared" si="11"/>
        <v>OUT</v>
      </c>
      <c r="E1810" s="403" t="str">
        <f t="array" ref="E1810">INDIRECT("Tableau!$X$109")</f>
        <v/>
      </c>
    </row>
    <row r="1811">
      <c r="A1811" s="402">
        <f t="array" ref="A1811">INDIRECT("Tableau!$A$110")</f>
        <v>344</v>
      </c>
      <c r="B1811" s="398" t="s">
        <v>473</v>
      </c>
      <c r="C1811" s="400" t="str">
        <f t="array" ref="C1811">INDIRECT("Tableau!$W$110")</f>
        <v/>
      </c>
      <c r="D1811" s="400" t="str">
        <f t="shared" si="11"/>
        <v>OUT</v>
      </c>
      <c r="E1811" s="403" t="str">
        <f t="array" ref="E1811">INDIRECT("Tableau!$X$110")</f>
        <v/>
      </c>
    </row>
    <row r="1812">
      <c r="A1812" s="402">
        <f t="array" ref="A1812">INDIRECT("Tableau!$A$111")</f>
        <v>363</v>
      </c>
      <c r="B1812" s="398" t="s">
        <v>473</v>
      </c>
      <c r="C1812" s="400" t="str">
        <f t="array" ref="C1812">INDIRECT("Tableau!$W$111")</f>
        <v>DPS</v>
      </c>
      <c r="D1812" s="400" t="str">
        <f t="shared" si="11"/>
        <v>OUT</v>
      </c>
      <c r="E1812" s="403" t="str">
        <f t="array" ref="E1812">INDIRECT("Tableau!$X$111")</f>
        <v/>
      </c>
    </row>
    <row r="1813">
      <c r="A1813" s="402">
        <f t="array" ref="A1813">INDIRECT("Tableau!$A$112")</f>
        <v>345</v>
      </c>
      <c r="B1813" s="398" t="s">
        <v>473</v>
      </c>
      <c r="C1813" s="400" t="str">
        <f t="array" ref="C1813">INDIRECT("Tableau!$W$112")</f>
        <v/>
      </c>
      <c r="D1813" s="400" t="str">
        <f t="shared" si="11"/>
        <v>OUT</v>
      </c>
      <c r="E1813" s="403" t="str">
        <f t="array" ref="E1813">INDIRECT("Tableau!$X$112")</f>
        <v/>
      </c>
    </row>
    <row r="1814">
      <c r="A1814" s="402">
        <f t="array" ref="A1814">INDIRECT("Tableau!$A$113")</f>
        <v>346</v>
      </c>
      <c r="B1814" s="398" t="s">
        <v>473</v>
      </c>
      <c r="C1814" s="400" t="str">
        <f t="array" ref="C1814">INDIRECT("Tableau!$W$113")</f>
        <v/>
      </c>
      <c r="D1814" s="400" t="str">
        <f t="shared" si="11"/>
        <v>OUT</v>
      </c>
      <c r="E1814" s="403" t="str">
        <f t="array" ref="E1814">INDIRECT("Tableau!$X$113")</f>
        <v/>
      </c>
    </row>
    <row r="1815">
      <c r="A1815" s="402">
        <f t="array" ref="A1815">INDIRECT("Tableau!$A$114")</f>
        <v>359</v>
      </c>
      <c r="B1815" s="398" t="s">
        <v>473</v>
      </c>
      <c r="C1815" s="400" t="str">
        <f t="array" ref="C1815">INDIRECT("Tableau!$W$114")</f>
        <v/>
      </c>
      <c r="D1815" s="400" t="str">
        <f t="shared" si="11"/>
        <v>OUT</v>
      </c>
      <c r="E1815" s="403" t="str">
        <f t="array" ref="E1815">INDIRECT("Tableau!$X$114")</f>
        <v/>
      </c>
    </row>
    <row r="1816">
      <c r="A1816" s="402">
        <f t="array" ref="A1816">INDIRECT("Tableau!$A$115")</f>
        <v>360</v>
      </c>
      <c r="B1816" s="398" t="s">
        <v>473</v>
      </c>
      <c r="C1816" s="400" t="str">
        <f t="array" ref="C1816">INDIRECT("Tableau!$W$115")</f>
        <v/>
      </c>
      <c r="D1816" s="400" t="str">
        <f t="shared" si="11"/>
        <v>OUT</v>
      </c>
      <c r="E1816" s="403" t="str">
        <f t="array" ref="E1816">INDIRECT("Tableau!$X$115")</f>
        <v/>
      </c>
    </row>
    <row r="1817">
      <c r="A1817" s="402">
        <f t="array" ref="A1817">INDIRECT("Tableau!$A$116")</f>
        <v>361</v>
      </c>
      <c r="B1817" s="398" t="s">
        <v>473</v>
      </c>
      <c r="C1817" s="400" t="str">
        <f t="array" ref="C1817">INDIRECT("Tableau!$W$116")</f>
        <v/>
      </c>
      <c r="D1817" s="400" t="str">
        <f t="shared" si="11"/>
        <v>OUT</v>
      </c>
      <c r="E1817" s="403" t="str">
        <f t="array" ref="E1817">INDIRECT("Tableau!$X$116")</f>
        <v/>
      </c>
    </row>
    <row r="1818">
      <c r="A1818" s="397" t="str">
        <f t="array" ref="A1818">INDIRECT("Tableau!$A$117")</f>
        <v/>
      </c>
      <c r="B1818" s="398" t="s">
        <v>473</v>
      </c>
      <c r="C1818" s="400" t="str">
        <f t="array" ref="C1818">INDIRECT("Tableau!$W$117")</f>
        <v/>
      </c>
      <c r="D1818" s="400" t="str">
        <f t="shared" si="11"/>
        <v>OUT</v>
      </c>
      <c r="E1818" s="403" t="str">
        <f t="array" ref="E1818">INDIRECT("Tableau!$X$117")</f>
        <v/>
      </c>
    </row>
    <row r="1819">
      <c r="A1819" s="402">
        <f t="array" ref="A1819">INDIRECT("Tableau!$A$118")</f>
        <v>347</v>
      </c>
      <c r="B1819" s="398" t="s">
        <v>473</v>
      </c>
      <c r="C1819" s="400" t="str">
        <f t="array" ref="C1819">INDIRECT("Tableau!$W$118")</f>
        <v>Carbelle</v>
      </c>
      <c r="D1819" s="400" t="str">
        <f t="shared" si="11"/>
        <v>OUT</v>
      </c>
      <c r="E1819" s="403" t="str">
        <f t="array" ref="E1819">INDIRECT("Tableau!$X$118")</f>
        <v/>
      </c>
    </row>
    <row r="1820">
      <c r="A1820" s="402">
        <f t="array" ref="A1820">INDIRECT("Tableau!$A$119")</f>
        <v>348</v>
      </c>
      <c r="B1820" s="398" t="s">
        <v>473</v>
      </c>
      <c r="C1820" s="400" t="str">
        <f t="array" ref="C1820">INDIRECT("Tableau!$W$119")</f>
        <v/>
      </c>
      <c r="D1820" s="400" t="str">
        <f t="shared" si="11"/>
        <v>OUT</v>
      </c>
      <c r="E1820" s="403" t="str">
        <f t="array" ref="E1820">INDIRECT("Tableau!$X$119")</f>
        <v/>
      </c>
    </row>
    <row r="1821">
      <c r="A1821" s="402">
        <f t="array" ref="A1821">INDIRECT("Tableau!$A$120")</f>
        <v>349</v>
      </c>
      <c r="B1821" s="398" t="s">
        <v>473</v>
      </c>
      <c r="C1821" s="400" t="str">
        <f t="array" ref="C1821">INDIRECT("Tableau!$W$120")</f>
        <v/>
      </c>
      <c r="D1821" s="400" t="str">
        <f t="shared" si="11"/>
        <v>OUT</v>
      </c>
      <c r="E1821" s="403" t="str">
        <f t="array" ref="E1821">INDIRECT("Tableau!$X$120")</f>
        <v/>
      </c>
    </row>
    <row r="1822">
      <c r="A1822" s="402">
        <f t="array" ref="A1822">INDIRECT("Tableau!$A$121")</f>
        <v>350</v>
      </c>
      <c r="B1822" s="398" t="s">
        <v>473</v>
      </c>
      <c r="C1822" s="400" t="str">
        <f t="array" ref="C1822">INDIRECT("Tableau!$W$121")</f>
        <v/>
      </c>
      <c r="D1822" s="400" t="str">
        <f t="shared" si="11"/>
        <v>OUT</v>
      </c>
      <c r="E1822" s="403" t="str">
        <f t="array" ref="E1822">INDIRECT("Tableau!$X$121")</f>
        <v/>
      </c>
    </row>
    <row r="1823">
      <c r="A1823" s="402">
        <f t="array" ref="A1823">INDIRECT("Tableau!$A$122")</f>
        <v>351</v>
      </c>
      <c r="B1823" s="398" t="s">
        <v>473</v>
      </c>
      <c r="C1823" s="400" t="str">
        <f t="array" ref="C1823">INDIRECT("Tableau!$W$122")</f>
        <v/>
      </c>
      <c r="D1823" s="400" t="str">
        <f t="shared" si="11"/>
        <v>OUT</v>
      </c>
      <c r="E1823" s="403" t="str">
        <f t="array" ref="E1823">INDIRECT("Tableau!$X$122")</f>
        <v/>
      </c>
    </row>
    <row r="1824">
      <c r="A1824" s="402">
        <f t="array" ref="A1824">INDIRECT("Tableau!$A$123")</f>
        <v>352</v>
      </c>
      <c r="B1824" s="398" t="s">
        <v>473</v>
      </c>
      <c r="C1824" s="400" t="str">
        <f t="array" ref="C1824">INDIRECT("Tableau!$W$123")</f>
        <v/>
      </c>
      <c r="D1824" s="400" t="str">
        <f t="shared" si="11"/>
        <v>OUT</v>
      </c>
      <c r="E1824" s="403" t="str">
        <f t="array" ref="E1824">INDIRECT("Tableau!$X$123")</f>
        <v/>
      </c>
    </row>
    <row r="1825">
      <c r="A1825" s="402">
        <f t="array" ref="A1825">INDIRECT("Tableau!$A$124")</f>
        <v>353</v>
      </c>
      <c r="B1825" s="398" t="s">
        <v>473</v>
      </c>
      <c r="C1825" s="400" t="str">
        <f t="array" ref="C1825">INDIRECT("Tableau!$W$124")</f>
        <v/>
      </c>
      <c r="D1825" s="400" t="str">
        <f t="shared" si="11"/>
        <v>OUT</v>
      </c>
      <c r="E1825" s="403" t="str">
        <f t="array" ref="E1825">INDIRECT("Tableau!$X$124")</f>
        <v/>
      </c>
    </row>
    <row r="1826">
      <c r="A1826" s="397" t="str">
        <f t="array" ref="A1826">INDIRECT("Tableau!$A$125")</f>
        <v/>
      </c>
      <c r="B1826" s="398" t="s">
        <v>473</v>
      </c>
      <c r="C1826" s="400" t="str">
        <f t="array" ref="C1826">INDIRECT("Tableau!$W$125")</f>
        <v/>
      </c>
      <c r="D1826" s="400" t="str">
        <f t="shared" si="11"/>
        <v>OUT</v>
      </c>
      <c r="E1826" s="403" t="str">
        <f t="array" ref="E1826">INDIRECT("Tableau!$X$125")</f>
        <v/>
      </c>
    </row>
    <row r="1827">
      <c r="A1827" s="402">
        <f t="array" ref="A1827">INDIRECT("Tableau!$A$126")</f>
        <v>354</v>
      </c>
      <c r="B1827" s="398" t="s">
        <v>473</v>
      </c>
      <c r="C1827" s="400" t="str">
        <f t="array" ref="C1827">INDIRECT("Tableau!$W$126")</f>
        <v/>
      </c>
      <c r="D1827" s="400" t="str">
        <f t="shared" si="11"/>
        <v>OUT</v>
      </c>
      <c r="E1827" s="403" t="str">
        <f t="array" ref="E1827">INDIRECT("Tableau!$X$126")</f>
        <v/>
      </c>
    </row>
    <row r="1828">
      <c r="A1828" s="402">
        <f t="array" ref="A1828">INDIRECT("Tableau!$A$127")</f>
        <v>355</v>
      </c>
      <c r="B1828" s="398" t="s">
        <v>473</v>
      </c>
      <c r="C1828" s="400" t="str">
        <f t="array" ref="C1828">INDIRECT("Tableau!$W$127")</f>
        <v/>
      </c>
      <c r="D1828" s="400" t="str">
        <f t="shared" si="11"/>
        <v>OUT</v>
      </c>
      <c r="E1828" s="403" t="str">
        <f t="array" ref="E1828">INDIRECT("Tableau!$X$127")</f>
        <v/>
      </c>
    </row>
    <row r="1829">
      <c r="A1829" s="402">
        <f t="array" ref="A1829">INDIRECT("Tableau!$A$128")</f>
        <v>356</v>
      </c>
      <c r="B1829" s="398" t="s">
        <v>473</v>
      </c>
      <c r="C1829" s="400" t="str">
        <f t="array" ref="C1829">INDIRECT("Tableau!$W$128")</f>
        <v/>
      </c>
      <c r="D1829" s="400" t="str">
        <f t="shared" si="11"/>
        <v>OUT</v>
      </c>
      <c r="E1829" s="403" t="str">
        <f t="array" ref="E1829">INDIRECT("Tableau!$X$128")</f>
        <v/>
      </c>
    </row>
    <row r="1830">
      <c r="A1830" s="402">
        <f t="array" ref="A1830">INDIRECT("Tableau!$A$129")</f>
        <v>357</v>
      </c>
      <c r="B1830" s="398" t="s">
        <v>473</v>
      </c>
      <c r="C1830" s="400" t="str">
        <f t="array" ref="C1830">INDIRECT("Tableau!$W$129")</f>
        <v/>
      </c>
      <c r="D1830" s="400" t="str">
        <f t="shared" si="11"/>
        <v>OUT</v>
      </c>
      <c r="E1830" s="403" t="str">
        <f t="array" ref="E1830">INDIRECT("Tableau!$X$129")</f>
        <v/>
      </c>
    </row>
    <row r="1831">
      <c r="A1831" s="397" t="str">
        <f t="array" ref="A1831">INDIRECT("Tableau!$A$130")</f>
        <v/>
      </c>
      <c r="B1831" s="398" t="s">
        <v>473</v>
      </c>
      <c r="C1831" s="400" t="str">
        <f t="array" ref="C1831">INDIRECT("Tableau!$W$130")</f>
        <v/>
      </c>
      <c r="D1831" s="400" t="str">
        <f t="shared" si="11"/>
        <v>OUT</v>
      </c>
      <c r="E1831" s="403" t="str">
        <f t="array" ref="E1831">INDIRECT("Tableau!$X$130")</f>
        <v/>
      </c>
    </row>
    <row r="1832">
      <c r="A1832" s="397" t="str">
        <f t="array" ref="A1832">INDIRECT("Tableau!$A$131")</f>
        <v/>
      </c>
      <c r="B1832" s="398" t="s">
        <v>473</v>
      </c>
      <c r="C1832" s="400" t="str">
        <f t="array" ref="C1832">INDIRECT("Tableau!$W$131")</f>
        <v/>
      </c>
      <c r="D1832" s="400" t="str">
        <f t="shared" si="11"/>
        <v>OUT</v>
      </c>
      <c r="E1832" s="403" t="str">
        <f t="array" ref="E1832">INDIRECT("Tableau!$X$131")</f>
        <v/>
      </c>
    </row>
    <row r="1833">
      <c r="A1833" s="397" t="str">
        <f t="array" ref="A1833">INDIRECT("Tableau!$A$132")</f>
        <v/>
      </c>
      <c r="B1833" s="398" t="s">
        <v>473</v>
      </c>
      <c r="C1833" s="400" t="str">
        <f t="array" ref="C1833">INDIRECT("Tableau!$W$132")</f>
        <v/>
      </c>
      <c r="D1833" s="400" t="str">
        <f t="shared" si="11"/>
        <v>OUT</v>
      </c>
      <c r="E1833" s="403" t="str">
        <f t="array" ref="E1833">INDIRECT("Tableau!$X$132")</f>
        <v/>
      </c>
    </row>
    <row r="1834">
      <c r="A1834" s="397" t="str">
        <f t="array" ref="A1834">INDIRECT("Tableau!$A$133")</f>
        <v/>
      </c>
      <c r="B1834" s="398" t="s">
        <v>473</v>
      </c>
      <c r="C1834" s="400" t="str">
        <f t="array" ref="C1834">INDIRECT("Tableau!$W$133")</f>
        <v/>
      </c>
      <c r="D1834" s="400" t="str">
        <f t="shared" si="11"/>
        <v>OUT</v>
      </c>
      <c r="E1834" s="403" t="str">
        <f t="array" ref="E1834">INDIRECT("Tableau!$X$133")</f>
        <v/>
      </c>
    </row>
    <row r="1835">
      <c r="A1835" s="397" t="str">
        <f t="array" ref="A1835">INDIRECT("Tableau!$A$134")</f>
        <v/>
      </c>
      <c r="B1835" s="398" t="s">
        <v>473</v>
      </c>
      <c r="C1835" s="400" t="str">
        <f t="array" ref="C1835">INDIRECT("Tableau!$W$134")</f>
        <v/>
      </c>
      <c r="D1835" s="400" t="str">
        <f t="shared" si="11"/>
        <v>OUT</v>
      </c>
      <c r="E1835" s="403" t="str">
        <f t="array" ref="E1835">INDIRECT("Tableau!$X$134")</f>
        <v/>
      </c>
    </row>
    <row r="1836">
      <c r="A1836" s="402">
        <f t="array" ref="A1836">INDIRECT("Tableau!$A$135")</f>
        <v>401</v>
      </c>
      <c r="B1836" s="398" t="s">
        <v>473</v>
      </c>
      <c r="C1836" s="400" t="str">
        <f t="array" ref="C1836">INDIRECT("Tableau!$W$135")</f>
        <v/>
      </c>
      <c r="D1836" s="400" t="str">
        <f t="shared" si="11"/>
        <v>OUT</v>
      </c>
      <c r="E1836" s="403" t="str">
        <f t="array" ref="E1836">INDIRECT("Tableau!$X$135")</f>
        <v/>
      </c>
    </row>
    <row r="1837">
      <c r="A1837" s="402">
        <f t="array" ref="A1837">INDIRECT("Tableau!$A$136")</f>
        <v>402</v>
      </c>
      <c r="B1837" s="398" t="s">
        <v>473</v>
      </c>
      <c r="C1837" s="400" t="str">
        <f t="array" ref="C1837">INDIRECT("Tableau!$W$136")</f>
        <v/>
      </c>
      <c r="D1837" s="400" t="str">
        <f t="shared" si="11"/>
        <v>OUT</v>
      </c>
      <c r="E1837" s="403" t="str">
        <f t="array" ref="E1837">INDIRECT("Tableau!$X$136")</f>
        <v/>
      </c>
    </row>
    <row r="1838">
      <c r="A1838" s="402">
        <f t="array" ref="A1838">INDIRECT("Tableau!$A$137")</f>
        <v>403</v>
      </c>
      <c r="B1838" s="398" t="s">
        <v>473</v>
      </c>
      <c r="C1838" s="400" t="str">
        <f t="array" ref="C1838">INDIRECT("Tableau!$W$137")</f>
        <v>Carbelle</v>
      </c>
      <c r="D1838" s="400" t="str">
        <f t="shared" si="11"/>
        <v>OUT</v>
      </c>
      <c r="E1838" s="403" t="str">
        <f t="array" ref="E1838">INDIRECT("Tableau!$X$137")</f>
        <v/>
      </c>
    </row>
    <row r="1839">
      <c r="A1839" s="402">
        <f t="array" ref="A1839">INDIRECT("Tableau!$A$138")</f>
        <v>404</v>
      </c>
      <c r="B1839" s="398" t="s">
        <v>473</v>
      </c>
      <c r="C1839" s="400" t="str">
        <f t="array" ref="C1839">INDIRECT("Tableau!$W$138")</f>
        <v/>
      </c>
      <c r="D1839" s="400" t="str">
        <f t="shared" si="11"/>
        <v>OUT</v>
      </c>
      <c r="E1839" s="403" t="str">
        <f t="array" ref="E1839">INDIRECT("Tableau!$X$138")</f>
        <v/>
      </c>
    </row>
    <row r="1840">
      <c r="A1840" s="402">
        <f t="array" ref="A1840">INDIRECT("Tableau!$A$139")</f>
        <v>405</v>
      </c>
      <c r="B1840" s="398" t="s">
        <v>473</v>
      </c>
      <c r="C1840" s="400" t="str">
        <f t="array" ref="C1840">INDIRECT("Tableau!$W$139")</f>
        <v/>
      </c>
      <c r="D1840" s="400" t="str">
        <f t="shared" si="11"/>
        <v>OUT</v>
      </c>
      <c r="E1840" s="403" t="str">
        <f t="array" ref="E1840">INDIRECT("Tableau!$X$139")</f>
        <v/>
      </c>
    </row>
    <row r="1841">
      <c r="A1841" s="402">
        <f t="array" ref="A1841">INDIRECT("Tableau!$A$140")</f>
        <v>406</v>
      </c>
      <c r="B1841" s="398" t="s">
        <v>473</v>
      </c>
      <c r="C1841" s="400" t="str">
        <f t="array" ref="C1841">INDIRECT("Tableau!$W$140")</f>
        <v/>
      </c>
      <c r="D1841" s="400" t="str">
        <f t="shared" si="11"/>
        <v>OUT</v>
      </c>
      <c r="E1841" s="403" t="str">
        <f t="array" ref="E1841">INDIRECT("Tableau!$X$140")</f>
        <v/>
      </c>
    </row>
    <row r="1842">
      <c r="A1842" s="402">
        <f t="array" ref="A1842">INDIRECT("Tableau!$A$141")</f>
        <v>407</v>
      </c>
      <c r="B1842" s="398" t="s">
        <v>473</v>
      </c>
      <c r="C1842" s="400" t="str">
        <f t="array" ref="C1842">INDIRECT("Tableau!$W$141")</f>
        <v>DEMA</v>
      </c>
      <c r="D1842" s="400" t="str">
        <f t="shared" si="11"/>
        <v>OUT</v>
      </c>
      <c r="E1842" s="403" t="str">
        <f t="array" ref="E1842">INDIRECT("Tableau!$X$141")</f>
        <v/>
      </c>
    </row>
    <row r="1843">
      <c r="A1843" s="402">
        <f t="array" ref="A1843">INDIRECT("Tableau!$A$142")</f>
        <v>408</v>
      </c>
      <c r="B1843" s="398" t="s">
        <v>473</v>
      </c>
      <c r="C1843" s="400" t="str">
        <f t="array" ref="C1843">INDIRECT("Tableau!$W$142")</f>
        <v/>
      </c>
      <c r="D1843" s="400" t="str">
        <f t="shared" si="11"/>
        <v>OUT</v>
      </c>
      <c r="E1843" s="403" t="str">
        <f t="array" ref="E1843">INDIRECT("Tableau!$X$142")</f>
        <v/>
      </c>
    </row>
    <row r="1844">
      <c r="A1844" s="402">
        <f t="array" ref="A1844">INDIRECT("Tableau!$A$143")</f>
        <v>409</v>
      </c>
      <c r="B1844" s="398" t="s">
        <v>473</v>
      </c>
      <c r="C1844" s="400" t="str">
        <f t="array" ref="C1844">INDIRECT("Tableau!$W$143")</f>
        <v/>
      </c>
      <c r="D1844" s="400" t="str">
        <f t="shared" si="11"/>
        <v>OUT</v>
      </c>
      <c r="E1844" s="403" t="str">
        <f t="array" ref="E1844">INDIRECT("Tableau!$X$143")</f>
        <v/>
      </c>
    </row>
    <row r="1845">
      <c r="A1845" s="397">
        <f t="array" ref="A1845">INDIRECT("Tableau!$A$144")</f>
        <v>415</v>
      </c>
      <c r="B1845" s="398" t="s">
        <v>473</v>
      </c>
      <c r="C1845" s="400" t="str">
        <f t="array" ref="C1845">INDIRECT("Tableau!$W$144")</f>
        <v/>
      </c>
      <c r="D1845" s="400" t="str">
        <f t="shared" si="11"/>
        <v>OUT</v>
      </c>
      <c r="E1845" s="403" t="str">
        <f t="array" ref="E1845">INDIRECT("Tableau!$X$144")</f>
        <v/>
      </c>
    </row>
    <row r="1846">
      <c r="A1846" s="397" t="str">
        <f t="array" ref="A1846">INDIRECT("Tableau!$A$145")</f>
        <v/>
      </c>
      <c r="B1846" s="398" t="s">
        <v>473</v>
      </c>
      <c r="C1846" s="400" t="str">
        <f t="array" ref="C1846">INDIRECT("Tableau!$W$145")</f>
        <v/>
      </c>
      <c r="D1846" s="400" t="str">
        <f t="shared" si="11"/>
        <v>OUT</v>
      </c>
      <c r="E1846" s="403" t="str">
        <f t="array" ref="E1846">INDIRECT("Tableau!$X$145")</f>
        <v/>
      </c>
    </row>
    <row r="1847">
      <c r="A1847" s="397" t="str">
        <f t="array" ref="A1847">INDIRECT("Tableau!$A$146")</f>
        <v/>
      </c>
      <c r="B1847" s="398" t="s">
        <v>473</v>
      </c>
      <c r="C1847" s="400" t="str">
        <f t="array" ref="C1847">INDIRECT("Tableau!$W$146")</f>
        <v/>
      </c>
      <c r="D1847" s="400" t="str">
        <f t="shared" si="11"/>
        <v>OUT</v>
      </c>
      <c r="E1847" s="403" t="str">
        <f t="array" ref="E1847">INDIRECT("Tableau!$X$146")</f>
        <v/>
      </c>
    </row>
    <row r="1848">
      <c r="A1848" s="397" t="str">
        <f t="array" ref="A1848">INDIRECT("Tableau!$A$147")</f>
        <v/>
      </c>
      <c r="B1848" s="398" t="s">
        <v>473</v>
      </c>
      <c r="C1848" s="400" t="str">
        <f t="array" ref="C1848">INDIRECT("Tableau!$W$147")</f>
        <v/>
      </c>
      <c r="D1848" s="400" t="str">
        <f t="shared" si="11"/>
        <v>OUT</v>
      </c>
      <c r="E1848" s="403" t="str">
        <f t="array" ref="E1848">INDIRECT("Tableau!$X$147")</f>
        <v/>
      </c>
    </row>
    <row r="1849">
      <c r="A1849" s="397" t="str">
        <f t="array" ref="A1849">INDIRECT("Tableau!$A$148")</f>
        <v/>
      </c>
      <c r="B1849" s="398" t="s">
        <v>473</v>
      </c>
      <c r="C1849" s="400" t="str">
        <f t="array" ref="C1849">INDIRECT("Tableau!$W$148")</f>
        <v/>
      </c>
      <c r="D1849" s="400" t="str">
        <f t="shared" si="11"/>
        <v>OUT</v>
      </c>
      <c r="E1849" s="403" t="str">
        <f t="array" ref="E1849">INDIRECT("Tableau!$X$148")</f>
        <v/>
      </c>
    </row>
    <row r="1850">
      <c r="A1850" s="397" t="str">
        <f t="array" ref="A1850">INDIRECT("Tableau!$A$149")</f>
        <v/>
      </c>
      <c r="B1850" s="398" t="s">
        <v>473</v>
      </c>
      <c r="C1850" s="400" t="str">
        <f t="array" ref="C1850">INDIRECT("Tableau!$W$149")</f>
        <v/>
      </c>
      <c r="D1850" s="400" t="str">
        <f t="shared" si="11"/>
        <v>OUT</v>
      </c>
      <c r="E1850" s="403" t="str">
        <f t="array" ref="E1850">INDIRECT("Tableau!$X$149")</f>
        <v/>
      </c>
    </row>
    <row r="1851">
      <c r="A1851" s="397" t="str">
        <f t="array" ref="A1851">INDIRECT("Tableau!$A$150")</f>
        <v/>
      </c>
      <c r="B1851" s="398" t="s">
        <v>473</v>
      </c>
      <c r="C1851" s="400" t="str">
        <f t="array" ref="C1851">INDIRECT("Tableau!$W$150")</f>
        <v/>
      </c>
      <c r="D1851" s="400" t="str">
        <f t="shared" si="11"/>
        <v>OUT</v>
      </c>
      <c r="E1851" s="403" t="str">
        <f t="array" ref="E1851">INDIRECT("Tableau!$X$150")</f>
        <v/>
      </c>
    </row>
    <row r="1852">
      <c r="A1852" s="397" t="str">
        <f t="array" ref="A1852">INDIRECT("Tableau!$A$151")</f>
        <v/>
      </c>
      <c r="B1852" s="398" t="s">
        <v>473</v>
      </c>
      <c r="C1852" s="400" t="str">
        <f t="array" ref="C1852">INDIRECT("Tableau!$W$151")</f>
        <v/>
      </c>
      <c r="D1852" s="400" t="str">
        <f t="shared" si="11"/>
        <v>OUT</v>
      </c>
      <c r="E1852" s="403" t="str">
        <f t="array" ref="E1852">INDIRECT("Tableau!$X$151")</f>
        <v/>
      </c>
    </row>
    <row r="1853">
      <c r="A1853" s="397" t="str">
        <f t="array" ref="A1853">INDIRECT("Tableau!$A$152")</f>
        <v/>
      </c>
      <c r="B1853" s="398" t="s">
        <v>473</v>
      </c>
      <c r="C1853" s="400" t="str">
        <f t="array" ref="C1853">INDIRECT("Tableau!$W$152")</f>
        <v/>
      </c>
      <c r="D1853" s="400" t="str">
        <f t="shared" si="11"/>
        <v>OUT</v>
      </c>
      <c r="E1853" s="403" t="str">
        <f t="array" ref="E1853">INDIRECT("Tableau!$X$152")</f>
        <v/>
      </c>
    </row>
    <row r="1854">
      <c r="A1854" s="397" t="str">
        <f t="array" ref="A1854">INDIRECT("Tableau!$A$153")</f>
        <v/>
      </c>
      <c r="B1854" s="398" t="s">
        <v>473</v>
      </c>
      <c r="C1854" s="400" t="str">
        <f t="array" ref="C1854">INDIRECT("Tableau!$W$153")</f>
        <v/>
      </c>
      <c r="D1854" s="400" t="str">
        <f t="shared" si="11"/>
        <v>OUT</v>
      </c>
      <c r="E1854" s="403" t="str">
        <f t="array" ref="E1854">INDIRECT("Tableau!$X$153")</f>
        <v/>
      </c>
    </row>
    <row r="1855">
      <c r="A1855" s="402">
        <f t="array" ref="A1855">INDIRECT("Tableau!$A$154")</f>
        <v>501</v>
      </c>
      <c r="B1855" s="398" t="s">
        <v>473</v>
      </c>
      <c r="C1855" s="400" t="str">
        <f t="array" ref="C1855">INDIRECT("Tableau!$W$154")</f>
        <v>DPS</v>
      </c>
      <c r="D1855" s="400" t="str">
        <f t="shared" si="11"/>
        <v>OUT</v>
      </c>
      <c r="E1855" s="403" t="str">
        <f t="array" ref="E1855">INDIRECT("Tableau!$X$154")</f>
        <v/>
      </c>
    </row>
    <row r="1856">
      <c r="A1856" s="402">
        <f t="array" ref="A1856">INDIRECT("Tableau!$A$155")</f>
        <v>502</v>
      </c>
      <c r="B1856" s="398" t="s">
        <v>473</v>
      </c>
      <c r="C1856" s="400" t="str">
        <f t="array" ref="C1856">INDIRECT("Tableau!$W$155")</f>
        <v>Carbelle</v>
      </c>
      <c r="D1856" s="400" t="str">
        <f t="shared" si="11"/>
        <v>OUT</v>
      </c>
      <c r="E1856" s="403" t="str">
        <f t="array" ref="E1856">INDIRECT("Tableau!$X$155")</f>
        <v/>
      </c>
    </row>
    <row r="1857">
      <c r="A1857" s="397" t="str">
        <f t="array" ref="A1857">INDIRECT("Tableau!$A$156")</f>
        <v/>
      </c>
      <c r="B1857" s="398" t="s">
        <v>473</v>
      </c>
      <c r="C1857" s="400" t="str">
        <f t="array" ref="C1857">INDIRECT("Tableau!$W$156")</f>
        <v>Carbelle</v>
      </c>
      <c r="D1857" s="400" t="str">
        <f t="shared" si="11"/>
        <v>OUT</v>
      </c>
      <c r="E1857" s="403" t="str">
        <f t="array" ref="E1857">INDIRECT("Tableau!$X$156")</f>
        <v/>
      </c>
    </row>
    <row r="1858">
      <c r="A1858" s="397" t="str">
        <f t="array" ref="A1858">INDIRECT("Tableau!$A$157")</f>
        <v/>
      </c>
      <c r="B1858" s="398" t="s">
        <v>473</v>
      </c>
      <c r="C1858" s="400" t="str">
        <f t="array" ref="C1858">INDIRECT("Tableau!$W$157")</f>
        <v>Carbelle</v>
      </c>
      <c r="D1858" s="400" t="str">
        <f t="shared" si="11"/>
        <v>OUT</v>
      </c>
      <c r="E1858" s="403" t="str">
        <f t="array" ref="E1858">INDIRECT("Tableau!$X$157")</f>
        <v/>
      </c>
    </row>
    <row r="1859">
      <c r="A1859" s="402">
        <f t="array" ref="A1859">INDIRECT("Tableau!$A$158")</f>
        <v>505</v>
      </c>
      <c r="B1859" s="398" t="s">
        <v>473</v>
      </c>
      <c r="C1859" s="400" t="str">
        <f t="array" ref="C1859">INDIRECT("Tableau!$W$158")</f>
        <v>Carbelle</v>
      </c>
      <c r="D1859" s="400" t="str">
        <f t="shared" si="11"/>
        <v>OUT</v>
      </c>
      <c r="E1859" s="403" t="str">
        <f t="array" ref="E1859">INDIRECT("Tableau!$X$158")</f>
        <v/>
      </c>
    </row>
    <row r="1860">
      <c r="A1860" s="402">
        <f t="array" ref="A1860">INDIRECT("Tableau!$A$159")</f>
        <v>506</v>
      </c>
      <c r="B1860" s="398" t="s">
        <v>473</v>
      </c>
      <c r="C1860" s="400" t="str">
        <f t="array" ref="C1860">INDIRECT("Tableau!$W$159")</f>
        <v>DPS</v>
      </c>
      <c r="D1860" s="400" t="str">
        <f t="shared" si="11"/>
        <v>OUT</v>
      </c>
      <c r="E1860" s="403" t="str">
        <f t="array" ref="E1860">INDIRECT("Tableau!$X$159")</f>
        <v/>
      </c>
    </row>
    <row r="1861">
      <c r="A1861" s="402">
        <f t="array" ref="A1861">INDIRECT("Tableau!$A$160")</f>
        <v>507</v>
      </c>
      <c r="B1861" s="398" t="s">
        <v>473</v>
      </c>
      <c r="C1861" s="400" t="str">
        <f t="array" ref="C1861">INDIRECT("Tableau!$W$160")</f>
        <v/>
      </c>
      <c r="D1861" s="400" t="str">
        <f t="shared" si="11"/>
        <v>OUT</v>
      </c>
      <c r="E1861" s="403" t="str">
        <f t="array" ref="E1861">INDIRECT("Tableau!$X$160")</f>
        <v/>
      </c>
    </row>
    <row r="1862">
      <c r="A1862" s="402">
        <f t="array" ref="A1862">INDIRECT("Tableau!$A$161")</f>
        <v>508</v>
      </c>
      <c r="B1862" s="398" t="s">
        <v>473</v>
      </c>
      <c r="C1862" s="400" t="str">
        <f t="array" ref="C1862">INDIRECT("Tableau!$W$161")</f>
        <v>DPS</v>
      </c>
      <c r="D1862" s="400" t="str">
        <f t="shared" si="11"/>
        <v>OUT</v>
      </c>
      <c r="E1862" s="403" t="str">
        <f t="array" ref="E1862">INDIRECT("Tableau!$X$161")</f>
        <v/>
      </c>
    </row>
    <row r="1863">
      <c r="A1863" s="402">
        <f t="array" ref="A1863">INDIRECT("Tableau!$A$162")</f>
        <v>509</v>
      </c>
      <c r="B1863" s="398" t="s">
        <v>473</v>
      </c>
      <c r="C1863" s="400" t="str">
        <f t="array" ref="C1863">INDIRECT("Tableau!$W$162")</f>
        <v/>
      </c>
      <c r="D1863" s="400" t="str">
        <f t="shared" si="11"/>
        <v>OUT</v>
      </c>
      <c r="E1863" s="403" t="str">
        <f t="array" ref="E1863">INDIRECT("Tableau!$X$162")</f>
        <v/>
      </c>
    </row>
    <row r="1864">
      <c r="A1864" s="397">
        <f t="array" ref="A1864">INDIRECT("Tableau!$A$163")</f>
        <v>510</v>
      </c>
      <c r="B1864" s="398" t="s">
        <v>473</v>
      </c>
      <c r="C1864" s="400" t="str">
        <f t="array" ref="C1864">INDIRECT("Tableau!$W$163")</f>
        <v/>
      </c>
      <c r="D1864" s="400" t="str">
        <f t="shared" si="11"/>
        <v>OUT</v>
      </c>
      <c r="E1864" s="403" t="str">
        <f t="array" ref="E1864">INDIRECT("Tableau!$X$163")</f>
        <v/>
      </c>
    </row>
    <row r="1865">
      <c r="A1865" s="397" t="str">
        <f t="array" ref="A1865">INDIRECT("Tableau!$A$164")</f>
        <v/>
      </c>
      <c r="B1865" s="398" t="s">
        <v>473</v>
      </c>
      <c r="C1865" s="400" t="str">
        <f t="array" ref="C1865">INDIRECT("Tableau!$W$164")</f>
        <v/>
      </c>
      <c r="D1865" s="400" t="str">
        <f t="shared" si="11"/>
        <v>OUT</v>
      </c>
      <c r="E1865" s="403" t="str">
        <f t="array" ref="E1865">INDIRECT("Tableau!$X$164")</f>
        <v/>
      </c>
    </row>
    <row r="1866">
      <c r="A1866" s="397" t="str">
        <f t="array" ref="A1866">INDIRECT("Tableau!$A$165")</f>
        <v/>
      </c>
      <c r="B1866" s="398" t="s">
        <v>473</v>
      </c>
      <c r="C1866" s="400" t="str">
        <f t="array" ref="C1866">INDIRECT("Tableau!$W$165")</f>
        <v/>
      </c>
      <c r="D1866" s="400" t="str">
        <f t="shared" si="11"/>
        <v>OUT</v>
      </c>
      <c r="E1866" s="403" t="str">
        <f t="array" ref="E1866">INDIRECT("Tableau!$X$165")</f>
        <v/>
      </c>
    </row>
    <row r="1867">
      <c r="A1867" s="402">
        <f t="array" ref="A1867">INDIRECT("Tableau!$A$166")</f>
        <v>527</v>
      </c>
      <c r="B1867" s="398" t="s">
        <v>473</v>
      </c>
      <c r="C1867" s="400" t="str">
        <f t="array" ref="C1867">INDIRECT("Tableau!$W$166")</f>
        <v/>
      </c>
      <c r="D1867" s="400" t="str">
        <f t="shared" si="11"/>
        <v>OUT</v>
      </c>
      <c r="E1867" s="403" t="str">
        <f t="array" ref="E1867">INDIRECT("Tableau!$X$166")</f>
        <v/>
      </c>
    </row>
    <row r="1868">
      <c r="A1868" s="402">
        <f t="array" ref="A1868">INDIRECT("Tableau!$A$167")</f>
        <v>512</v>
      </c>
      <c r="B1868" s="398" t="s">
        <v>473</v>
      </c>
      <c r="C1868" s="400" t="str">
        <f t="array" ref="C1868">INDIRECT("Tableau!$W$167")</f>
        <v/>
      </c>
      <c r="D1868" s="400" t="str">
        <f t="shared" si="11"/>
        <v>OUT</v>
      </c>
      <c r="E1868" s="403" t="str">
        <f t="array" ref="E1868">INDIRECT("Tableau!$X$167")</f>
        <v/>
      </c>
    </row>
    <row r="1869">
      <c r="A1869" s="402">
        <f t="array" ref="A1869">INDIRECT("Tableau!$A$168")</f>
        <v>513</v>
      </c>
      <c r="B1869" s="398" t="s">
        <v>473</v>
      </c>
      <c r="C1869" s="400" t="str">
        <f t="array" ref="C1869">INDIRECT("Tableau!$W$168")</f>
        <v/>
      </c>
      <c r="D1869" s="400" t="str">
        <f t="shared" si="11"/>
        <v>OUT</v>
      </c>
      <c r="E1869" s="403" t="str">
        <f t="array" ref="E1869">INDIRECT("Tableau!$X$168")</f>
        <v/>
      </c>
    </row>
    <row r="1870">
      <c r="A1870" s="402">
        <f t="array" ref="A1870">INDIRECT("Tableau!$A$169")</f>
        <v>514</v>
      </c>
      <c r="B1870" s="398" t="s">
        <v>473</v>
      </c>
      <c r="C1870" s="400" t="str">
        <f t="array" ref="C1870">INDIRECT("Tableau!$W$169")</f>
        <v/>
      </c>
      <c r="D1870" s="400" t="str">
        <f t="shared" si="11"/>
        <v>OUT</v>
      </c>
      <c r="E1870" s="403" t="str">
        <f t="array" ref="E1870">INDIRECT("Tableau!$X$169")</f>
        <v/>
      </c>
    </row>
    <row r="1871">
      <c r="A1871" s="402">
        <f t="array" ref="A1871">INDIRECT("Tableau!$A$170")</f>
        <v>515</v>
      </c>
      <c r="B1871" s="398" t="s">
        <v>473</v>
      </c>
      <c r="C1871" s="400" t="str">
        <f t="array" ref="C1871">INDIRECT("Tableau!$W$170")</f>
        <v/>
      </c>
      <c r="D1871" s="400" t="str">
        <f t="shared" si="11"/>
        <v>OUT</v>
      </c>
      <c r="E1871" s="403" t="str">
        <f t="array" ref="E1871">INDIRECT("Tableau!$X$170")</f>
        <v/>
      </c>
    </row>
    <row r="1872">
      <c r="A1872" s="402">
        <f t="array" ref="A1872">INDIRECT("Tableau!$A$171")</f>
        <v>517</v>
      </c>
      <c r="B1872" s="398" t="s">
        <v>473</v>
      </c>
      <c r="C1872" s="400" t="str">
        <f t="array" ref="C1872">INDIRECT("Tableau!$W$171")</f>
        <v/>
      </c>
      <c r="D1872" s="400" t="str">
        <f t="shared" si="11"/>
        <v>OUT</v>
      </c>
      <c r="E1872" s="403" t="str">
        <f t="array" ref="E1872">INDIRECT("Tableau!$X$171")</f>
        <v/>
      </c>
    </row>
    <row r="1873">
      <c r="A1873" s="402">
        <f t="array" ref="A1873">INDIRECT("Tableau!$A$172")</f>
        <v>518</v>
      </c>
      <c r="B1873" s="398" t="s">
        <v>473</v>
      </c>
      <c r="C1873" s="400" t="str">
        <f t="array" ref="C1873">INDIRECT("Tableau!$W$172")</f>
        <v/>
      </c>
      <c r="D1873" s="400" t="str">
        <f t="shared" si="11"/>
        <v>OUT</v>
      </c>
      <c r="E1873" s="403" t="str">
        <f t="array" ref="E1873">INDIRECT("Tableau!$X$172")</f>
        <v/>
      </c>
    </row>
    <row r="1874">
      <c r="A1874" s="397" t="str">
        <f t="array" ref="A1874">INDIRECT("Tableau!$A$173")</f>
        <v/>
      </c>
      <c r="B1874" s="398" t="s">
        <v>473</v>
      </c>
      <c r="C1874" s="400" t="str">
        <f t="array" ref="C1874">INDIRECT("Tableau!$W$173")</f>
        <v/>
      </c>
      <c r="D1874" s="400" t="str">
        <f t="shared" si="11"/>
        <v>OUT</v>
      </c>
      <c r="E1874" s="403" t="str">
        <f t="array" ref="E1874">INDIRECT("Tableau!$X$173")</f>
        <v/>
      </c>
    </row>
    <row r="1875">
      <c r="A1875" s="402">
        <f t="array" ref="A1875">INDIRECT("Tableau!$A$174")</f>
        <v>520</v>
      </c>
      <c r="B1875" s="398" t="s">
        <v>473</v>
      </c>
      <c r="C1875" s="400" t="str">
        <f t="array" ref="C1875">INDIRECT("Tableau!$W$174")</f>
        <v/>
      </c>
      <c r="D1875" s="400" t="str">
        <f t="shared" si="11"/>
        <v>OUT</v>
      </c>
      <c r="E1875" s="403" t="str">
        <f t="array" ref="E1875">INDIRECT("Tableau!$X$174")</f>
        <v/>
      </c>
    </row>
    <row r="1876">
      <c r="A1876" s="402">
        <f t="array" ref="A1876">INDIRECT("Tableau!$A$175")</f>
        <v>521</v>
      </c>
      <c r="B1876" s="398" t="s">
        <v>473</v>
      </c>
      <c r="C1876" s="400" t="str">
        <f t="array" ref="C1876">INDIRECT("Tableau!$W$175")</f>
        <v/>
      </c>
      <c r="D1876" s="400" t="str">
        <f t="shared" si="11"/>
        <v>OUT</v>
      </c>
      <c r="E1876" s="403" t="str">
        <f t="array" ref="E1876">INDIRECT("Tableau!$X$175")</f>
        <v/>
      </c>
    </row>
    <row r="1877">
      <c r="A1877" s="402">
        <f t="array" ref="A1877">INDIRECT("Tableau!$A$176")</f>
        <v>525</v>
      </c>
      <c r="B1877" s="398" t="s">
        <v>473</v>
      </c>
      <c r="C1877" s="400" t="str">
        <f t="array" ref="C1877">INDIRECT("Tableau!$W$176")</f>
        <v>DEMA</v>
      </c>
      <c r="D1877" s="400" t="str">
        <f t="shared" si="11"/>
        <v>OUT</v>
      </c>
      <c r="E1877" s="403" t="str">
        <f t="array" ref="E1877">INDIRECT("Tableau!$X$176")</f>
        <v/>
      </c>
    </row>
    <row r="1878">
      <c r="A1878" s="402">
        <f t="array" ref="A1878">INDIRECT("Tableau!$A$177")</f>
        <v>530</v>
      </c>
      <c r="B1878" s="398" t="s">
        <v>473</v>
      </c>
      <c r="C1878" s="400" t="str">
        <f t="array" ref="C1878">INDIRECT("Tableau!$W$177")</f>
        <v/>
      </c>
      <c r="D1878" s="400" t="str">
        <f t="shared" si="11"/>
        <v>OUT</v>
      </c>
      <c r="E1878" s="403" t="str">
        <f t="array" ref="E1878">INDIRECT("Tableau!$X$177")</f>
        <v/>
      </c>
    </row>
    <row r="1879">
      <c r="A1879" s="397" t="str">
        <f t="array" ref="A1879">INDIRECT("Tableau!$A$178")</f>
        <v/>
      </c>
      <c r="B1879" s="398" t="s">
        <v>473</v>
      </c>
      <c r="C1879" s="400" t="str">
        <f t="array" ref="C1879">INDIRECT("Tableau!$W$178")</f>
        <v/>
      </c>
      <c r="D1879" s="400" t="str">
        <f t="shared" si="11"/>
        <v>OUT</v>
      </c>
      <c r="E1879" s="403" t="str">
        <f t="array" ref="E1879">INDIRECT("Tableau!$X$178")</f>
        <v/>
      </c>
    </row>
    <row r="1880">
      <c r="A1880" s="397" t="str">
        <f t="array" ref="A1880">INDIRECT("Tableau!$A$179")</f>
        <v/>
      </c>
      <c r="B1880" s="398" t="s">
        <v>473</v>
      </c>
      <c r="C1880" s="400" t="str">
        <f t="array" ref="C1880">INDIRECT("Tableau!$W$179")</f>
        <v/>
      </c>
      <c r="D1880" s="400" t="str">
        <f t="shared" si="11"/>
        <v>OUT</v>
      </c>
      <c r="E1880" s="403" t="str">
        <f t="array" ref="E1880">INDIRECT("Tableau!$X$179")</f>
        <v/>
      </c>
    </row>
    <row r="1881">
      <c r="A1881" s="397" t="str">
        <f t="array" ref="A1881">INDIRECT("Tableau!$A$180")</f>
        <v/>
      </c>
      <c r="B1881" s="398" t="s">
        <v>473</v>
      </c>
      <c r="C1881" s="400" t="str">
        <f t="array" ref="C1881">INDIRECT("Tableau!$W$180")</f>
        <v/>
      </c>
      <c r="D1881" s="400" t="str">
        <f t="shared" si="11"/>
        <v>OUT</v>
      </c>
      <c r="E1881" s="403" t="str">
        <f t="array" ref="E1881">INDIRECT("Tableau!$X$180")</f>
        <v/>
      </c>
    </row>
    <row r="1882">
      <c r="A1882" s="397" t="str">
        <f t="array" ref="A1882">INDIRECT("Tableau!$A$181")</f>
        <v/>
      </c>
      <c r="B1882" s="398" t="s">
        <v>473</v>
      </c>
      <c r="C1882" s="400" t="str">
        <f t="array" ref="C1882">INDIRECT("Tableau!$W$181")</f>
        <v/>
      </c>
      <c r="D1882" s="400" t="str">
        <f t="shared" si="11"/>
        <v>OUT</v>
      </c>
      <c r="E1882" s="403" t="str">
        <f t="array" ref="E1882">INDIRECT("Tableau!$X$181")</f>
        <v/>
      </c>
    </row>
    <row r="1883">
      <c r="A1883" s="397" t="str">
        <f t="array" ref="A1883">INDIRECT("Tableau!$A$182")</f>
        <v/>
      </c>
      <c r="B1883" s="398" t="s">
        <v>473</v>
      </c>
      <c r="C1883" s="400" t="str">
        <f t="array" ref="C1883">INDIRECT("Tableau!$W$182")</f>
        <v/>
      </c>
      <c r="D1883" s="400" t="str">
        <f t="shared" si="11"/>
        <v>OUT</v>
      </c>
      <c r="E1883" s="403" t="str">
        <f t="array" ref="E1883">INDIRECT("Tableau!$X$182")</f>
        <v/>
      </c>
    </row>
    <row r="1884">
      <c r="A1884" s="397" t="str">
        <f t="array" ref="A1884">INDIRECT("Tableau!$A$183")</f>
        <v/>
      </c>
      <c r="B1884" s="398" t="s">
        <v>473</v>
      </c>
      <c r="C1884" s="400" t="str">
        <f t="array" ref="C1884">INDIRECT("Tableau!$W$183")</f>
        <v/>
      </c>
      <c r="D1884" s="400" t="str">
        <f t="shared" si="11"/>
        <v>OUT</v>
      </c>
      <c r="E1884" s="403" t="str">
        <f t="array" ref="E1884">INDIRECT("Tableau!$X$183")</f>
        <v/>
      </c>
    </row>
    <row r="1885">
      <c r="A1885" s="397" t="str">
        <f t="array" ref="A1885">INDIRECT("Tableau!$A$184")</f>
        <v/>
      </c>
      <c r="B1885" s="398" t="s">
        <v>473</v>
      </c>
      <c r="C1885" s="400" t="str">
        <f t="array" ref="C1885">INDIRECT("Tableau!$W$184")</f>
        <v/>
      </c>
      <c r="D1885" s="400" t="str">
        <f t="shared" si="11"/>
        <v>OUT</v>
      </c>
      <c r="E1885" s="403" t="str">
        <f t="array" ref="E1885">INDIRECT("Tableau!$X$184")</f>
        <v/>
      </c>
    </row>
    <row r="1886">
      <c r="A1886" s="397" t="str">
        <f t="array" ref="A1886">INDIRECT("Tableau!$A$185")</f>
        <v/>
      </c>
      <c r="B1886" s="398" t="s">
        <v>473</v>
      </c>
      <c r="C1886" s="400" t="str">
        <f t="array" ref="C1886">INDIRECT("Tableau!$W$185")</f>
        <v/>
      </c>
      <c r="D1886" s="400" t="str">
        <f t="shared" si="11"/>
        <v>OUT</v>
      </c>
      <c r="E1886" s="403" t="str">
        <f t="array" ref="E1886">INDIRECT("Tableau!$X$185")</f>
        <v/>
      </c>
    </row>
    <row r="1887">
      <c r="A1887" s="397" t="str">
        <f t="array" ref="A1887">INDIRECT("Tableau!$A$186")</f>
        <v/>
      </c>
      <c r="B1887" s="398" t="s">
        <v>473</v>
      </c>
      <c r="C1887" s="400" t="str">
        <f t="array" ref="C1887">INDIRECT("Tableau!$W$186")</f>
        <v/>
      </c>
      <c r="D1887" s="400" t="str">
        <f t="shared" si="11"/>
        <v>OUT</v>
      </c>
      <c r="E1887" s="403" t="str">
        <f t="array" ref="E1887">INDIRECT("Tableau!$X$186")</f>
        <v/>
      </c>
    </row>
    <row r="1888">
      <c r="A1888" s="397" t="str">
        <f t="array" ref="A1888">INDIRECT("Tableau!$A$187")</f>
        <v/>
      </c>
      <c r="B1888" s="398" t="s">
        <v>473</v>
      </c>
      <c r="C1888" s="400" t="str">
        <f t="array" ref="C1888">INDIRECT("Tableau!$W$187")</f>
        <v/>
      </c>
      <c r="D1888" s="400" t="str">
        <f t="shared" si="11"/>
        <v>OUT</v>
      </c>
      <c r="E1888" s="403" t="str">
        <f t="array" ref="E1888">INDIRECT("Tableau!$X$187")</f>
        <v/>
      </c>
    </row>
    <row r="1889">
      <c r="A1889" s="397" t="str">
        <f t="array" ref="A1889">INDIRECT("Tableau!$A$188")</f>
        <v/>
      </c>
      <c r="B1889" s="398" t="s">
        <v>473</v>
      </c>
      <c r="C1889" s="400" t="str">
        <f t="array" ref="C1889">INDIRECT("Tableau!$W$188")</f>
        <v/>
      </c>
      <c r="D1889" s="400" t="str">
        <f t="shared" si="11"/>
        <v>OUT</v>
      </c>
      <c r="E1889" s="403" t="str">
        <f t="array" ref="E1889">INDIRECT("Tableau!$X$188")</f>
        <v/>
      </c>
    </row>
    <row r="1890">
      <c r="A1890" s="397" t="str">
        <f t="array" ref="A1890">INDIRECT("Tableau!$A$189")</f>
        <v/>
      </c>
      <c r="B1890" s="398" t="s">
        <v>473</v>
      </c>
      <c r="C1890" s="400" t="str">
        <f t="array" ref="C1890">INDIRECT("Tableau!$W$189")</f>
        <v/>
      </c>
      <c r="D1890" s="400" t="str">
        <f t="shared" si="11"/>
        <v>OUT</v>
      </c>
      <c r="E1890" s="403" t="str">
        <f t="array" ref="E1890">INDIRECT("Tableau!$X$189")</f>
        <v/>
      </c>
    </row>
    <row r="1891">
      <c r="A1891" s="397" t="str">
        <f t="array" ref="A1891">INDIRECT("Tableau!$A$190")</f>
        <v/>
      </c>
      <c r="B1891" s="398" t="s">
        <v>473</v>
      </c>
      <c r="C1891" s="400" t="str">
        <f t="array" ref="C1891">INDIRECT("Tableau!$W$190")</f>
        <v/>
      </c>
      <c r="D1891" s="400" t="str">
        <f t="shared" si="11"/>
        <v>OUT</v>
      </c>
      <c r="E1891" s="403" t="str">
        <f t="array" ref="E1891">INDIRECT("Tableau!$X$190")</f>
        <v/>
      </c>
    </row>
    <row r="1892">
      <c r="A1892" s="397" t="str">
        <f t="array" ref="A1892">INDIRECT("Tableau!$A$2")</f>
        <v/>
      </c>
      <c r="B1892" s="398" t="s">
        <v>474</v>
      </c>
      <c r="C1892" s="400" t="str">
        <f t="array" ref="C1892">INDIRECT("Tableau!$Y$2")</f>
        <v/>
      </c>
      <c r="D1892" s="400" t="str">
        <f t="shared" ref="D1892:D2080" si="12">INDIRECT("Tableau!$Z$1")</f>
        <v>IN</v>
      </c>
      <c r="E1892" s="403" t="str">
        <f t="array" ref="E1892">INDIRECT("Tableau!$Z$2")</f>
        <v/>
      </c>
    </row>
    <row r="1893">
      <c r="A1893" s="402">
        <f t="array" ref="A1893">INDIRECT("Tableau!$A$3")</f>
        <v>102</v>
      </c>
      <c r="B1893" s="398" t="s">
        <v>474</v>
      </c>
      <c r="C1893" s="400" t="str">
        <f t="array" ref="C1893">INDIRECT("Tableau!$Y$3")</f>
        <v/>
      </c>
      <c r="D1893" s="400" t="str">
        <f t="shared" si="12"/>
        <v>IN</v>
      </c>
      <c r="E1893" s="403" t="str">
        <f t="array" ref="E1893">INDIRECT("Tableau!$Z$3")</f>
        <v/>
      </c>
    </row>
    <row r="1894">
      <c r="A1894" s="397" t="str">
        <f t="array" ref="A1894">INDIRECT("Tableau!$A$4")</f>
        <v/>
      </c>
      <c r="B1894" s="398" t="s">
        <v>474</v>
      </c>
      <c r="C1894" s="400" t="str">
        <f t="array" ref="C1894">INDIRECT("Tableau!$Y$4")</f>
        <v/>
      </c>
      <c r="D1894" s="400" t="str">
        <f t="shared" si="12"/>
        <v>IN</v>
      </c>
      <c r="E1894" s="403" t="str">
        <f t="array" ref="E1894">INDIRECT("Tableau!$Z$4")</f>
        <v/>
      </c>
    </row>
    <row r="1895">
      <c r="A1895" s="402">
        <f t="array" ref="A1895">INDIRECT("Tableau!$A$5")</f>
        <v>104</v>
      </c>
      <c r="B1895" s="398" t="s">
        <v>474</v>
      </c>
      <c r="C1895" s="400" t="str">
        <f t="array" ref="C1895">INDIRECT("Tableau!$Y$5")</f>
        <v>Schmidt cuisines- Wavre </v>
      </c>
      <c r="D1895" s="400" t="str">
        <f t="shared" si="12"/>
        <v>IN</v>
      </c>
      <c r="E1895" s="403" t="str">
        <f t="array" ref="E1895">INDIRECT("Tableau!$Z$5")</f>
        <v/>
      </c>
    </row>
    <row r="1896">
      <c r="A1896" s="402">
        <f t="array" ref="A1896">INDIRECT("Tableau!$A$6")</f>
        <v>105</v>
      </c>
      <c r="B1896" s="398" t="s">
        <v>474</v>
      </c>
      <c r="C1896" s="400" t="str">
        <f t="array" ref="C1896">INDIRECT("Tableau!$Y$6")</f>
        <v/>
      </c>
      <c r="D1896" s="400" t="str">
        <f t="shared" si="12"/>
        <v>IN</v>
      </c>
      <c r="E1896" s="403" t="str">
        <f t="array" ref="E1896">INDIRECT("Tableau!$Z$6")</f>
        <v/>
      </c>
    </row>
    <row r="1897">
      <c r="A1897" s="402">
        <f t="array" ref="A1897">INDIRECT("Tableau!$A$7")</f>
        <v>106</v>
      </c>
      <c r="B1897" s="398" t="s">
        <v>474</v>
      </c>
      <c r="C1897" s="400" t="str">
        <f t="array" ref="C1897">INDIRECT("Tableau!$Y$7")</f>
        <v>Schmidt cuisines- Wavre </v>
      </c>
      <c r="D1897" s="400" t="str">
        <f t="shared" si="12"/>
        <v>IN</v>
      </c>
      <c r="E1897" s="403" t="str">
        <f t="array" ref="E1897">INDIRECT("Tableau!$Z$7")</f>
        <v/>
      </c>
    </row>
    <row r="1898">
      <c r="A1898" s="402">
        <f t="array" ref="A1898">INDIRECT("Tableau!$A$8")</f>
        <v>107</v>
      </c>
      <c r="B1898" s="398" t="s">
        <v>474</v>
      </c>
      <c r="C1898" s="400" t="str">
        <f t="array" ref="C1898">INDIRECT("Tableau!$Y$8")</f>
        <v>Schmidt cuisines- Wavre </v>
      </c>
      <c r="D1898" s="400" t="str">
        <f t="shared" si="12"/>
        <v>IN</v>
      </c>
      <c r="E1898" s="403" t="str">
        <f t="array" ref="E1898">INDIRECT("Tableau!$Z$8")</f>
        <v/>
      </c>
    </row>
    <row r="1899">
      <c r="A1899" s="397">
        <f t="array" ref="A1899">INDIRECT("Tableau!$A$9")</f>
        <v>108</v>
      </c>
      <c r="B1899" s="398" t="s">
        <v>474</v>
      </c>
      <c r="C1899" s="400" t="str">
        <f t="array" ref="C1899">INDIRECT("Tableau!$Y$9")</f>
        <v>Schmidt cuisines- Wavre </v>
      </c>
      <c r="D1899" s="400" t="str">
        <f t="shared" si="12"/>
        <v>IN</v>
      </c>
      <c r="E1899" s="403" t="str">
        <f t="array" ref="E1899">INDIRECT("Tableau!$Z$9")</f>
        <v/>
      </c>
    </row>
    <row r="1900">
      <c r="A1900" s="402">
        <f t="array" ref="A1900">INDIRECT("Tableau!$A$10")</f>
        <v>109</v>
      </c>
      <c r="B1900" s="398" t="s">
        <v>474</v>
      </c>
      <c r="C1900" s="400" t="str">
        <f t="array" ref="C1900">INDIRECT("Tableau!$Y$10")</f>
        <v/>
      </c>
      <c r="D1900" s="400" t="str">
        <f t="shared" si="12"/>
        <v>IN</v>
      </c>
      <c r="E1900" s="403" t="str">
        <f t="array" ref="E1900">INDIRECT("Tableau!$Z$10")</f>
        <v/>
      </c>
    </row>
    <row r="1901">
      <c r="A1901" s="402">
        <f t="array" ref="A1901">INDIRECT("Tableau!$A$11")</f>
        <v>110</v>
      </c>
      <c r="B1901" s="398" t="s">
        <v>474</v>
      </c>
      <c r="C1901" s="400" t="str">
        <f t="array" ref="C1901">INDIRECT("Tableau!$Y$11")</f>
        <v/>
      </c>
      <c r="D1901" s="400" t="str">
        <f t="shared" si="12"/>
        <v>IN</v>
      </c>
      <c r="E1901" s="403" t="str">
        <f t="array" ref="E1901">INDIRECT("Tableau!$Z$11")</f>
        <v/>
      </c>
    </row>
    <row r="1902">
      <c r="A1902" s="402">
        <f t="array" ref="A1902">INDIRECT("Tableau!$A$12")</f>
        <v>111</v>
      </c>
      <c r="B1902" s="398" t="s">
        <v>474</v>
      </c>
      <c r="C1902" s="400" t="str">
        <f t="array" ref="C1902">INDIRECT("Tableau!$Y$12")</f>
        <v>Schmidt cuisines- Wavre </v>
      </c>
      <c r="D1902" s="400" t="str">
        <f t="shared" si="12"/>
        <v>IN</v>
      </c>
      <c r="E1902" s="403" t="str">
        <f t="array" ref="E1902">INDIRECT("Tableau!$Z$12")</f>
        <v/>
      </c>
    </row>
    <row r="1903">
      <c r="A1903" s="402">
        <f t="array" ref="A1903">INDIRECT("Tableau!$A$13")</f>
        <v>112</v>
      </c>
      <c r="B1903" s="398" t="s">
        <v>474</v>
      </c>
      <c r="C1903" s="400" t="str">
        <f t="array" ref="C1903">INDIRECT("Tableau!$Y$13")</f>
        <v/>
      </c>
      <c r="D1903" s="400" t="str">
        <f t="shared" si="12"/>
        <v>IN</v>
      </c>
      <c r="E1903" s="403" t="str">
        <f t="array" ref="E1903">INDIRECT("Tableau!$Z$13")</f>
        <v/>
      </c>
    </row>
    <row r="1904">
      <c r="A1904" s="402">
        <f t="array" ref="A1904">INDIRECT("Tableau!$A$14")</f>
        <v>113</v>
      </c>
      <c r="B1904" s="398" t="s">
        <v>474</v>
      </c>
      <c r="C1904" s="400" t="str">
        <f t="array" ref="C1904">INDIRECT("Tableau!$Y$14")</f>
        <v/>
      </c>
      <c r="D1904" s="400" t="str">
        <f t="shared" si="12"/>
        <v>IN</v>
      </c>
      <c r="E1904" s="403" t="str">
        <f t="array" ref="E1904">INDIRECT("Tableau!$Z$14")</f>
        <v/>
      </c>
    </row>
    <row r="1905">
      <c r="A1905" s="397">
        <f t="array" ref="A1905">INDIRECT("Tableau!$A$15")</f>
        <v>114</v>
      </c>
      <c r="B1905" s="398" t="s">
        <v>474</v>
      </c>
      <c r="C1905" s="400" t="str">
        <f t="array" ref="C1905">INDIRECT("Tableau!$Y$15")</f>
        <v/>
      </c>
      <c r="D1905" s="400" t="str">
        <f t="shared" si="12"/>
        <v>IN</v>
      </c>
      <c r="E1905" s="403" t="str">
        <f t="array" ref="E1905">INDIRECT("Tableau!$Z$15")</f>
        <v/>
      </c>
    </row>
    <row r="1906">
      <c r="A1906" s="397" t="str">
        <f t="array" ref="A1906">INDIRECT("Tableau!$A$16")</f>
        <v/>
      </c>
      <c r="B1906" s="398" t="s">
        <v>474</v>
      </c>
      <c r="C1906" s="400" t="str">
        <f t="array" ref="C1906">INDIRECT("Tableau!$Y$16")</f>
        <v/>
      </c>
      <c r="D1906" s="400" t="str">
        <f t="shared" si="12"/>
        <v>IN</v>
      </c>
      <c r="E1906" s="403" t="str">
        <f t="array" ref="E1906">INDIRECT("Tableau!$Z$16")</f>
        <v/>
      </c>
    </row>
    <row r="1907">
      <c r="A1907" s="397" t="str">
        <f t="array" ref="A1907">INDIRECT("Tableau!$A$17")</f>
        <v/>
      </c>
      <c r="B1907" s="398" t="s">
        <v>474</v>
      </c>
      <c r="C1907" s="400" t="str">
        <f t="array" ref="C1907">INDIRECT("Tableau!$Y$17")</f>
        <v/>
      </c>
      <c r="D1907" s="400" t="str">
        <f t="shared" si="12"/>
        <v>IN</v>
      </c>
      <c r="E1907" s="403" t="str">
        <f t="array" ref="E1907">INDIRECT("Tableau!$Z$17")</f>
        <v/>
      </c>
    </row>
    <row r="1908">
      <c r="A1908" s="397" t="str">
        <f t="array" ref="A1908">INDIRECT("Tableau!$A$18")</f>
        <v/>
      </c>
      <c r="B1908" s="398" t="s">
        <v>474</v>
      </c>
      <c r="C1908" s="400" t="str">
        <f t="array" ref="C1908">INDIRECT("Tableau!$Y$18")</f>
        <v/>
      </c>
      <c r="D1908" s="400" t="str">
        <f t="shared" si="12"/>
        <v>IN</v>
      </c>
      <c r="E1908" s="403" t="str">
        <f t="array" ref="E1908">INDIRECT("Tableau!$Z$18")</f>
        <v/>
      </c>
    </row>
    <row r="1909">
      <c r="A1909" s="397" t="str">
        <f t="array" ref="A1909">INDIRECT("Tableau!$A$19")</f>
        <v/>
      </c>
      <c r="B1909" s="398" t="s">
        <v>474</v>
      </c>
      <c r="C1909" s="400" t="str">
        <f t="array" ref="C1909">INDIRECT("Tableau!$Y$19")</f>
        <v/>
      </c>
      <c r="D1909" s="400" t="str">
        <f t="shared" si="12"/>
        <v>IN</v>
      </c>
      <c r="E1909" s="403" t="str">
        <f t="array" ref="E1909">INDIRECT("Tableau!$Z$19")</f>
        <v/>
      </c>
    </row>
    <row r="1910">
      <c r="A1910" s="397" t="str">
        <f t="array" ref="A1910">INDIRECT("Tableau!$A$20")</f>
        <v/>
      </c>
      <c r="B1910" s="398" t="s">
        <v>474</v>
      </c>
      <c r="C1910" s="400" t="str">
        <f t="array" ref="C1910">INDIRECT("Tableau!$Y$20")</f>
        <v/>
      </c>
      <c r="D1910" s="400" t="str">
        <f t="shared" si="12"/>
        <v>IN</v>
      </c>
      <c r="E1910" s="403" t="str">
        <f t="array" ref="E1910">INDIRECT("Tableau!$Z$20")</f>
        <v/>
      </c>
    </row>
    <row r="1911">
      <c r="A1911" s="397" t="str">
        <f t="array" ref="A1911">INDIRECT("Tableau!$A$21")</f>
        <v/>
      </c>
      <c r="B1911" s="398" t="s">
        <v>474</v>
      </c>
      <c r="C1911" s="400" t="str">
        <f t="array" ref="C1911">INDIRECT("Tableau!$Y$21")</f>
        <v/>
      </c>
      <c r="D1911" s="400" t="str">
        <f t="shared" si="12"/>
        <v>IN</v>
      </c>
      <c r="E1911" s="403" t="str">
        <f t="array" ref="E1911">INDIRECT("Tableau!$Z$21")</f>
        <v/>
      </c>
    </row>
    <row r="1912">
      <c r="A1912" s="397" t="str">
        <f t="array" ref="A1912">INDIRECT("Tableau!$A$22")</f>
        <v/>
      </c>
      <c r="B1912" s="398" t="s">
        <v>474</v>
      </c>
      <c r="C1912" s="400" t="str">
        <f t="array" ref="C1912">INDIRECT("Tableau!$Y$22")</f>
        <v/>
      </c>
      <c r="D1912" s="400" t="str">
        <f t="shared" si="12"/>
        <v>IN</v>
      </c>
      <c r="E1912" s="403" t="str">
        <f t="array" ref="E1912">INDIRECT("Tableau!$Z$22")</f>
        <v/>
      </c>
    </row>
    <row r="1913">
      <c r="A1913" s="397" t="str">
        <f t="array" ref="A1913">INDIRECT("Tableau!$A$23")</f>
        <v/>
      </c>
      <c r="B1913" s="398" t="s">
        <v>474</v>
      </c>
      <c r="C1913" s="400" t="str">
        <f t="array" ref="C1913">INDIRECT("Tableau!$Y$23")</f>
        <v/>
      </c>
      <c r="D1913" s="400" t="str">
        <f t="shared" si="12"/>
        <v>IN</v>
      </c>
      <c r="E1913" s="403" t="str">
        <f t="array" ref="E1913">INDIRECT("Tableau!$Z$23")</f>
        <v/>
      </c>
    </row>
    <row r="1914">
      <c r="A1914" s="397" t="str">
        <f t="array" ref="A1914">INDIRECT("Tableau!$A$24")</f>
        <v/>
      </c>
      <c r="B1914" s="398" t="s">
        <v>474</v>
      </c>
      <c r="C1914" s="400" t="str">
        <f t="array" ref="C1914">INDIRECT("Tableau!$Y$24")</f>
        <v/>
      </c>
      <c r="D1914" s="400" t="str">
        <f t="shared" si="12"/>
        <v>IN</v>
      </c>
      <c r="E1914" s="403" t="str">
        <f t="array" ref="E1914">INDIRECT("Tableau!$Z$24")</f>
        <v/>
      </c>
    </row>
    <row r="1915">
      <c r="A1915" s="397" t="str">
        <f t="array" ref="A1915">INDIRECT("Tableau!$A$25")</f>
        <v/>
      </c>
      <c r="B1915" s="398" t="s">
        <v>474</v>
      </c>
      <c r="C1915" s="400" t="str">
        <f t="array" ref="C1915">INDIRECT("Tableau!$Y$25")</f>
        <v/>
      </c>
      <c r="D1915" s="400" t="str">
        <f t="shared" si="12"/>
        <v>IN</v>
      </c>
      <c r="E1915" s="403" t="str">
        <f t="array" ref="E1915">INDIRECT("Tableau!$Z$25")</f>
        <v/>
      </c>
    </row>
    <row r="1916">
      <c r="A1916" s="402">
        <f t="array" ref="A1916">INDIRECT("Tableau!$A$26")</f>
        <v>201</v>
      </c>
      <c r="B1916" s="398" t="s">
        <v>474</v>
      </c>
      <c r="C1916" s="400" t="str">
        <f t="array" ref="C1916">INDIRECT("Tableau!$Y$26")</f>
        <v/>
      </c>
      <c r="D1916" s="400" t="str">
        <f t="shared" si="12"/>
        <v>IN</v>
      </c>
      <c r="E1916" s="403" t="str">
        <f t="array" ref="E1916">INDIRECT("Tableau!$Z$26")</f>
        <v/>
      </c>
    </row>
    <row r="1917">
      <c r="A1917" s="402">
        <f t="array" ref="A1917">INDIRECT("Tableau!$A$27")</f>
        <v>202</v>
      </c>
      <c r="B1917" s="398" t="s">
        <v>474</v>
      </c>
      <c r="C1917" s="400" t="str">
        <f t="array" ref="C1917">INDIRECT("Tableau!$Y$27")</f>
        <v/>
      </c>
      <c r="D1917" s="400" t="str">
        <f t="shared" si="12"/>
        <v>IN</v>
      </c>
      <c r="E1917" s="403" t="str">
        <f t="array" ref="E1917">INDIRECT("Tableau!$Z$27")</f>
        <v/>
      </c>
    </row>
    <row r="1918">
      <c r="A1918" s="402">
        <f t="array" ref="A1918">INDIRECT("Tableau!$A$28")</f>
        <v>203</v>
      </c>
      <c r="B1918" s="398" t="s">
        <v>474</v>
      </c>
      <c r="C1918" s="400" t="str">
        <f t="array" ref="C1918">INDIRECT("Tableau!$Y$28")</f>
        <v/>
      </c>
      <c r="D1918" s="400" t="str">
        <f t="shared" si="12"/>
        <v>IN</v>
      </c>
      <c r="E1918" s="403" t="str">
        <f t="array" ref="E1918">INDIRECT("Tableau!$Z$28")</f>
        <v/>
      </c>
    </row>
    <row r="1919">
      <c r="A1919" s="402">
        <f t="array" ref="A1919">INDIRECT("Tableau!$A$29")</f>
        <v>204</v>
      </c>
      <c r="B1919" s="398" t="s">
        <v>474</v>
      </c>
      <c r="C1919" s="400" t="str">
        <f t="array" ref="C1919">INDIRECT("Tableau!$Y$29")</f>
        <v/>
      </c>
      <c r="D1919" s="400" t="str">
        <f t="shared" si="12"/>
        <v>IN</v>
      </c>
      <c r="E1919" s="403" t="str">
        <f t="array" ref="E1919">INDIRECT("Tableau!$Z$29")</f>
        <v/>
      </c>
    </row>
    <row r="1920">
      <c r="A1920" s="402">
        <f t="array" ref="A1920">INDIRECT("Tableau!$A$30")</f>
        <v>205</v>
      </c>
      <c r="B1920" s="398" t="s">
        <v>474</v>
      </c>
      <c r="C1920" s="400" t="str">
        <f t="array" ref="C1920">INDIRECT("Tableau!$Y$30")</f>
        <v/>
      </c>
      <c r="D1920" s="400" t="str">
        <f t="shared" si="12"/>
        <v>IN</v>
      </c>
      <c r="E1920" s="403" t="str">
        <f t="array" ref="E1920">INDIRECT("Tableau!$Z$30")</f>
        <v/>
      </c>
    </row>
    <row r="1921">
      <c r="A1921" s="402">
        <f t="array" ref="A1921">INDIRECT("Tableau!$A$31")</f>
        <v>206</v>
      </c>
      <c r="B1921" s="398" t="s">
        <v>474</v>
      </c>
      <c r="C1921" s="400" t="str">
        <f t="array" ref="C1921">INDIRECT("Tableau!$Y$31")</f>
        <v/>
      </c>
      <c r="D1921" s="400" t="str">
        <f t="shared" si="12"/>
        <v>IN</v>
      </c>
      <c r="E1921" s="403" t="str">
        <f t="array" ref="E1921">INDIRECT("Tableau!$Z$31")</f>
        <v/>
      </c>
    </row>
    <row r="1922">
      <c r="A1922" s="402">
        <f t="array" ref="A1922">INDIRECT("Tableau!$A$32")</f>
        <v>207</v>
      </c>
      <c r="B1922" s="398" t="s">
        <v>474</v>
      </c>
      <c r="C1922" s="400" t="str">
        <f t="array" ref="C1922">INDIRECT("Tableau!$Y$32")</f>
        <v/>
      </c>
      <c r="D1922" s="400" t="str">
        <f t="shared" si="12"/>
        <v>IN</v>
      </c>
      <c r="E1922" s="403" t="str">
        <f t="array" ref="E1922">INDIRECT("Tableau!$Z$32")</f>
        <v/>
      </c>
    </row>
    <row r="1923">
      <c r="A1923" s="402">
        <f t="array" ref="A1923">INDIRECT("Tableau!$A$33")</f>
        <v>208</v>
      </c>
      <c r="B1923" s="398" t="s">
        <v>474</v>
      </c>
      <c r="C1923" s="400" t="str">
        <f t="array" ref="C1923">INDIRECT("Tableau!$Y$33")</f>
        <v/>
      </c>
      <c r="D1923" s="400" t="str">
        <f t="shared" si="12"/>
        <v>IN</v>
      </c>
      <c r="E1923" s="403" t="str">
        <f t="array" ref="E1923">INDIRECT("Tableau!$Z$33")</f>
        <v/>
      </c>
    </row>
    <row r="1924">
      <c r="A1924" s="402">
        <f t="array" ref="A1924">INDIRECT("Tableau!$A$34")</f>
        <v>209</v>
      </c>
      <c r="B1924" s="398" t="s">
        <v>474</v>
      </c>
      <c r="C1924" s="400" t="str">
        <f t="array" ref="C1924">INDIRECT("Tableau!$Y$34")</f>
        <v/>
      </c>
      <c r="D1924" s="400" t="str">
        <f t="shared" si="12"/>
        <v>IN</v>
      </c>
      <c r="E1924" s="403" t="str">
        <f t="array" ref="E1924">INDIRECT("Tableau!$Z$34")</f>
        <v/>
      </c>
    </row>
    <row r="1925">
      <c r="A1925" s="402">
        <f t="array" ref="A1925">INDIRECT("Tableau!$A$35")</f>
        <v>210</v>
      </c>
      <c r="B1925" s="398" t="s">
        <v>474</v>
      </c>
      <c r="C1925" s="400" t="str">
        <f t="array" ref="C1925">INDIRECT("Tableau!$Y$35")</f>
        <v/>
      </c>
      <c r="D1925" s="400" t="str">
        <f t="shared" si="12"/>
        <v>IN</v>
      </c>
      <c r="E1925" s="403" t="str">
        <f t="array" ref="E1925">INDIRECT("Tableau!$Z$35")</f>
        <v/>
      </c>
    </row>
    <row r="1926">
      <c r="A1926" s="402">
        <f t="array" ref="A1926">INDIRECT("Tableau!$A$36")</f>
        <v>211</v>
      </c>
      <c r="B1926" s="398" t="s">
        <v>474</v>
      </c>
      <c r="C1926" s="400" t="str">
        <f t="array" ref="C1926">INDIRECT("Tableau!$Y$36")</f>
        <v/>
      </c>
      <c r="D1926" s="400" t="str">
        <f t="shared" si="12"/>
        <v>IN</v>
      </c>
      <c r="E1926" s="403" t="str">
        <f t="array" ref="E1926">INDIRECT("Tableau!$Z$36")</f>
        <v/>
      </c>
    </row>
    <row r="1927">
      <c r="A1927" s="402">
        <f t="array" ref="A1927">INDIRECT("Tableau!$A$37")</f>
        <v>212</v>
      </c>
      <c r="B1927" s="398" t="s">
        <v>474</v>
      </c>
      <c r="C1927" s="400" t="str">
        <f t="array" ref="C1927">INDIRECT("Tableau!$Y$37")</f>
        <v/>
      </c>
      <c r="D1927" s="400" t="str">
        <f t="shared" si="12"/>
        <v>IN</v>
      </c>
      <c r="E1927" s="403" t="str">
        <f t="array" ref="E1927">INDIRECT("Tableau!$Z$37")</f>
        <v/>
      </c>
    </row>
    <row r="1928">
      <c r="A1928" s="402">
        <f t="array" ref="A1928">INDIRECT("Tableau!$A$38")</f>
        <v>213</v>
      </c>
      <c r="B1928" s="398" t="s">
        <v>474</v>
      </c>
      <c r="C1928" s="400" t="str">
        <f t="array" ref="C1928">INDIRECT("Tableau!$Y$38")</f>
        <v/>
      </c>
      <c r="D1928" s="400" t="str">
        <f t="shared" si="12"/>
        <v>IN</v>
      </c>
      <c r="E1928" s="403" t="str">
        <f t="array" ref="E1928">INDIRECT("Tableau!$Z$38")</f>
        <v/>
      </c>
    </row>
    <row r="1929">
      <c r="A1929" s="402">
        <f t="array" ref="A1929">INDIRECT("Tableau!$A$39")</f>
        <v>214</v>
      </c>
      <c r="B1929" s="398" t="s">
        <v>474</v>
      </c>
      <c r="C1929" s="400" t="str">
        <f t="array" ref="C1929">INDIRECT("Tableau!$Y$39")</f>
        <v/>
      </c>
      <c r="D1929" s="400" t="str">
        <f t="shared" si="12"/>
        <v>IN</v>
      </c>
      <c r="E1929" s="403" t="str">
        <f t="array" ref="E1929">INDIRECT("Tableau!$Z$39")</f>
        <v/>
      </c>
    </row>
    <row r="1930">
      <c r="A1930" s="402">
        <f t="array" ref="A1930">INDIRECT("Tableau!$A$40")</f>
        <v>215</v>
      </c>
      <c r="B1930" s="398" t="s">
        <v>474</v>
      </c>
      <c r="C1930" s="400" t="str">
        <f t="array" ref="C1930">INDIRECT("Tableau!$Y$40")</f>
        <v/>
      </c>
      <c r="D1930" s="400" t="str">
        <f t="shared" si="12"/>
        <v>IN</v>
      </c>
      <c r="E1930" s="403" t="str">
        <f t="array" ref="E1930">INDIRECT("Tableau!$Z$40")</f>
        <v/>
      </c>
    </row>
    <row r="1931">
      <c r="A1931" s="402">
        <f t="array" ref="A1931">INDIRECT("Tableau!$A$41")</f>
        <v>216</v>
      </c>
      <c r="B1931" s="398" t="s">
        <v>474</v>
      </c>
      <c r="C1931" s="400" t="str">
        <f t="array" ref="C1931">INDIRECT("Tableau!$Y$41")</f>
        <v/>
      </c>
      <c r="D1931" s="400" t="str">
        <f t="shared" si="12"/>
        <v>IN</v>
      </c>
      <c r="E1931" s="403" t="str">
        <f t="array" ref="E1931">INDIRECT("Tableau!$Z$41")</f>
        <v/>
      </c>
    </row>
    <row r="1932">
      <c r="A1932" s="402">
        <f t="array" ref="A1932">INDIRECT("Tableau!$A$42")</f>
        <v>227</v>
      </c>
      <c r="B1932" s="398" t="s">
        <v>474</v>
      </c>
      <c r="C1932" s="400" t="str">
        <f t="array" ref="C1932">INDIRECT("Tableau!$Y$42")</f>
        <v/>
      </c>
      <c r="D1932" s="400" t="str">
        <f t="shared" si="12"/>
        <v>IN</v>
      </c>
      <c r="E1932" s="403" t="str">
        <f t="array" ref="E1932">INDIRECT("Tableau!$Z$42")</f>
        <v/>
      </c>
    </row>
    <row r="1933">
      <c r="A1933" s="402">
        <f t="array" ref="A1933">INDIRECT("Tableau!$A$43")</f>
        <v>217</v>
      </c>
      <c r="B1933" s="398" t="s">
        <v>474</v>
      </c>
      <c r="C1933" s="400" t="str">
        <f t="array" ref="C1933">INDIRECT("Tableau!$Y$43")</f>
        <v/>
      </c>
      <c r="D1933" s="400" t="str">
        <f t="shared" si="12"/>
        <v>IN</v>
      </c>
      <c r="E1933" s="403" t="str">
        <f t="array" ref="E1933">INDIRECT("Tableau!$Z$43")</f>
        <v/>
      </c>
    </row>
    <row r="1934">
      <c r="A1934" s="402">
        <f t="array" ref="A1934">INDIRECT("Tableau!$A$44")</f>
        <v>218</v>
      </c>
      <c r="B1934" s="398" t="s">
        <v>474</v>
      </c>
      <c r="C1934" s="400" t="str">
        <f t="array" ref="C1934">INDIRECT("Tableau!$Y$44")</f>
        <v/>
      </c>
      <c r="D1934" s="400" t="str">
        <f t="shared" si="12"/>
        <v>IN</v>
      </c>
      <c r="E1934" s="403" t="str">
        <f t="array" ref="E1934">INDIRECT("Tableau!$Z$44")</f>
        <v/>
      </c>
    </row>
    <row r="1935">
      <c r="A1935" s="397" t="str">
        <f t="array" ref="A1935">INDIRECT("Tableau!$A$45")</f>
        <v/>
      </c>
      <c r="B1935" s="398" t="s">
        <v>474</v>
      </c>
      <c r="C1935" s="400" t="str">
        <f t="array" ref="C1935">INDIRECT("Tableau!$Y$45")</f>
        <v/>
      </c>
      <c r="D1935" s="400" t="str">
        <f t="shared" si="12"/>
        <v>IN</v>
      </c>
      <c r="E1935" s="403" t="str">
        <f t="array" ref="E1935">INDIRECT("Tableau!$Z$45")</f>
        <v/>
      </c>
    </row>
    <row r="1936">
      <c r="A1936" s="402">
        <f t="array" ref="A1936">INDIRECT("Tableau!$A$46")</f>
        <v>220</v>
      </c>
      <c r="B1936" s="398" t="s">
        <v>474</v>
      </c>
      <c r="C1936" s="400" t="str">
        <f t="array" ref="C1936">INDIRECT("Tableau!$Y$46")</f>
        <v/>
      </c>
      <c r="D1936" s="400" t="str">
        <f t="shared" si="12"/>
        <v>IN</v>
      </c>
      <c r="E1936" s="403" t="str">
        <f t="array" ref="E1936">INDIRECT("Tableau!$Z$46")</f>
        <v/>
      </c>
    </row>
    <row r="1937">
      <c r="A1937" s="402">
        <f t="array" ref="A1937">INDIRECT("Tableau!$A$47")</f>
        <v>221</v>
      </c>
      <c r="B1937" s="398" t="s">
        <v>474</v>
      </c>
      <c r="C1937" s="400" t="str">
        <f t="array" ref="C1937">INDIRECT("Tableau!$Y$47")</f>
        <v/>
      </c>
      <c r="D1937" s="400" t="str">
        <f t="shared" si="12"/>
        <v>IN</v>
      </c>
      <c r="E1937" s="403" t="str">
        <f t="array" ref="E1937">INDIRECT("Tableau!$Z$47")</f>
        <v/>
      </c>
    </row>
    <row r="1938">
      <c r="A1938" s="402">
        <f t="array" ref="A1938">INDIRECT("Tableau!$A$48")</f>
        <v>226</v>
      </c>
      <c r="B1938" s="398" t="s">
        <v>474</v>
      </c>
      <c r="C1938" s="400" t="str">
        <f t="array" ref="C1938">INDIRECT("Tableau!$Y$48")</f>
        <v/>
      </c>
      <c r="D1938" s="400" t="str">
        <f t="shared" si="12"/>
        <v>IN</v>
      </c>
      <c r="E1938" s="403" t="str">
        <f t="array" ref="E1938">INDIRECT("Tableau!$Z$48")</f>
        <v/>
      </c>
    </row>
    <row r="1939">
      <c r="A1939" s="402">
        <f t="array" ref="A1939">INDIRECT("Tableau!$A$49")</f>
        <v>222</v>
      </c>
      <c r="B1939" s="398" t="s">
        <v>474</v>
      </c>
      <c r="C1939" s="400" t="str">
        <f t="array" ref="C1939">INDIRECT("Tableau!$Y$49")</f>
        <v/>
      </c>
      <c r="D1939" s="400" t="str">
        <f t="shared" si="12"/>
        <v>IN</v>
      </c>
      <c r="E1939" s="403" t="str">
        <f t="array" ref="E1939">INDIRECT("Tableau!$Z$49")</f>
        <v/>
      </c>
    </row>
    <row r="1940">
      <c r="A1940" s="402">
        <f t="array" ref="A1940">INDIRECT("Tableau!$A$50")</f>
        <v>224</v>
      </c>
      <c r="B1940" s="398" t="s">
        <v>474</v>
      </c>
      <c r="C1940" s="400" t="str">
        <f t="array" ref="C1940">INDIRECT("Tableau!$Y$50")</f>
        <v/>
      </c>
      <c r="D1940" s="400" t="str">
        <f t="shared" si="12"/>
        <v>IN</v>
      </c>
      <c r="E1940" s="403" t="str">
        <f t="array" ref="E1940">INDIRECT("Tableau!$Z$50")</f>
        <v/>
      </c>
    </row>
    <row r="1941">
      <c r="A1941" s="397">
        <f t="array" ref="A1941">INDIRECT("Tableau!$A$51")</f>
        <v>223</v>
      </c>
      <c r="B1941" s="398" t="s">
        <v>474</v>
      </c>
      <c r="C1941" s="400" t="str">
        <f t="array" ref="C1941">INDIRECT("Tableau!$Y$51")</f>
        <v/>
      </c>
      <c r="D1941" s="400" t="str">
        <f t="shared" si="12"/>
        <v>IN</v>
      </c>
      <c r="E1941" s="403" t="str">
        <f t="array" ref="E1941">INDIRECT("Tableau!$Z$51")</f>
        <v/>
      </c>
    </row>
    <row r="1942">
      <c r="A1942" s="402">
        <f t="array" ref="A1942">INDIRECT("Tableau!$A$52")</f>
        <v>225</v>
      </c>
      <c r="B1942" s="398" t="s">
        <v>474</v>
      </c>
      <c r="C1942" s="400" t="str">
        <f t="array" ref="C1942">INDIRECT("Tableau!$Y$52")</f>
        <v>DEMA</v>
      </c>
      <c r="D1942" s="400" t="str">
        <f t="shared" si="12"/>
        <v>IN</v>
      </c>
      <c r="E1942" s="403" t="str">
        <f t="array" ref="E1942">INDIRECT("Tableau!$Z$52")</f>
        <v/>
      </c>
    </row>
    <row r="1943">
      <c r="A1943" s="402">
        <f t="array" ref="A1943">INDIRECT("Tableau!$A$53")</f>
        <v>230</v>
      </c>
      <c r="B1943" s="398" t="s">
        <v>474</v>
      </c>
      <c r="C1943" s="400" t="str">
        <f t="array" ref="C1943">INDIRECT("Tableau!$Y$53")</f>
        <v/>
      </c>
      <c r="D1943" s="400" t="str">
        <f t="shared" si="12"/>
        <v>IN</v>
      </c>
      <c r="E1943" s="403" t="str">
        <f t="array" ref="E1943">INDIRECT("Tableau!$Z$53")</f>
        <v/>
      </c>
    </row>
    <row r="1944">
      <c r="A1944" s="397">
        <f t="array" ref="A1944">INDIRECT("Tableau!$A$54")</f>
        <v>231</v>
      </c>
      <c r="B1944" s="398" t="s">
        <v>474</v>
      </c>
      <c r="C1944" s="400" t="str">
        <f t="array" ref="C1944">INDIRECT("Tableau!$Y$54")</f>
        <v/>
      </c>
      <c r="D1944" s="400" t="str">
        <f t="shared" si="12"/>
        <v>IN</v>
      </c>
      <c r="E1944" s="403" t="str">
        <f t="array" ref="E1944">INDIRECT("Tableau!$Z$54")</f>
        <v/>
      </c>
    </row>
    <row r="1945">
      <c r="A1945" s="397" t="str">
        <f t="array" ref="A1945">INDIRECT("Tableau!$A$55")</f>
        <v/>
      </c>
      <c r="B1945" s="398" t="s">
        <v>474</v>
      </c>
      <c r="C1945" s="400" t="str">
        <f t="array" ref="C1945">INDIRECT("Tableau!$Y$55")</f>
        <v/>
      </c>
      <c r="D1945" s="400" t="str">
        <f t="shared" si="12"/>
        <v>IN</v>
      </c>
      <c r="E1945" s="403" t="str">
        <f t="array" ref="E1945">INDIRECT("Tableau!$Z$55")</f>
        <v/>
      </c>
    </row>
    <row r="1946">
      <c r="A1946" s="397" t="str">
        <f t="array" ref="A1946">INDIRECT("Tableau!$A$56")</f>
        <v/>
      </c>
      <c r="B1946" s="398" t="s">
        <v>474</v>
      </c>
      <c r="C1946" s="400" t="str">
        <f t="array" ref="C1946">INDIRECT("Tableau!$Y$56")</f>
        <v/>
      </c>
      <c r="D1946" s="400" t="str">
        <f t="shared" si="12"/>
        <v>IN</v>
      </c>
      <c r="E1946" s="403" t="str">
        <f t="array" ref="E1946">INDIRECT("Tableau!$Z$56")</f>
        <v/>
      </c>
    </row>
    <row r="1947">
      <c r="A1947" s="397" t="str">
        <f t="array" ref="A1947">INDIRECT("Tableau!$A$57")</f>
        <v/>
      </c>
      <c r="B1947" s="398" t="s">
        <v>474</v>
      </c>
      <c r="C1947" s="400" t="str">
        <f t="array" ref="C1947">INDIRECT("Tableau!$Y$57")</f>
        <v/>
      </c>
      <c r="D1947" s="400" t="str">
        <f t="shared" si="12"/>
        <v>IN</v>
      </c>
      <c r="E1947" s="403" t="str">
        <f t="array" ref="E1947">INDIRECT("Tableau!$Z$57")</f>
        <v/>
      </c>
    </row>
    <row r="1948">
      <c r="A1948" s="397" t="str">
        <f t="array" ref="A1948">INDIRECT("Tableau!$A$58")</f>
        <v/>
      </c>
      <c r="B1948" s="398" t="s">
        <v>474</v>
      </c>
      <c r="C1948" s="400" t="str">
        <f t="array" ref="C1948">INDIRECT("Tableau!$Y$58")</f>
        <v/>
      </c>
      <c r="D1948" s="400" t="str">
        <f t="shared" si="12"/>
        <v>IN</v>
      </c>
      <c r="E1948" s="403" t="str">
        <f t="array" ref="E1948">INDIRECT("Tableau!$Z$58")</f>
        <v/>
      </c>
    </row>
    <row r="1949">
      <c r="A1949" s="397" t="str">
        <f t="array" ref="A1949">INDIRECT("Tableau!$A$59")</f>
        <v/>
      </c>
      <c r="B1949" s="398" t="s">
        <v>474</v>
      </c>
      <c r="C1949" s="400" t="str">
        <f t="array" ref="C1949">INDIRECT("Tableau!$Y$59")</f>
        <v/>
      </c>
      <c r="D1949" s="400" t="str">
        <f t="shared" si="12"/>
        <v>IN</v>
      </c>
      <c r="E1949" s="403" t="str">
        <f t="array" ref="E1949">INDIRECT("Tableau!$Z$59")</f>
        <v/>
      </c>
    </row>
    <row r="1950">
      <c r="A1950" s="397" t="str">
        <f t="array" ref="A1950">INDIRECT("Tableau!$A$60")</f>
        <v/>
      </c>
      <c r="B1950" s="398" t="s">
        <v>474</v>
      </c>
      <c r="C1950" s="400" t="str">
        <f t="array" ref="C1950">INDIRECT("Tableau!$Y$60")</f>
        <v/>
      </c>
      <c r="D1950" s="400" t="str">
        <f t="shared" si="12"/>
        <v>IN</v>
      </c>
      <c r="E1950" s="403" t="str">
        <f t="array" ref="E1950">INDIRECT("Tableau!$Z$60")</f>
        <v/>
      </c>
    </row>
    <row r="1951">
      <c r="A1951" s="397" t="str">
        <f t="array" ref="A1951">INDIRECT("Tableau!$A$61")</f>
        <v/>
      </c>
      <c r="B1951" s="398" t="s">
        <v>474</v>
      </c>
      <c r="C1951" s="400" t="str">
        <f t="array" ref="C1951">INDIRECT("Tableau!$Y$61")</f>
        <v/>
      </c>
      <c r="D1951" s="400" t="str">
        <f t="shared" si="12"/>
        <v>IN</v>
      </c>
      <c r="E1951" s="403" t="str">
        <f t="array" ref="E1951">INDIRECT("Tableau!$Z$61")</f>
        <v/>
      </c>
    </row>
    <row r="1952">
      <c r="A1952" s="397" t="str">
        <f t="array" ref="A1952">INDIRECT("Tableau!$A$62")</f>
        <v/>
      </c>
      <c r="B1952" s="398" t="s">
        <v>474</v>
      </c>
      <c r="C1952" s="400" t="str">
        <f t="array" ref="C1952">INDIRECT("Tableau!$Y$62")</f>
        <v/>
      </c>
      <c r="D1952" s="400" t="str">
        <f t="shared" si="12"/>
        <v>IN</v>
      </c>
      <c r="E1952" s="403" t="str">
        <f t="array" ref="E1952">INDIRECT("Tableau!$Z$62")</f>
        <v/>
      </c>
    </row>
    <row r="1953">
      <c r="A1953" s="397" t="str">
        <f t="array" ref="A1953">INDIRECT("Tableau!$A$63")</f>
        <v/>
      </c>
      <c r="B1953" s="398" t="s">
        <v>474</v>
      </c>
      <c r="C1953" s="400" t="str">
        <f t="array" ref="C1953">INDIRECT("Tableau!$Y$63")</f>
        <v/>
      </c>
      <c r="D1953" s="400" t="str">
        <f t="shared" si="12"/>
        <v>IN</v>
      </c>
      <c r="E1953" s="403" t="str">
        <f t="array" ref="E1953">INDIRECT("Tableau!$Z$63")</f>
        <v/>
      </c>
    </row>
    <row r="1954">
      <c r="A1954" s="397" t="str">
        <f t="array" ref="A1954">INDIRECT("Tableau!$A$64")</f>
        <v/>
      </c>
      <c r="B1954" s="398" t="s">
        <v>474</v>
      </c>
      <c r="C1954" s="400" t="str">
        <f t="array" ref="C1954">INDIRECT("Tableau!$Y$64")</f>
        <v/>
      </c>
      <c r="D1954" s="400" t="str">
        <f t="shared" si="12"/>
        <v>IN</v>
      </c>
      <c r="E1954" s="403" t="str">
        <f t="array" ref="E1954">INDIRECT("Tableau!$Z$64")</f>
        <v/>
      </c>
    </row>
    <row r="1955">
      <c r="A1955" s="402">
        <f t="array" ref="A1955">INDIRECT("Tableau!$A$65")</f>
        <v>301</v>
      </c>
      <c r="B1955" s="398" t="s">
        <v>474</v>
      </c>
      <c r="C1955" s="400" t="str">
        <f t="array" ref="C1955">INDIRECT("Tableau!$Y$65")</f>
        <v/>
      </c>
      <c r="D1955" s="400" t="str">
        <f t="shared" si="12"/>
        <v>IN</v>
      </c>
      <c r="E1955" s="403" t="str">
        <f t="array" ref="E1955">INDIRECT("Tableau!$Z$65")</f>
        <v/>
      </c>
    </row>
    <row r="1956">
      <c r="A1956" s="397" t="str">
        <f t="array" ref="A1956">INDIRECT("Tableau!$A$66")</f>
        <v/>
      </c>
      <c r="B1956" s="398" t="s">
        <v>474</v>
      </c>
      <c r="C1956" s="400" t="str">
        <f t="array" ref="C1956">INDIRECT("Tableau!$Y$66")</f>
        <v/>
      </c>
      <c r="D1956" s="400" t="str">
        <f t="shared" si="12"/>
        <v>IN</v>
      </c>
      <c r="E1956" s="403" t="str">
        <f t="array" ref="E1956">INDIRECT("Tableau!$Z$66")</f>
        <v/>
      </c>
    </row>
    <row r="1957">
      <c r="A1957" s="402">
        <f t="array" ref="A1957">INDIRECT("Tableau!$A$67")</f>
        <v>303</v>
      </c>
      <c r="B1957" s="398" t="s">
        <v>474</v>
      </c>
      <c r="C1957" s="400" t="str">
        <f t="array" ref="C1957">INDIRECT("Tableau!$Y$67")</f>
        <v/>
      </c>
      <c r="D1957" s="400" t="str">
        <f t="shared" si="12"/>
        <v>IN</v>
      </c>
      <c r="E1957" s="403" t="str">
        <f t="array" ref="E1957">INDIRECT("Tableau!$Z$67")</f>
        <v/>
      </c>
    </row>
    <row r="1958">
      <c r="A1958" s="402">
        <f t="array" ref="A1958">INDIRECT("Tableau!$A$68")</f>
        <v>304</v>
      </c>
      <c r="B1958" s="398" t="s">
        <v>474</v>
      </c>
      <c r="C1958" s="400" t="str">
        <f t="array" ref="C1958">INDIRECT("Tableau!$Y$68")</f>
        <v/>
      </c>
      <c r="D1958" s="400" t="str">
        <f t="shared" si="12"/>
        <v>IN</v>
      </c>
      <c r="E1958" s="403" t="str">
        <f t="array" ref="E1958">INDIRECT("Tableau!$Z$68")</f>
        <v/>
      </c>
    </row>
    <row r="1959">
      <c r="A1959" s="402">
        <f t="array" ref="A1959">INDIRECT("Tableau!$A$69")</f>
        <v>305</v>
      </c>
      <c r="B1959" s="398" t="s">
        <v>474</v>
      </c>
      <c r="C1959" s="400" t="str">
        <f t="array" ref="C1959">INDIRECT("Tableau!$Y$69")</f>
        <v/>
      </c>
      <c r="D1959" s="400" t="str">
        <f t="shared" si="12"/>
        <v>IN</v>
      </c>
      <c r="E1959" s="403" t="str">
        <f t="array" ref="E1959">INDIRECT("Tableau!$Z$69")</f>
        <v/>
      </c>
    </row>
    <row r="1960">
      <c r="A1960" s="402">
        <f t="array" ref="A1960">INDIRECT("Tableau!$A$70")</f>
        <v>306</v>
      </c>
      <c r="B1960" s="398" t="s">
        <v>474</v>
      </c>
      <c r="C1960" s="400" t="str">
        <f t="array" ref="C1960">INDIRECT("Tableau!$Y$70")</f>
        <v/>
      </c>
      <c r="D1960" s="400" t="str">
        <f t="shared" si="12"/>
        <v>IN</v>
      </c>
      <c r="E1960" s="403" t="str">
        <f t="array" ref="E1960">INDIRECT("Tableau!$Z$70")</f>
        <v/>
      </c>
    </row>
    <row r="1961">
      <c r="A1961" s="402">
        <f t="array" ref="A1961">INDIRECT("Tableau!$A$71")</f>
        <v>307</v>
      </c>
      <c r="B1961" s="398" t="s">
        <v>474</v>
      </c>
      <c r="C1961" s="400" t="str">
        <f t="array" ref="C1961">INDIRECT("Tableau!$Y$71")</f>
        <v/>
      </c>
      <c r="D1961" s="400" t="str">
        <f t="shared" si="12"/>
        <v>IN</v>
      </c>
      <c r="E1961" s="403" t="str">
        <f t="array" ref="E1961">INDIRECT("Tableau!$Z$71")</f>
        <v/>
      </c>
    </row>
    <row r="1962">
      <c r="A1962" s="397">
        <f t="array" ref="A1962">INDIRECT("Tableau!$A$72")</f>
        <v>367</v>
      </c>
      <c r="B1962" s="398" t="s">
        <v>474</v>
      </c>
      <c r="C1962" s="400" t="str">
        <f t="array" ref="C1962">INDIRECT("Tableau!$Y$72")</f>
        <v/>
      </c>
      <c r="D1962" s="400" t="str">
        <f t="shared" si="12"/>
        <v>IN</v>
      </c>
      <c r="E1962" s="403" t="str">
        <f t="array" ref="E1962">INDIRECT("Tableau!$Z$72")</f>
        <v/>
      </c>
    </row>
    <row r="1963">
      <c r="A1963" s="402">
        <f t="array" ref="A1963">INDIRECT("Tableau!$A$73")</f>
        <v>308</v>
      </c>
      <c r="B1963" s="398" t="s">
        <v>474</v>
      </c>
      <c r="C1963" s="400" t="str">
        <f t="array" ref="C1963">INDIRECT("Tableau!$Y$73")</f>
        <v/>
      </c>
      <c r="D1963" s="400" t="str">
        <f t="shared" si="12"/>
        <v>IN</v>
      </c>
      <c r="E1963" s="403" t="str">
        <f t="array" ref="E1963">INDIRECT("Tableau!$Z$73")</f>
        <v/>
      </c>
    </row>
    <row r="1964">
      <c r="A1964" s="397">
        <f t="array" ref="A1964">INDIRECT("Tableau!$A$74")</f>
        <v>319</v>
      </c>
      <c r="B1964" s="398" t="s">
        <v>474</v>
      </c>
      <c r="C1964" s="400" t="str">
        <f t="array" ref="C1964">INDIRECT("Tableau!$Y$74")</f>
        <v/>
      </c>
      <c r="D1964" s="400" t="str">
        <f t="shared" si="12"/>
        <v>IN</v>
      </c>
      <c r="E1964" s="403" t="str">
        <f t="array" ref="E1964">INDIRECT("Tableau!$Z$74")</f>
        <v/>
      </c>
    </row>
    <row r="1965">
      <c r="A1965" s="402">
        <f t="array" ref="A1965">INDIRECT("Tableau!$A$75")</f>
        <v>309</v>
      </c>
      <c r="B1965" s="398" t="s">
        <v>474</v>
      </c>
      <c r="C1965" s="400" t="str">
        <f t="array" ref="C1965">INDIRECT("Tableau!$Y$75")</f>
        <v/>
      </c>
      <c r="D1965" s="400" t="str">
        <f t="shared" si="12"/>
        <v>IN</v>
      </c>
      <c r="E1965" s="403" t="str">
        <f t="array" ref="E1965">INDIRECT("Tableau!$Z$75")</f>
        <v/>
      </c>
    </row>
    <row r="1966">
      <c r="A1966" s="402">
        <f t="array" ref="A1966">INDIRECT("Tableau!$A$76")</f>
        <v>310</v>
      </c>
      <c r="B1966" s="398" t="s">
        <v>474</v>
      </c>
      <c r="C1966" s="400" t="str">
        <f t="array" ref="C1966">INDIRECT("Tableau!$Y$76")</f>
        <v/>
      </c>
      <c r="D1966" s="400" t="str">
        <f t="shared" si="12"/>
        <v>IN</v>
      </c>
      <c r="E1966" s="403" t="str">
        <f t="array" ref="E1966">INDIRECT("Tableau!$Z$76")</f>
        <v/>
      </c>
    </row>
    <row r="1967">
      <c r="A1967" s="402">
        <f t="array" ref="A1967">INDIRECT("Tableau!$A$77")</f>
        <v>311</v>
      </c>
      <c r="B1967" s="398" t="s">
        <v>474</v>
      </c>
      <c r="C1967" s="400" t="str">
        <f t="array" ref="C1967">INDIRECT("Tableau!$Y$77")</f>
        <v>DPS</v>
      </c>
      <c r="D1967" s="400" t="str">
        <f t="shared" si="12"/>
        <v>IN</v>
      </c>
      <c r="E1967" s="403" t="str">
        <f t="array" ref="E1967">INDIRECT("Tableau!$Z$77")</f>
        <v/>
      </c>
    </row>
    <row r="1968">
      <c r="A1968" s="402">
        <f t="array" ref="A1968">INDIRECT("Tableau!$A$78")</f>
        <v>312</v>
      </c>
      <c r="B1968" s="398" t="s">
        <v>474</v>
      </c>
      <c r="C1968" s="400" t="str">
        <f t="array" ref="C1968">INDIRECT("Tableau!$Y$78")</f>
        <v/>
      </c>
      <c r="D1968" s="400" t="str">
        <f t="shared" si="12"/>
        <v>IN</v>
      </c>
      <c r="E1968" s="403" t="str">
        <f t="array" ref="E1968">INDIRECT("Tableau!$Z$78")</f>
        <v/>
      </c>
    </row>
    <row r="1969">
      <c r="A1969" s="402">
        <f t="array" ref="A1969">INDIRECT("Tableau!$A$79")</f>
        <v>313</v>
      </c>
      <c r="B1969" s="398" t="s">
        <v>474</v>
      </c>
      <c r="C1969" s="400" t="str">
        <f t="array" ref="C1969">INDIRECT("Tableau!$Y$79")</f>
        <v/>
      </c>
      <c r="D1969" s="400" t="str">
        <f t="shared" si="12"/>
        <v>IN</v>
      </c>
      <c r="E1969" s="403" t="str">
        <f t="array" ref="E1969">INDIRECT("Tableau!$Z$79")</f>
        <v/>
      </c>
    </row>
    <row r="1970">
      <c r="A1970" s="402">
        <f t="array" ref="A1970">INDIRECT("Tableau!$A$80")</f>
        <v>314</v>
      </c>
      <c r="B1970" s="398" t="s">
        <v>474</v>
      </c>
      <c r="C1970" s="400" t="str">
        <f t="array" ref="C1970">INDIRECT("Tableau!$Y$80")</f>
        <v/>
      </c>
      <c r="D1970" s="400" t="str">
        <f t="shared" si="12"/>
        <v>IN</v>
      </c>
      <c r="E1970" s="403" t="str">
        <f t="array" ref="E1970">INDIRECT("Tableau!$Z$80")</f>
        <v/>
      </c>
    </row>
    <row r="1971">
      <c r="A1971" s="402">
        <f t="array" ref="A1971">INDIRECT("Tableau!$A$81")</f>
        <v>315</v>
      </c>
      <c r="B1971" s="398" t="s">
        <v>474</v>
      </c>
      <c r="C1971" s="400" t="str">
        <f t="array" ref="C1971">INDIRECT("Tableau!$Y$81")</f>
        <v/>
      </c>
      <c r="D1971" s="400" t="str">
        <f t="shared" si="12"/>
        <v>IN</v>
      </c>
      <c r="E1971" s="403" t="str">
        <f t="array" ref="E1971">INDIRECT("Tableau!$Z$81")</f>
        <v/>
      </c>
    </row>
    <row r="1972">
      <c r="A1972" s="402">
        <f t="array" ref="A1972">INDIRECT("Tableau!$A$82")</f>
        <v>316</v>
      </c>
      <c r="B1972" s="398" t="s">
        <v>474</v>
      </c>
      <c r="C1972" s="400" t="str">
        <f t="array" ref="C1972">INDIRECT("Tableau!$Y$82")</f>
        <v/>
      </c>
      <c r="D1972" s="400" t="str">
        <f t="shared" si="12"/>
        <v>IN</v>
      </c>
      <c r="E1972" s="403" t="str">
        <f t="array" ref="E1972">INDIRECT("Tableau!$Z$82")</f>
        <v/>
      </c>
    </row>
    <row r="1973">
      <c r="A1973" s="402">
        <f t="array" ref="A1973">INDIRECT("Tableau!$A$83")</f>
        <v>317</v>
      </c>
      <c r="B1973" s="398" t="s">
        <v>474</v>
      </c>
      <c r="C1973" s="400" t="str">
        <f t="array" ref="C1973">INDIRECT("Tableau!$Y$83")</f>
        <v/>
      </c>
      <c r="D1973" s="400" t="str">
        <f t="shared" si="12"/>
        <v>IN</v>
      </c>
      <c r="E1973" s="403" t="str">
        <f t="array" ref="E1973">INDIRECT("Tableau!$Z$83")</f>
        <v/>
      </c>
    </row>
    <row r="1974">
      <c r="A1974" s="402">
        <f t="array" ref="A1974">INDIRECT("Tableau!$A$84")</f>
        <v>318</v>
      </c>
      <c r="B1974" s="398" t="s">
        <v>474</v>
      </c>
      <c r="C1974" s="400" t="str">
        <f t="array" ref="C1974">INDIRECT("Tableau!$Y$84")</f>
        <v/>
      </c>
      <c r="D1974" s="400" t="str">
        <f t="shared" si="12"/>
        <v>IN</v>
      </c>
      <c r="E1974" s="403" t="str">
        <f t="array" ref="E1974">INDIRECT("Tableau!$Z$84")</f>
        <v/>
      </c>
    </row>
    <row r="1975">
      <c r="A1975" s="402">
        <f t="array" ref="A1975">INDIRECT("Tableau!$A$85")</f>
        <v>320</v>
      </c>
      <c r="B1975" s="398" t="s">
        <v>474</v>
      </c>
      <c r="C1975" s="400" t="str">
        <f t="array" ref="C1975">INDIRECT("Tableau!$Y$85")</f>
        <v/>
      </c>
      <c r="D1975" s="400" t="str">
        <f t="shared" si="12"/>
        <v>IN</v>
      </c>
      <c r="E1975" s="403" t="str">
        <f t="array" ref="E1975">INDIRECT("Tableau!$Z$85")</f>
        <v/>
      </c>
    </row>
    <row r="1976">
      <c r="A1976" s="402">
        <f t="array" ref="A1976">INDIRECT("Tableau!$A$86")</f>
        <v>321</v>
      </c>
      <c r="B1976" s="398" t="s">
        <v>474</v>
      </c>
      <c r="C1976" s="400" t="str">
        <f t="array" ref="C1976">INDIRECT("Tableau!$Y$86")</f>
        <v/>
      </c>
      <c r="D1976" s="400" t="str">
        <f t="shared" si="12"/>
        <v>IN</v>
      </c>
      <c r="E1976" s="403" t="str">
        <f t="array" ref="E1976">INDIRECT("Tableau!$Z$86")</f>
        <v/>
      </c>
    </row>
    <row r="1977">
      <c r="A1977" s="397" t="str">
        <f t="array" ref="A1977">INDIRECT("Tableau!$A$87")</f>
        <v/>
      </c>
      <c r="B1977" s="398" t="s">
        <v>474</v>
      </c>
      <c r="C1977" s="400" t="str">
        <f t="array" ref="C1977">INDIRECT("Tableau!$Y$87")</f>
        <v/>
      </c>
      <c r="D1977" s="400" t="str">
        <f t="shared" si="12"/>
        <v>IN</v>
      </c>
      <c r="E1977" s="403" t="str">
        <f t="array" ref="E1977">INDIRECT("Tableau!$Z$87")</f>
        <v/>
      </c>
    </row>
    <row r="1978">
      <c r="A1978" s="402">
        <f t="array" ref="A1978">INDIRECT("Tableau!$A$88")</f>
        <v>323</v>
      </c>
      <c r="B1978" s="398" t="s">
        <v>474</v>
      </c>
      <c r="C1978" s="400" t="str">
        <f t="array" ref="C1978">INDIRECT("Tableau!$Y$88")</f>
        <v/>
      </c>
      <c r="D1978" s="400" t="str">
        <f t="shared" si="12"/>
        <v>IN</v>
      </c>
      <c r="E1978" s="403" t="str">
        <f t="array" ref="E1978">INDIRECT("Tableau!$Z$88")</f>
        <v/>
      </c>
    </row>
    <row r="1979">
      <c r="A1979" s="402">
        <f t="array" ref="A1979">INDIRECT("Tableau!$A$89")</f>
        <v>324</v>
      </c>
      <c r="B1979" s="398" t="s">
        <v>474</v>
      </c>
      <c r="C1979" s="400" t="str">
        <f t="array" ref="C1979">INDIRECT("Tableau!$Y$89")</f>
        <v/>
      </c>
      <c r="D1979" s="400" t="str">
        <f t="shared" si="12"/>
        <v>IN</v>
      </c>
      <c r="E1979" s="403" t="str">
        <f t="array" ref="E1979">INDIRECT("Tableau!$Z$89")</f>
        <v/>
      </c>
    </row>
    <row r="1980">
      <c r="A1980" s="402">
        <f t="array" ref="A1980">INDIRECT("Tableau!$A$90")</f>
        <v>325</v>
      </c>
      <c r="B1980" s="398" t="s">
        <v>474</v>
      </c>
      <c r="C1980" s="400" t="str">
        <f t="array" ref="C1980">INDIRECT("Tableau!$Y$90")</f>
        <v/>
      </c>
      <c r="D1980" s="400" t="str">
        <f t="shared" si="12"/>
        <v>IN</v>
      </c>
      <c r="E1980" s="403" t="str">
        <f t="array" ref="E1980">INDIRECT("Tableau!$Z$90")</f>
        <v/>
      </c>
    </row>
    <row r="1981">
      <c r="A1981" s="402">
        <f t="array" ref="A1981">INDIRECT("Tableau!$A$91")</f>
        <v>326</v>
      </c>
      <c r="B1981" s="398" t="s">
        <v>474</v>
      </c>
      <c r="C1981" s="400" t="str">
        <f t="array" ref="C1981">INDIRECT("Tableau!$Y$91")</f>
        <v/>
      </c>
      <c r="D1981" s="400" t="str">
        <f t="shared" si="12"/>
        <v>IN</v>
      </c>
      <c r="E1981" s="403" t="str">
        <f t="array" ref="E1981">INDIRECT("Tableau!$Z$91")</f>
        <v/>
      </c>
    </row>
    <row r="1982">
      <c r="A1982" s="402">
        <f t="array" ref="A1982">INDIRECT("Tableau!$A$92")</f>
        <v>327</v>
      </c>
      <c r="B1982" s="398" t="s">
        <v>474</v>
      </c>
      <c r="C1982" s="400" t="str">
        <f t="array" ref="C1982">INDIRECT("Tableau!$Y$92")</f>
        <v/>
      </c>
      <c r="D1982" s="400" t="str">
        <f t="shared" si="12"/>
        <v>IN</v>
      </c>
      <c r="E1982" s="403" t="str">
        <f t="array" ref="E1982">INDIRECT("Tableau!$Z$92")</f>
        <v/>
      </c>
    </row>
    <row r="1983">
      <c r="A1983" s="402">
        <f t="array" ref="A1983">INDIRECT("Tableau!$A$93")</f>
        <v>328</v>
      </c>
      <c r="B1983" s="398" t="s">
        <v>474</v>
      </c>
      <c r="C1983" s="400" t="str">
        <f t="array" ref="C1983">INDIRECT("Tableau!$Y$93")</f>
        <v/>
      </c>
      <c r="D1983" s="400" t="str">
        <f t="shared" si="12"/>
        <v>IN</v>
      </c>
      <c r="E1983" s="403" t="str">
        <f t="array" ref="E1983">INDIRECT("Tableau!$Z$93")</f>
        <v/>
      </c>
    </row>
    <row r="1984">
      <c r="A1984" s="402">
        <f t="array" ref="A1984">INDIRECT("Tableau!$A$94")</f>
        <v>329</v>
      </c>
      <c r="B1984" s="398" t="s">
        <v>474</v>
      </c>
      <c r="C1984" s="400" t="str">
        <f t="array" ref="C1984">INDIRECT("Tableau!$Y$94")</f>
        <v/>
      </c>
      <c r="D1984" s="400" t="str">
        <f t="shared" si="12"/>
        <v>IN</v>
      </c>
      <c r="E1984" s="403" t="str">
        <f t="array" ref="E1984">INDIRECT("Tableau!$Z$94")</f>
        <v/>
      </c>
    </row>
    <row r="1985">
      <c r="A1985" s="402">
        <f t="array" ref="A1985">INDIRECT("Tableau!$A$95")</f>
        <v>330</v>
      </c>
      <c r="B1985" s="398" t="s">
        <v>474</v>
      </c>
      <c r="C1985" s="400" t="str">
        <f t="array" ref="C1985">INDIRECT("Tableau!$Y$95")</f>
        <v/>
      </c>
      <c r="D1985" s="400" t="str">
        <f t="shared" si="12"/>
        <v>IN</v>
      </c>
      <c r="E1985" s="403" t="str">
        <f t="array" ref="E1985">INDIRECT("Tableau!$Z$95")</f>
        <v/>
      </c>
    </row>
    <row r="1986">
      <c r="A1986" s="402">
        <f t="array" ref="A1986">INDIRECT("Tableau!$A$96")</f>
        <v>331</v>
      </c>
      <c r="B1986" s="398" t="s">
        <v>474</v>
      </c>
      <c r="C1986" s="400" t="str">
        <f t="array" ref="C1986">INDIRECT("Tableau!$Y$96")</f>
        <v/>
      </c>
      <c r="D1986" s="400" t="str">
        <f t="shared" si="12"/>
        <v>IN</v>
      </c>
      <c r="E1986" s="403" t="str">
        <f t="array" ref="E1986">INDIRECT("Tableau!$Z$96")</f>
        <v/>
      </c>
    </row>
    <row r="1987">
      <c r="A1987" s="402">
        <f t="array" ref="A1987">INDIRECT("Tableau!$A$97")</f>
        <v>332</v>
      </c>
      <c r="B1987" s="398" t="s">
        <v>474</v>
      </c>
      <c r="C1987" s="400" t="str">
        <f t="array" ref="C1987">INDIRECT("Tableau!$Y$97")</f>
        <v/>
      </c>
      <c r="D1987" s="400" t="str">
        <f t="shared" si="12"/>
        <v>IN</v>
      </c>
      <c r="E1987" s="403" t="str">
        <f t="array" ref="E1987">INDIRECT("Tableau!$Z$97")</f>
        <v/>
      </c>
    </row>
    <row r="1988">
      <c r="A1988" s="402">
        <f t="array" ref="A1988">INDIRECT("Tableau!$A$98")</f>
        <v>333</v>
      </c>
      <c r="B1988" s="398" t="s">
        <v>474</v>
      </c>
      <c r="C1988" s="400" t="str">
        <f t="array" ref="C1988">INDIRECT("Tableau!$Y$98")</f>
        <v/>
      </c>
      <c r="D1988" s="400" t="str">
        <f t="shared" si="12"/>
        <v>IN</v>
      </c>
      <c r="E1988" s="403" t="str">
        <f t="array" ref="E1988">INDIRECT("Tableau!$Z$98")</f>
        <v/>
      </c>
    </row>
    <row r="1989">
      <c r="A1989" s="402">
        <f t="array" ref="A1989">INDIRECT("Tableau!$A$99")</f>
        <v>334</v>
      </c>
      <c r="B1989" s="398" t="s">
        <v>474</v>
      </c>
      <c r="C1989" s="400" t="str">
        <f t="array" ref="C1989">INDIRECT("Tableau!$Y$99")</f>
        <v>Immmo Toma </v>
      </c>
      <c r="D1989" s="400" t="str">
        <f t="shared" si="12"/>
        <v>IN</v>
      </c>
      <c r="E1989" s="403" t="str">
        <f t="array" ref="E1989">INDIRECT("Tableau!$Z$99")</f>
        <v/>
      </c>
    </row>
    <row r="1990">
      <c r="A1990" s="402">
        <f t="array" ref="A1990">INDIRECT("Tableau!$A$100")</f>
        <v>335</v>
      </c>
      <c r="B1990" s="398" t="s">
        <v>474</v>
      </c>
      <c r="C1990" s="400" t="str">
        <f t="array" ref="C1990">INDIRECT("Tableau!$Y$100")</f>
        <v/>
      </c>
      <c r="D1990" s="400" t="str">
        <f t="shared" si="12"/>
        <v>IN</v>
      </c>
      <c r="E1990" s="403" t="str">
        <f t="array" ref="E1990">INDIRECT("Tableau!$Z$100")</f>
        <v/>
      </c>
    </row>
    <row r="1991">
      <c r="A1991" s="402">
        <f t="array" ref="A1991">INDIRECT("Tableau!$A$101")</f>
        <v>336</v>
      </c>
      <c r="B1991" s="398" t="s">
        <v>474</v>
      </c>
      <c r="C1991" s="400" t="str">
        <f t="array" ref="C1991">INDIRECT("Tableau!$Y$101")</f>
        <v/>
      </c>
      <c r="D1991" s="400" t="str">
        <f t="shared" si="12"/>
        <v>IN</v>
      </c>
      <c r="E1991" s="403" t="str">
        <f t="array" ref="E1991">INDIRECT("Tableau!$Z$101")</f>
        <v/>
      </c>
    </row>
    <row r="1992">
      <c r="A1992" s="402">
        <f t="array" ref="A1992">INDIRECT("Tableau!$A$102")</f>
        <v>337</v>
      </c>
      <c r="B1992" s="398" t="s">
        <v>474</v>
      </c>
      <c r="C1992" s="400" t="str">
        <f t="array" ref="C1992">INDIRECT("Tableau!$Y$102")</f>
        <v/>
      </c>
      <c r="D1992" s="400" t="str">
        <f t="shared" si="12"/>
        <v>IN</v>
      </c>
      <c r="E1992" s="403" t="str">
        <f t="array" ref="E1992">INDIRECT("Tableau!$Z$102")</f>
        <v/>
      </c>
    </row>
    <row r="1993">
      <c r="A1993" s="402">
        <f t="array" ref="A1993">INDIRECT("Tableau!$A$103")</f>
        <v>338</v>
      </c>
      <c r="B1993" s="398" t="s">
        <v>474</v>
      </c>
      <c r="C1993" s="400" t="str">
        <f t="array" ref="C1993">INDIRECT("Tableau!$Y$103")</f>
        <v>Immo Toma </v>
      </c>
      <c r="D1993" s="400" t="str">
        <f t="shared" si="12"/>
        <v>IN</v>
      </c>
      <c r="E1993" s="403" t="str">
        <f t="array" ref="E1993">INDIRECT("Tableau!$Z$103")</f>
        <v/>
      </c>
    </row>
    <row r="1994">
      <c r="A1994" s="402">
        <f t="array" ref="A1994">INDIRECT("Tableau!$A$104")</f>
        <v>339</v>
      </c>
      <c r="B1994" s="398" t="s">
        <v>474</v>
      </c>
      <c r="C1994" s="400" t="str">
        <f t="array" ref="C1994">INDIRECT("Tableau!$Y$104")</f>
        <v/>
      </c>
      <c r="D1994" s="400" t="str">
        <f t="shared" si="12"/>
        <v>IN</v>
      </c>
      <c r="E1994" s="403" t="str">
        <f t="array" ref="E1994">INDIRECT("Tableau!$Z$104")</f>
        <v/>
      </c>
    </row>
    <row r="1995">
      <c r="A1995" s="402">
        <f t="array" ref="A1995">INDIRECT("Tableau!$A$105")</f>
        <v>340</v>
      </c>
      <c r="B1995" s="398" t="s">
        <v>474</v>
      </c>
      <c r="C1995" s="400" t="str">
        <f t="array" ref="C1995">INDIRECT("Tableau!$Y$105")</f>
        <v/>
      </c>
      <c r="D1995" s="400" t="str">
        <f t="shared" si="12"/>
        <v>IN</v>
      </c>
      <c r="E1995" s="403" t="str">
        <f t="array" ref="E1995">INDIRECT("Tableau!$Z$105")</f>
        <v/>
      </c>
    </row>
    <row r="1996">
      <c r="A1996" s="402">
        <f t="array" ref="A1996">INDIRECT("Tableau!$A$106")</f>
        <v>341</v>
      </c>
      <c r="B1996" s="398" t="s">
        <v>474</v>
      </c>
      <c r="C1996" s="400" t="str">
        <f t="array" ref="C1996">INDIRECT("Tableau!$Y$106")</f>
        <v/>
      </c>
      <c r="D1996" s="400" t="str">
        <f t="shared" si="12"/>
        <v>IN</v>
      </c>
      <c r="E1996" s="403" t="str">
        <f t="array" ref="E1996">INDIRECT("Tableau!$Z$106")</f>
        <v/>
      </c>
    </row>
    <row r="1997">
      <c r="A1997" s="402">
        <f t="array" ref="A1997">INDIRECT("Tableau!$A$107")</f>
        <v>365</v>
      </c>
      <c r="B1997" s="398" t="s">
        <v>474</v>
      </c>
      <c r="C1997" s="400" t="str">
        <f t="array" ref="C1997">INDIRECT("Tableau!$Y$107")</f>
        <v/>
      </c>
      <c r="D1997" s="400" t="str">
        <f t="shared" si="12"/>
        <v>IN</v>
      </c>
      <c r="E1997" s="403" t="str">
        <f t="array" ref="E1997">INDIRECT("Tableau!$Z$107")</f>
        <v/>
      </c>
    </row>
    <row r="1998">
      <c r="A1998" s="402">
        <f t="array" ref="A1998">INDIRECT("Tableau!$A$108")</f>
        <v>342</v>
      </c>
      <c r="B1998" s="398" t="s">
        <v>474</v>
      </c>
      <c r="C1998" s="400" t="str">
        <f t="array" ref="C1998">INDIRECT("Tableau!$Y$108")</f>
        <v>Concours Arville</v>
      </c>
      <c r="D1998" s="400" t="str">
        <f t="shared" si="12"/>
        <v>IN</v>
      </c>
      <c r="E1998" s="403" t="str">
        <f t="array" ref="E1998">INDIRECT("Tableau!$Z$108")</f>
        <v/>
      </c>
    </row>
    <row r="1999">
      <c r="A1999" s="402">
        <f t="array" ref="A1999">INDIRECT("Tableau!$A$109")</f>
        <v>343</v>
      </c>
      <c r="B1999" s="398" t="s">
        <v>474</v>
      </c>
      <c r="C1999" s="400" t="str">
        <f t="array" ref="C1999">INDIRECT("Tableau!$Y$109")</f>
        <v>Concours Arville</v>
      </c>
      <c r="D1999" s="400" t="str">
        <f t="shared" si="12"/>
        <v>IN</v>
      </c>
      <c r="E1999" s="403" t="str">
        <f t="array" ref="E1999">INDIRECT("Tableau!$Z$109")</f>
        <v/>
      </c>
    </row>
    <row r="2000">
      <c r="A2000" s="402">
        <f t="array" ref="A2000">INDIRECT("Tableau!$A$110")</f>
        <v>344</v>
      </c>
      <c r="B2000" s="398" t="s">
        <v>474</v>
      </c>
      <c r="C2000" s="400" t="str">
        <f t="array" ref="C2000">INDIRECT("Tableau!$Y$110")</f>
        <v/>
      </c>
      <c r="D2000" s="400" t="str">
        <f t="shared" si="12"/>
        <v>IN</v>
      </c>
      <c r="E2000" s="403" t="str">
        <f t="array" ref="E2000">INDIRECT("Tableau!$Z$110")</f>
        <v/>
      </c>
    </row>
    <row r="2001">
      <c r="A2001" s="402">
        <f t="array" ref="A2001">INDIRECT("Tableau!$A$111")</f>
        <v>363</v>
      </c>
      <c r="B2001" s="398" t="s">
        <v>474</v>
      </c>
      <c r="C2001" s="400" t="str">
        <f t="array" ref="C2001">INDIRECT("Tableau!$Y$111")</f>
        <v/>
      </c>
      <c r="D2001" s="400" t="str">
        <f t="shared" si="12"/>
        <v>IN</v>
      </c>
      <c r="E2001" s="403" t="str">
        <f t="array" ref="E2001">INDIRECT("Tableau!$Z$111")</f>
        <v/>
      </c>
    </row>
    <row r="2002">
      <c r="A2002" s="402">
        <f t="array" ref="A2002">INDIRECT("Tableau!$A$112")</f>
        <v>345</v>
      </c>
      <c r="B2002" s="398" t="s">
        <v>474</v>
      </c>
      <c r="C2002" s="400" t="str">
        <f t="array" ref="C2002">INDIRECT("Tableau!$Y$112")</f>
        <v/>
      </c>
      <c r="D2002" s="400" t="str">
        <f t="shared" si="12"/>
        <v>IN</v>
      </c>
      <c r="E2002" s="403" t="str">
        <f t="array" ref="E2002">INDIRECT("Tableau!$Z$112")</f>
        <v/>
      </c>
    </row>
    <row r="2003">
      <c r="A2003" s="402">
        <f t="array" ref="A2003">INDIRECT("Tableau!$A$113")</f>
        <v>346</v>
      </c>
      <c r="B2003" s="398" t="s">
        <v>474</v>
      </c>
      <c r="C2003" s="400" t="str">
        <f t="array" ref="C2003">INDIRECT("Tableau!$Y$113")</f>
        <v/>
      </c>
      <c r="D2003" s="400" t="str">
        <f t="shared" si="12"/>
        <v>IN</v>
      </c>
      <c r="E2003" s="403" t="str">
        <f t="array" ref="E2003">INDIRECT("Tableau!$Z$113")</f>
        <v/>
      </c>
    </row>
    <row r="2004">
      <c r="A2004" s="402">
        <f t="array" ref="A2004">INDIRECT("Tableau!$A$114")</f>
        <v>359</v>
      </c>
      <c r="B2004" s="398" t="s">
        <v>474</v>
      </c>
      <c r="C2004" s="400" t="str">
        <f t="array" ref="C2004">INDIRECT("Tableau!$Y$114")</f>
        <v/>
      </c>
      <c r="D2004" s="400" t="str">
        <f t="shared" si="12"/>
        <v>IN</v>
      </c>
      <c r="E2004" s="403" t="str">
        <f t="array" ref="E2004">INDIRECT("Tableau!$Z$114")</f>
        <v/>
      </c>
    </row>
    <row r="2005">
      <c r="A2005" s="402">
        <f t="array" ref="A2005">INDIRECT("Tableau!$A$115")</f>
        <v>360</v>
      </c>
      <c r="B2005" s="398" t="s">
        <v>474</v>
      </c>
      <c r="C2005" s="400" t="str">
        <f t="array" ref="C2005">INDIRECT("Tableau!$Y$115")</f>
        <v/>
      </c>
      <c r="D2005" s="400" t="str">
        <f t="shared" si="12"/>
        <v>IN</v>
      </c>
      <c r="E2005" s="403" t="str">
        <f t="array" ref="E2005">INDIRECT("Tableau!$Z$115")</f>
        <v/>
      </c>
    </row>
    <row r="2006">
      <c r="A2006" s="402">
        <f t="array" ref="A2006">INDIRECT("Tableau!$A$116")</f>
        <v>361</v>
      </c>
      <c r="B2006" s="398" t="s">
        <v>474</v>
      </c>
      <c r="C2006" s="400" t="str">
        <f t="array" ref="C2006">INDIRECT("Tableau!$Y$116")</f>
        <v/>
      </c>
      <c r="D2006" s="400" t="str">
        <f t="shared" si="12"/>
        <v>IN</v>
      </c>
      <c r="E2006" s="403" t="str">
        <f t="array" ref="E2006">INDIRECT("Tableau!$Z$116")</f>
        <v/>
      </c>
    </row>
    <row r="2007">
      <c r="A2007" s="397" t="str">
        <f t="array" ref="A2007">INDIRECT("Tableau!$A$117")</f>
        <v/>
      </c>
      <c r="B2007" s="398" t="s">
        <v>474</v>
      </c>
      <c r="C2007" s="400" t="str">
        <f t="array" ref="C2007">INDIRECT("Tableau!$Y$117")</f>
        <v/>
      </c>
      <c r="D2007" s="400" t="str">
        <f t="shared" si="12"/>
        <v>IN</v>
      </c>
      <c r="E2007" s="403" t="str">
        <f t="array" ref="E2007">INDIRECT("Tableau!$Z$117")</f>
        <v/>
      </c>
    </row>
    <row r="2008">
      <c r="A2008" s="402">
        <f t="array" ref="A2008">INDIRECT("Tableau!$A$118")</f>
        <v>347</v>
      </c>
      <c r="B2008" s="398" t="s">
        <v>474</v>
      </c>
      <c r="C2008" s="400" t="str">
        <f t="array" ref="C2008">INDIRECT("Tableau!$Y$118")</f>
        <v>BP Martelange</v>
      </c>
      <c r="D2008" s="400" t="str">
        <f t="shared" si="12"/>
        <v>IN</v>
      </c>
      <c r="E2008" s="403" t="str">
        <f t="array" ref="E2008">INDIRECT("Tableau!$Z$118")</f>
        <v/>
      </c>
    </row>
    <row r="2009">
      <c r="A2009" s="402">
        <f t="array" ref="A2009">INDIRECT("Tableau!$A$119")</f>
        <v>348</v>
      </c>
      <c r="B2009" s="398" t="s">
        <v>474</v>
      </c>
      <c r="C2009" s="400" t="str">
        <f t="array" ref="C2009">INDIRECT("Tableau!$Y$119")</f>
        <v/>
      </c>
      <c r="D2009" s="400" t="str">
        <f t="shared" si="12"/>
        <v>IN</v>
      </c>
      <c r="E2009" s="403" t="str">
        <f t="array" ref="E2009">INDIRECT("Tableau!$Z$119")</f>
        <v/>
      </c>
    </row>
    <row r="2010">
      <c r="A2010" s="402">
        <f t="array" ref="A2010">INDIRECT("Tableau!$A$120")</f>
        <v>349</v>
      </c>
      <c r="B2010" s="398" t="s">
        <v>474</v>
      </c>
      <c r="C2010" s="400" t="str">
        <f t="array" ref="C2010">INDIRECT("Tableau!$Y$120")</f>
        <v>DEMA</v>
      </c>
      <c r="D2010" s="400" t="str">
        <f t="shared" si="12"/>
        <v>IN</v>
      </c>
      <c r="E2010" s="403" t="str">
        <f t="array" ref="E2010">INDIRECT("Tableau!$Z$120")</f>
        <v/>
      </c>
    </row>
    <row r="2011">
      <c r="A2011" s="402">
        <f t="array" ref="A2011">INDIRECT("Tableau!$A$121")</f>
        <v>350</v>
      </c>
      <c r="B2011" s="398" t="s">
        <v>474</v>
      </c>
      <c r="C2011" s="400" t="str">
        <f t="array" ref="C2011">INDIRECT("Tableau!$Y$121")</f>
        <v/>
      </c>
      <c r="D2011" s="400" t="str">
        <f t="shared" si="12"/>
        <v>IN</v>
      </c>
      <c r="E2011" s="403" t="str">
        <f t="array" ref="E2011">INDIRECT("Tableau!$Z$121")</f>
        <v/>
      </c>
    </row>
    <row r="2012">
      <c r="A2012" s="402">
        <f t="array" ref="A2012">INDIRECT("Tableau!$A$122")</f>
        <v>351</v>
      </c>
      <c r="B2012" s="398" t="s">
        <v>474</v>
      </c>
      <c r="C2012" s="400" t="str">
        <f t="array" ref="C2012">INDIRECT("Tableau!$Y$122")</f>
        <v>DEMA</v>
      </c>
      <c r="D2012" s="400" t="str">
        <f t="shared" si="12"/>
        <v>IN</v>
      </c>
      <c r="E2012" s="403" t="str">
        <f t="array" ref="E2012">INDIRECT("Tableau!$Z$122")</f>
        <v/>
      </c>
    </row>
    <row r="2013">
      <c r="A2013" s="402">
        <f t="array" ref="A2013">INDIRECT("Tableau!$A$123")</f>
        <v>352</v>
      </c>
      <c r="B2013" s="398" t="s">
        <v>474</v>
      </c>
      <c r="C2013" s="400" t="str">
        <f t="array" ref="C2013">INDIRECT("Tableau!$Y$123")</f>
        <v/>
      </c>
      <c r="D2013" s="400" t="str">
        <f t="shared" si="12"/>
        <v>IN</v>
      </c>
      <c r="E2013" s="403" t="str">
        <f t="array" ref="E2013">INDIRECT("Tableau!$Z$123")</f>
        <v/>
      </c>
    </row>
    <row r="2014">
      <c r="A2014" s="402">
        <f t="array" ref="A2014">INDIRECT("Tableau!$A$124")</f>
        <v>353</v>
      </c>
      <c r="B2014" s="398" t="s">
        <v>474</v>
      </c>
      <c r="C2014" s="400" t="str">
        <f t="array" ref="C2014">INDIRECT("Tableau!$Y$124")</f>
        <v/>
      </c>
      <c r="D2014" s="400" t="str">
        <f t="shared" si="12"/>
        <v>IN</v>
      </c>
      <c r="E2014" s="403" t="str">
        <f t="array" ref="E2014">INDIRECT("Tableau!$Z$124")</f>
        <v/>
      </c>
    </row>
    <row r="2015">
      <c r="A2015" s="397" t="str">
        <f t="array" ref="A2015">INDIRECT("Tableau!$A$125")</f>
        <v/>
      </c>
      <c r="B2015" s="398" t="s">
        <v>474</v>
      </c>
      <c r="C2015" s="400" t="str">
        <f t="array" ref="C2015">INDIRECT("Tableau!$Y$125")</f>
        <v/>
      </c>
      <c r="D2015" s="400" t="str">
        <f t="shared" si="12"/>
        <v>IN</v>
      </c>
      <c r="E2015" s="403" t="str">
        <f t="array" ref="E2015">INDIRECT("Tableau!$Z$125")</f>
        <v/>
      </c>
    </row>
    <row r="2016">
      <c r="A2016" s="402">
        <f t="array" ref="A2016">INDIRECT("Tableau!$A$126")</f>
        <v>354</v>
      </c>
      <c r="B2016" s="398" t="s">
        <v>474</v>
      </c>
      <c r="C2016" s="400" t="str">
        <f t="array" ref="C2016">INDIRECT("Tableau!$Y$126")</f>
        <v>Immo Toma </v>
      </c>
      <c r="D2016" s="400" t="str">
        <f t="shared" si="12"/>
        <v>IN</v>
      </c>
      <c r="E2016" s="403" t="str">
        <f t="array" ref="E2016">INDIRECT("Tableau!$Z$126")</f>
        <v/>
      </c>
    </row>
    <row r="2017">
      <c r="A2017" s="402">
        <f t="array" ref="A2017">INDIRECT("Tableau!$A$127")</f>
        <v>355</v>
      </c>
      <c r="B2017" s="398" t="s">
        <v>474</v>
      </c>
      <c r="C2017" s="400" t="str">
        <f t="array" ref="C2017">INDIRECT("Tableau!$Y$127")</f>
        <v/>
      </c>
      <c r="D2017" s="400" t="str">
        <f t="shared" si="12"/>
        <v>IN</v>
      </c>
      <c r="E2017" s="403" t="str">
        <f t="array" ref="E2017">INDIRECT("Tableau!$Z$127")</f>
        <v/>
      </c>
    </row>
    <row r="2018">
      <c r="A2018" s="402">
        <f t="array" ref="A2018">INDIRECT("Tableau!$A$128")</f>
        <v>356</v>
      </c>
      <c r="B2018" s="398" t="s">
        <v>474</v>
      </c>
      <c r="C2018" s="400" t="str">
        <f t="array" ref="C2018">INDIRECT("Tableau!$Y$128")</f>
        <v/>
      </c>
      <c r="D2018" s="400" t="str">
        <f t="shared" si="12"/>
        <v>IN</v>
      </c>
      <c r="E2018" s="403" t="str">
        <f t="array" ref="E2018">INDIRECT("Tableau!$Z$128")</f>
        <v/>
      </c>
    </row>
    <row r="2019">
      <c r="A2019" s="402">
        <f t="array" ref="A2019">INDIRECT("Tableau!$A$129")</f>
        <v>357</v>
      </c>
      <c r="B2019" s="398" t="s">
        <v>474</v>
      </c>
      <c r="C2019" s="400" t="str">
        <f t="array" ref="C2019">INDIRECT("Tableau!$Y$129")</f>
        <v/>
      </c>
      <c r="D2019" s="400" t="str">
        <f t="shared" si="12"/>
        <v>IN</v>
      </c>
      <c r="E2019" s="403" t="str">
        <f t="array" ref="E2019">INDIRECT("Tableau!$Z$129")</f>
        <v/>
      </c>
    </row>
    <row r="2020">
      <c r="A2020" s="397" t="str">
        <f t="array" ref="A2020">INDIRECT("Tableau!$A$130")</f>
        <v/>
      </c>
      <c r="B2020" s="398" t="s">
        <v>474</v>
      </c>
      <c r="C2020" s="400" t="str">
        <f t="array" ref="C2020">INDIRECT("Tableau!$Y$130")</f>
        <v/>
      </c>
      <c r="D2020" s="400" t="str">
        <f t="shared" si="12"/>
        <v>IN</v>
      </c>
      <c r="E2020" s="403" t="str">
        <f t="array" ref="E2020">INDIRECT("Tableau!$Z$130")</f>
        <v/>
      </c>
    </row>
    <row r="2021">
      <c r="A2021" s="397" t="str">
        <f t="array" ref="A2021">INDIRECT("Tableau!$A$131")</f>
        <v/>
      </c>
      <c r="B2021" s="398" t="s">
        <v>474</v>
      </c>
      <c r="C2021" s="400" t="str">
        <f t="array" ref="C2021">INDIRECT("Tableau!$Y$131")</f>
        <v/>
      </c>
      <c r="D2021" s="400" t="str">
        <f t="shared" si="12"/>
        <v>IN</v>
      </c>
      <c r="E2021" s="403" t="str">
        <f t="array" ref="E2021">INDIRECT("Tableau!$Z$131")</f>
        <v/>
      </c>
    </row>
    <row r="2022">
      <c r="A2022" s="397" t="str">
        <f t="array" ref="A2022">INDIRECT("Tableau!$A$132")</f>
        <v/>
      </c>
      <c r="B2022" s="398" t="s">
        <v>474</v>
      </c>
      <c r="C2022" s="400" t="str">
        <f t="array" ref="C2022">INDIRECT("Tableau!$Y$132")</f>
        <v/>
      </c>
      <c r="D2022" s="400" t="str">
        <f t="shared" si="12"/>
        <v>IN</v>
      </c>
      <c r="E2022" s="403" t="str">
        <f t="array" ref="E2022">INDIRECT("Tableau!$Z$132")</f>
        <v/>
      </c>
    </row>
    <row r="2023">
      <c r="A2023" s="397" t="str">
        <f t="array" ref="A2023">INDIRECT("Tableau!$A$133")</f>
        <v/>
      </c>
      <c r="B2023" s="398" t="s">
        <v>474</v>
      </c>
      <c r="C2023" s="400" t="str">
        <f t="array" ref="C2023">INDIRECT("Tableau!$Y$133")</f>
        <v/>
      </c>
      <c r="D2023" s="400" t="str">
        <f t="shared" si="12"/>
        <v>IN</v>
      </c>
      <c r="E2023" s="403" t="str">
        <f t="array" ref="E2023">INDIRECT("Tableau!$Z$133")</f>
        <v/>
      </c>
    </row>
    <row r="2024">
      <c r="A2024" s="397" t="str">
        <f t="array" ref="A2024">INDIRECT("Tableau!$A$134")</f>
        <v/>
      </c>
      <c r="B2024" s="398" t="s">
        <v>474</v>
      </c>
      <c r="C2024" s="400" t="str">
        <f t="array" ref="C2024">INDIRECT("Tableau!$Y$134")</f>
        <v/>
      </c>
      <c r="D2024" s="400" t="str">
        <f t="shared" si="12"/>
        <v>IN</v>
      </c>
      <c r="E2024" s="403" t="str">
        <f t="array" ref="E2024">INDIRECT("Tableau!$Z$134")</f>
        <v/>
      </c>
    </row>
    <row r="2025">
      <c r="A2025" s="402">
        <f t="array" ref="A2025">INDIRECT("Tableau!$A$135")</f>
        <v>401</v>
      </c>
      <c r="B2025" s="398" t="s">
        <v>474</v>
      </c>
      <c r="C2025" s="400" t="str">
        <f t="array" ref="C2025">INDIRECT("Tableau!$Y$135")</f>
        <v>Immo Toma </v>
      </c>
      <c r="D2025" s="400" t="str">
        <f t="shared" si="12"/>
        <v>IN</v>
      </c>
      <c r="E2025" s="403" t="str">
        <f t="array" ref="E2025">INDIRECT("Tableau!$Z$135")</f>
        <v/>
      </c>
    </row>
    <row r="2026">
      <c r="A2026" s="402">
        <f t="array" ref="A2026">INDIRECT("Tableau!$A$136")</f>
        <v>402</v>
      </c>
      <c r="B2026" s="398" t="s">
        <v>474</v>
      </c>
      <c r="C2026" s="400" t="str">
        <f t="array" ref="C2026">INDIRECT("Tableau!$Y$136")</f>
        <v/>
      </c>
      <c r="D2026" s="400" t="str">
        <f t="shared" si="12"/>
        <v>IN</v>
      </c>
      <c r="E2026" s="403" t="str">
        <f t="array" ref="E2026">INDIRECT("Tableau!$Z$136")</f>
        <v/>
      </c>
    </row>
    <row r="2027">
      <c r="A2027" s="402">
        <f t="array" ref="A2027">INDIRECT("Tableau!$A$137")</f>
        <v>403</v>
      </c>
      <c r="B2027" s="398" t="s">
        <v>474</v>
      </c>
      <c r="C2027" s="400" t="str">
        <f t="array" ref="C2027">INDIRECT("Tableau!$Y$137")</f>
        <v/>
      </c>
      <c r="D2027" s="400" t="str">
        <f t="shared" si="12"/>
        <v>IN</v>
      </c>
      <c r="E2027" s="403" t="str">
        <f t="array" ref="E2027">INDIRECT("Tableau!$Z$137")</f>
        <v/>
      </c>
    </row>
    <row r="2028">
      <c r="A2028" s="402">
        <f t="array" ref="A2028">INDIRECT("Tableau!$A$138")</f>
        <v>404</v>
      </c>
      <c r="B2028" s="398" t="s">
        <v>474</v>
      </c>
      <c r="C2028" s="400" t="str">
        <f t="array" ref="C2028">INDIRECT("Tableau!$Y$138")</f>
        <v/>
      </c>
      <c r="D2028" s="400" t="str">
        <f t="shared" si="12"/>
        <v>IN</v>
      </c>
      <c r="E2028" s="403" t="str">
        <f t="array" ref="E2028">INDIRECT("Tableau!$Z$138")</f>
        <v/>
      </c>
    </row>
    <row r="2029">
      <c r="A2029" s="402">
        <f t="array" ref="A2029">INDIRECT("Tableau!$A$139")</f>
        <v>405</v>
      </c>
      <c r="B2029" s="398" t="s">
        <v>474</v>
      </c>
      <c r="C2029" s="400" t="str">
        <f t="array" ref="C2029">INDIRECT("Tableau!$Y$139")</f>
        <v>DEMA</v>
      </c>
      <c r="D2029" s="400" t="str">
        <f t="shared" si="12"/>
        <v>IN</v>
      </c>
      <c r="E2029" s="403" t="str">
        <f t="array" ref="E2029">INDIRECT("Tableau!$Z$139")</f>
        <v/>
      </c>
    </row>
    <row r="2030">
      <c r="A2030" s="402">
        <f t="array" ref="A2030">INDIRECT("Tableau!$A$140")</f>
        <v>406</v>
      </c>
      <c r="B2030" s="398" t="s">
        <v>474</v>
      </c>
      <c r="C2030" s="400" t="str">
        <f t="array" ref="C2030">INDIRECT("Tableau!$Y$140")</f>
        <v/>
      </c>
      <c r="D2030" s="400" t="str">
        <f t="shared" si="12"/>
        <v>IN</v>
      </c>
      <c r="E2030" s="403" t="str">
        <f t="array" ref="E2030">INDIRECT("Tableau!$Z$140")</f>
        <v/>
      </c>
    </row>
    <row r="2031">
      <c r="A2031" s="402">
        <f t="array" ref="A2031">INDIRECT("Tableau!$A$141")</f>
        <v>407</v>
      </c>
      <c r="B2031" s="398" t="s">
        <v>474</v>
      </c>
      <c r="C2031" s="400" t="str">
        <f t="array" ref="C2031">INDIRECT("Tableau!$Y$141")</f>
        <v/>
      </c>
      <c r="D2031" s="400" t="str">
        <f t="shared" si="12"/>
        <v>IN</v>
      </c>
      <c r="E2031" s="403" t="str">
        <f t="array" ref="E2031">INDIRECT("Tableau!$Z$141")</f>
        <v/>
      </c>
    </row>
    <row r="2032">
      <c r="A2032" s="402">
        <f t="array" ref="A2032">INDIRECT("Tableau!$A$142")</f>
        <v>408</v>
      </c>
      <c r="B2032" s="398" t="s">
        <v>474</v>
      </c>
      <c r="C2032" s="400" t="str">
        <f t="array" ref="C2032">INDIRECT("Tableau!$Y$142")</f>
        <v>DEMA</v>
      </c>
      <c r="D2032" s="400" t="str">
        <f t="shared" si="12"/>
        <v>IN</v>
      </c>
      <c r="E2032" s="403" t="str">
        <f t="array" ref="E2032">INDIRECT("Tableau!$Z$142")</f>
        <v/>
      </c>
    </row>
    <row r="2033">
      <c r="A2033" s="402">
        <f t="array" ref="A2033">INDIRECT("Tableau!$A$143")</f>
        <v>409</v>
      </c>
      <c r="B2033" s="398" t="s">
        <v>474</v>
      </c>
      <c r="C2033" s="400" t="str">
        <f t="array" ref="C2033">INDIRECT("Tableau!$Y$143")</f>
        <v/>
      </c>
      <c r="D2033" s="400" t="str">
        <f t="shared" si="12"/>
        <v>IN</v>
      </c>
      <c r="E2033" s="403" t="str">
        <f t="array" ref="E2033">INDIRECT("Tableau!$Z$143")</f>
        <v/>
      </c>
    </row>
    <row r="2034">
      <c r="A2034" s="397">
        <f t="array" ref="A2034">INDIRECT("Tableau!$A$144")</f>
        <v>415</v>
      </c>
      <c r="B2034" s="398" t="s">
        <v>474</v>
      </c>
      <c r="C2034" s="400" t="str">
        <f t="array" ref="C2034">INDIRECT("Tableau!$Y$144")</f>
        <v/>
      </c>
      <c r="D2034" s="400" t="str">
        <f t="shared" si="12"/>
        <v>IN</v>
      </c>
      <c r="E2034" s="403" t="str">
        <f t="array" ref="E2034">INDIRECT("Tableau!$Z$144")</f>
        <v/>
      </c>
    </row>
    <row r="2035">
      <c r="A2035" s="397" t="str">
        <f t="array" ref="A2035">INDIRECT("Tableau!$A$145")</f>
        <v/>
      </c>
      <c r="B2035" s="398" t="s">
        <v>474</v>
      </c>
      <c r="C2035" s="400" t="str">
        <f t="array" ref="C2035">INDIRECT("Tableau!$Y$145")</f>
        <v/>
      </c>
      <c r="D2035" s="400" t="str">
        <f t="shared" si="12"/>
        <v>IN</v>
      </c>
      <c r="E2035" s="403" t="str">
        <f t="array" ref="E2035">INDIRECT("Tableau!$Z$145")</f>
        <v/>
      </c>
    </row>
    <row r="2036">
      <c r="A2036" s="397" t="str">
        <f t="array" ref="A2036">INDIRECT("Tableau!$A$146")</f>
        <v/>
      </c>
      <c r="B2036" s="398" t="s">
        <v>474</v>
      </c>
      <c r="C2036" s="400" t="str">
        <f t="array" ref="C2036">INDIRECT("Tableau!$Y$146")</f>
        <v/>
      </c>
      <c r="D2036" s="400" t="str">
        <f t="shared" si="12"/>
        <v>IN</v>
      </c>
      <c r="E2036" s="403" t="str">
        <f t="array" ref="E2036">INDIRECT("Tableau!$Z$146")</f>
        <v/>
      </c>
    </row>
    <row r="2037">
      <c r="A2037" s="397" t="str">
        <f t="array" ref="A2037">INDIRECT("Tableau!$A$147")</f>
        <v/>
      </c>
      <c r="B2037" s="398" t="s">
        <v>474</v>
      </c>
      <c r="C2037" s="400" t="str">
        <f t="array" ref="C2037">INDIRECT("Tableau!$Y$147")</f>
        <v/>
      </c>
      <c r="D2037" s="400" t="str">
        <f t="shared" si="12"/>
        <v>IN</v>
      </c>
      <c r="E2037" s="403" t="str">
        <f t="array" ref="E2037">INDIRECT("Tableau!$Z$147")</f>
        <v/>
      </c>
    </row>
    <row r="2038">
      <c r="A2038" s="397" t="str">
        <f t="array" ref="A2038">INDIRECT("Tableau!$A$148")</f>
        <v/>
      </c>
      <c r="B2038" s="398" t="s">
        <v>474</v>
      </c>
      <c r="C2038" s="400" t="str">
        <f t="array" ref="C2038">INDIRECT("Tableau!$Y$148")</f>
        <v/>
      </c>
      <c r="D2038" s="400" t="str">
        <f t="shared" si="12"/>
        <v>IN</v>
      </c>
      <c r="E2038" s="403" t="str">
        <f t="array" ref="E2038">INDIRECT("Tableau!$Z$148")</f>
        <v/>
      </c>
    </row>
    <row r="2039">
      <c r="A2039" s="397" t="str">
        <f t="array" ref="A2039">INDIRECT("Tableau!$A$149")</f>
        <v/>
      </c>
      <c r="B2039" s="398" t="s">
        <v>474</v>
      </c>
      <c r="C2039" s="400" t="str">
        <f t="array" ref="C2039">INDIRECT("Tableau!$Y$149")</f>
        <v/>
      </c>
      <c r="D2039" s="400" t="str">
        <f t="shared" si="12"/>
        <v>IN</v>
      </c>
      <c r="E2039" s="403" t="str">
        <f t="array" ref="E2039">INDIRECT("Tableau!$Z$149")</f>
        <v/>
      </c>
    </row>
    <row r="2040">
      <c r="A2040" s="397" t="str">
        <f t="array" ref="A2040">INDIRECT("Tableau!$A$150")</f>
        <v/>
      </c>
      <c r="B2040" s="398" t="s">
        <v>474</v>
      </c>
      <c r="C2040" s="400" t="str">
        <f t="array" ref="C2040">INDIRECT("Tableau!$Y$150")</f>
        <v/>
      </c>
      <c r="D2040" s="400" t="str">
        <f t="shared" si="12"/>
        <v>IN</v>
      </c>
      <c r="E2040" s="403" t="str">
        <f t="array" ref="E2040">INDIRECT("Tableau!$Z$150")</f>
        <v/>
      </c>
    </row>
    <row r="2041">
      <c r="A2041" s="397" t="str">
        <f t="array" ref="A2041">INDIRECT("Tableau!$A$151")</f>
        <v/>
      </c>
      <c r="B2041" s="398" t="s">
        <v>474</v>
      </c>
      <c r="C2041" s="400" t="str">
        <f t="array" ref="C2041">INDIRECT("Tableau!$Y$151")</f>
        <v/>
      </c>
      <c r="D2041" s="400" t="str">
        <f t="shared" si="12"/>
        <v>IN</v>
      </c>
      <c r="E2041" s="403" t="str">
        <f t="array" ref="E2041">INDIRECT("Tableau!$Z$151")</f>
        <v/>
      </c>
    </row>
    <row r="2042">
      <c r="A2042" s="397" t="str">
        <f t="array" ref="A2042">INDIRECT("Tableau!$A$152")</f>
        <v/>
      </c>
      <c r="B2042" s="398" t="s">
        <v>474</v>
      </c>
      <c r="C2042" s="400" t="str">
        <f t="array" ref="C2042">INDIRECT("Tableau!$Y$152")</f>
        <v/>
      </c>
      <c r="D2042" s="400" t="str">
        <f t="shared" si="12"/>
        <v>IN</v>
      </c>
      <c r="E2042" s="403" t="str">
        <f t="array" ref="E2042">INDIRECT("Tableau!$Z$152")</f>
        <v/>
      </c>
    </row>
    <row r="2043">
      <c r="A2043" s="397" t="str">
        <f t="array" ref="A2043">INDIRECT("Tableau!$A$153")</f>
        <v/>
      </c>
      <c r="B2043" s="398" t="s">
        <v>474</v>
      </c>
      <c r="C2043" s="400" t="str">
        <f t="array" ref="C2043">INDIRECT("Tableau!$Y$153")</f>
        <v/>
      </c>
      <c r="D2043" s="400" t="str">
        <f t="shared" si="12"/>
        <v>IN</v>
      </c>
      <c r="E2043" s="403" t="str">
        <f t="array" ref="E2043">INDIRECT("Tableau!$Z$153")</f>
        <v/>
      </c>
    </row>
    <row r="2044">
      <c r="A2044" s="402">
        <f t="array" ref="A2044">INDIRECT("Tableau!$A$154")</f>
        <v>501</v>
      </c>
      <c r="B2044" s="398" t="s">
        <v>474</v>
      </c>
      <c r="C2044" s="400" t="str">
        <f t="array" ref="C2044">INDIRECT("Tableau!$Y$154")</f>
        <v/>
      </c>
      <c r="D2044" s="400" t="str">
        <f t="shared" si="12"/>
        <v>IN</v>
      </c>
      <c r="E2044" s="403" t="str">
        <f t="array" ref="E2044">INDIRECT("Tableau!$Z$154")</f>
        <v/>
      </c>
    </row>
    <row r="2045">
      <c r="A2045" s="402">
        <f t="array" ref="A2045">INDIRECT("Tableau!$A$155")</f>
        <v>502</v>
      </c>
      <c r="B2045" s="398" t="s">
        <v>474</v>
      </c>
      <c r="C2045" s="400" t="str">
        <f t="array" ref="C2045">INDIRECT("Tableau!$Y$155")</f>
        <v>DPS</v>
      </c>
      <c r="D2045" s="400" t="str">
        <f t="shared" si="12"/>
        <v>IN</v>
      </c>
      <c r="E2045" s="403" t="str">
        <f t="array" ref="E2045">INDIRECT("Tableau!$Z$155")</f>
        <v/>
      </c>
    </row>
    <row r="2046">
      <c r="A2046" s="397" t="str">
        <f t="array" ref="A2046">INDIRECT("Tableau!$A$156")</f>
        <v/>
      </c>
      <c r="B2046" s="398" t="s">
        <v>474</v>
      </c>
      <c r="C2046" s="400" t="str">
        <f t="array" ref="C2046">INDIRECT("Tableau!$Y$156")</f>
        <v>DPS</v>
      </c>
      <c r="D2046" s="400" t="str">
        <f t="shared" si="12"/>
        <v>IN</v>
      </c>
      <c r="E2046" s="403" t="str">
        <f t="array" ref="E2046">INDIRECT("Tableau!$Z$156")</f>
        <v/>
      </c>
    </row>
    <row r="2047">
      <c r="A2047" s="397" t="str">
        <f t="array" ref="A2047">INDIRECT("Tableau!$A$157")</f>
        <v/>
      </c>
      <c r="B2047" s="398" t="s">
        <v>474</v>
      </c>
      <c r="C2047" s="400" t="str">
        <f t="array" ref="C2047">INDIRECT("Tableau!$Y$157")</f>
        <v>DPS</v>
      </c>
      <c r="D2047" s="400" t="str">
        <f t="shared" si="12"/>
        <v>IN</v>
      </c>
      <c r="E2047" s="403" t="str">
        <f t="array" ref="E2047">INDIRECT("Tableau!$Z$157")</f>
        <v/>
      </c>
    </row>
    <row r="2048">
      <c r="A2048" s="402">
        <f t="array" ref="A2048">INDIRECT("Tableau!$A$158")</f>
        <v>505</v>
      </c>
      <c r="B2048" s="398" t="s">
        <v>474</v>
      </c>
      <c r="C2048" s="400" t="str">
        <f t="array" ref="C2048">INDIRECT("Tableau!$Y$158")</f>
        <v>DPS</v>
      </c>
      <c r="D2048" s="400" t="str">
        <f t="shared" si="12"/>
        <v>IN</v>
      </c>
      <c r="E2048" s="403" t="str">
        <f t="array" ref="E2048">INDIRECT("Tableau!$Z$158")</f>
        <v/>
      </c>
    </row>
    <row r="2049">
      <c r="A2049" s="402">
        <f t="array" ref="A2049">INDIRECT("Tableau!$A$159")</f>
        <v>506</v>
      </c>
      <c r="B2049" s="398" t="s">
        <v>474</v>
      </c>
      <c r="C2049" s="400" t="str">
        <f t="array" ref="C2049">INDIRECT("Tableau!$Y$159")</f>
        <v/>
      </c>
      <c r="D2049" s="400" t="str">
        <f t="shared" si="12"/>
        <v>IN</v>
      </c>
      <c r="E2049" s="403" t="str">
        <f t="array" ref="E2049">INDIRECT("Tableau!$Z$159")</f>
        <v/>
      </c>
    </row>
    <row r="2050">
      <c r="A2050" s="402">
        <f t="array" ref="A2050">INDIRECT("Tableau!$A$160")</f>
        <v>507</v>
      </c>
      <c r="B2050" s="398" t="s">
        <v>474</v>
      </c>
      <c r="C2050" s="400" t="str">
        <f t="array" ref="C2050">INDIRECT("Tableau!$Y$160")</f>
        <v>DPS</v>
      </c>
      <c r="D2050" s="400" t="str">
        <f t="shared" si="12"/>
        <v>IN</v>
      </c>
      <c r="E2050" s="403" t="str">
        <f t="array" ref="E2050">INDIRECT("Tableau!$Z$160")</f>
        <v/>
      </c>
    </row>
    <row r="2051">
      <c r="A2051" s="402">
        <f t="array" ref="A2051">INDIRECT("Tableau!$A$161")</f>
        <v>508</v>
      </c>
      <c r="B2051" s="398" t="s">
        <v>474</v>
      </c>
      <c r="C2051" s="400" t="str">
        <f t="array" ref="C2051">INDIRECT("Tableau!$Y$161")</f>
        <v/>
      </c>
      <c r="D2051" s="400" t="str">
        <f t="shared" si="12"/>
        <v>IN</v>
      </c>
      <c r="E2051" s="403" t="str">
        <f t="array" ref="E2051">INDIRECT("Tableau!$Z$161")</f>
        <v/>
      </c>
    </row>
    <row r="2052">
      <c r="A2052" s="402">
        <f t="array" ref="A2052">INDIRECT("Tableau!$A$162")</f>
        <v>509</v>
      </c>
      <c r="B2052" s="398" t="s">
        <v>474</v>
      </c>
      <c r="C2052" s="400" t="str">
        <f t="array" ref="C2052">INDIRECT("Tableau!$Y$162")</f>
        <v/>
      </c>
      <c r="D2052" s="400" t="str">
        <f t="shared" si="12"/>
        <v>IN</v>
      </c>
      <c r="E2052" s="403" t="str">
        <f t="array" ref="E2052">INDIRECT("Tableau!$Z$162")</f>
        <v/>
      </c>
    </row>
    <row r="2053">
      <c r="A2053" s="397">
        <f t="array" ref="A2053">INDIRECT("Tableau!$A$163")</f>
        <v>510</v>
      </c>
      <c r="B2053" s="398" t="s">
        <v>474</v>
      </c>
      <c r="C2053" s="400" t="str">
        <f t="array" ref="C2053">INDIRECT("Tableau!$Y$163")</f>
        <v>DPS</v>
      </c>
      <c r="D2053" s="400" t="str">
        <f t="shared" si="12"/>
        <v>IN</v>
      </c>
      <c r="E2053" s="403" t="str">
        <f t="array" ref="E2053">INDIRECT("Tableau!$Z$163")</f>
        <v/>
      </c>
    </row>
    <row r="2054">
      <c r="A2054" s="397" t="str">
        <f t="array" ref="A2054">INDIRECT("Tableau!$A$164")</f>
        <v/>
      </c>
      <c r="B2054" s="398" t="s">
        <v>474</v>
      </c>
      <c r="C2054" s="400" t="str">
        <f t="array" ref="C2054">INDIRECT("Tableau!$Y$164")</f>
        <v/>
      </c>
      <c r="D2054" s="400" t="str">
        <f t="shared" si="12"/>
        <v>IN</v>
      </c>
      <c r="E2054" s="403" t="str">
        <f t="array" ref="E2054">INDIRECT("Tableau!$Z$164")</f>
        <v/>
      </c>
    </row>
    <row r="2055">
      <c r="A2055" s="397" t="str">
        <f t="array" ref="A2055">INDIRECT("Tableau!$A$165")</f>
        <v/>
      </c>
      <c r="B2055" s="398" t="s">
        <v>474</v>
      </c>
      <c r="C2055" s="400" t="str">
        <f t="array" ref="C2055">INDIRECT("Tableau!$Y$165")</f>
        <v/>
      </c>
      <c r="D2055" s="400" t="str">
        <f t="shared" si="12"/>
        <v>IN</v>
      </c>
      <c r="E2055" s="403" t="str">
        <f t="array" ref="E2055">INDIRECT("Tableau!$Z$165")</f>
        <v/>
      </c>
    </row>
    <row r="2056">
      <c r="A2056" s="402">
        <f t="array" ref="A2056">INDIRECT("Tableau!$A$166")</f>
        <v>527</v>
      </c>
      <c r="B2056" s="398" t="s">
        <v>474</v>
      </c>
      <c r="C2056" s="400" t="str">
        <f t="array" ref="C2056">INDIRECT("Tableau!$Y$166")</f>
        <v/>
      </c>
      <c r="D2056" s="400" t="str">
        <f t="shared" si="12"/>
        <v>IN</v>
      </c>
      <c r="E2056" s="403" t="str">
        <f t="array" ref="E2056">INDIRECT("Tableau!$Z$166")</f>
        <v/>
      </c>
    </row>
    <row r="2057">
      <c r="A2057" s="402">
        <f t="array" ref="A2057">INDIRECT("Tableau!$A$167")</f>
        <v>512</v>
      </c>
      <c r="B2057" s="398" t="s">
        <v>474</v>
      </c>
      <c r="C2057" s="400" t="str">
        <f t="array" ref="C2057">INDIRECT("Tableau!$Y$167")</f>
        <v>DPS</v>
      </c>
      <c r="D2057" s="400" t="str">
        <f t="shared" si="12"/>
        <v>IN</v>
      </c>
      <c r="E2057" s="403" t="str">
        <f t="array" ref="E2057">INDIRECT("Tableau!$Z$167")</f>
        <v/>
      </c>
    </row>
    <row r="2058">
      <c r="A2058" s="402">
        <f t="array" ref="A2058">INDIRECT("Tableau!$A$168")</f>
        <v>513</v>
      </c>
      <c r="B2058" s="398" t="s">
        <v>474</v>
      </c>
      <c r="C2058" s="400" t="str">
        <f t="array" ref="C2058">INDIRECT("Tableau!$Y$168")</f>
        <v/>
      </c>
      <c r="D2058" s="400" t="str">
        <f t="shared" si="12"/>
        <v>IN</v>
      </c>
      <c r="E2058" s="403" t="str">
        <f t="array" ref="E2058">INDIRECT("Tableau!$Z$168")</f>
        <v/>
      </c>
    </row>
    <row r="2059">
      <c r="A2059" s="402">
        <f t="array" ref="A2059">INDIRECT("Tableau!$A$169")</f>
        <v>514</v>
      </c>
      <c r="B2059" s="398" t="s">
        <v>474</v>
      </c>
      <c r="C2059" s="400" t="str">
        <f t="array" ref="C2059">INDIRECT("Tableau!$Y$169")</f>
        <v/>
      </c>
      <c r="D2059" s="400" t="str">
        <f t="shared" si="12"/>
        <v>IN</v>
      </c>
      <c r="E2059" s="403" t="str">
        <f t="array" ref="E2059">INDIRECT("Tableau!$Z$169")</f>
        <v/>
      </c>
    </row>
    <row r="2060">
      <c r="A2060" s="402">
        <f t="array" ref="A2060">INDIRECT("Tableau!$A$170")</f>
        <v>515</v>
      </c>
      <c r="B2060" s="398" t="s">
        <v>474</v>
      </c>
      <c r="C2060" s="400" t="str">
        <f t="array" ref="C2060">INDIRECT("Tableau!$Y$170")</f>
        <v/>
      </c>
      <c r="D2060" s="400" t="str">
        <f t="shared" si="12"/>
        <v>IN</v>
      </c>
      <c r="E2060" s="403" t="str">
        <f t="array" ref="E2060">INDIRECT("Tableau!$Z$170")</f>
        <v/>
      </c>
    </row>
    <row r="2061">
      <c r="A2061" s="402">
        <f t="array" ref="A2061">INDIRECT("Tableau!$A$171")</f>
        <v>517</v>
      </c>
      <c r="B2061" s="398" t="s">
        <v>474</v>
      </c>
      <c r="C2061" s="400" t="str">
        <f t="array" ref="C2061">INDIRECT("Tableau!$Y$171")</f>
        <v/>
      </c>
      <c r="D2061" s="400" t="str">
        <f t="shared" si="12"/>
        <v>IN</v>
      </c>
      <c r="E2061" s="403" t="str">
        <f t="array" ref="E2061">INDIRECT("Tableau!$Z$171")</f>
        <v/>
      </c>
    </row>
    <row r="2062">
      <c r="A2062" s="402">
        <f t="array" ref="A2062">INDIRECT("Tableau!$A$172")</f>
        <v>518</v>
      </c>
      <c r="B2062" s="398" t="s">
        <v>474</v>
      </c>
      <c r="C2062" s="400" t="str">
        <f t="array" ref="C2062">INDIRECT("Tableau!$Y$172")</f>
        <v/>
      </c>
      <c r="D2062" s="400" t="str">
        <f t="shared" si="12"/>
        <v>IN</v>
      </c>
      <c r="E2062" s="403" t="str">
        <f t="array" ref="E2062">INDIRECT("Tableau!$Z$172")</f>
        <v/>
      </c>
    </row>
    <row r="2063">
      <c r="A2063" s="397" t="str">
        <f t="array" ref="A2063">INDIRECT("Tableau!$A$173")</f>
        <v/>
      </c>
      <c r="B2063" s="398" t="s">
        <v>474</v>
      </c>
      <c r="C2063" s="400" t="str">
        <f t="array" ref="C2063">INDIRECT("Tableau!$Y$173")</f>
        <v/>
      </c>
      <c r="D2063" s="400" t="str">
        <f t="shared" si="12"/>
        <v>IN</v>
      </c>
      <c r="E2063" s="403" t="str">
        <f t="array" ref="E2063">INDIRECT("Tableau!$Z$173")</f>
        <v/>
      </c>
    </row>
    <row r="2064">
      <c r="A2064" s="402">
        <f t="array" ref="A2064">INDIRECT("Tableau!$A$174")</f>
        <v>520</v>
      </c>
      <c r="B2064" s="398" t="s">
        <v>474</v>
      </c>
      <c r="C2064" s="400" t="str">
        <f t="array" ref="C2064">INDIRECT("Tableau!$Y$174")</f>
        <v/>
      </c>
      <c r="D2064" s="400" t="str">
        <f t="shared" si="12"/>
        <v>IN</v>
      </c>
      <c r="E2064" s="403" t="str">
        <f t="array" ref="E2064">INDIRECT("Tableau!$Z$174")</f>
        <v/>
      </c>
    </row>
    <row r="2065">
      <c r="A2065" s="402">
        <f t="array" ref="A2065">INDIRECT("Tableau!$A$175")</f>
        <v>521</v>
      </c>
      <c r="B2065" s="398" t="s">
        <v>474</v>
      </c>
      <c r="C2065" s="400" t="str">
        <f t="array" ref="C2065">INDIRECT("Tableau!$Y$175")</f>
        <v/>
      </c>
      <c r="D2065" s="400" t="str">
        <f t="shared" si="12"/>
        <v>IN</v>
      </c>
      <c r="E2065" s="403" t="str">
        <f t="array" ref="E2065">INDIRECT("Tableau!$Z$175")</f>
        <v/>
      </c>
    </row>
    <row r="2066">
      <c r="A2066" s="402">
        <f t="array" ref="A2066">INDIRECT("Tableau!$A$176")</f>
        <v>525</v>
      </c>
      <c r="B2066" s="398" t="s">
        <v>474</v>
      </c>
      <c r="C2066" s="400" t="str">
        <f t="array" ref="C2066">INDIRECT("Tableau!$Y$176")</f>
        <v/>
      </c>
      <c r="D2066" s="400" t="str">
        <f t="shared" si="12"/>
        <v>IN</v>
      </c>
      <c r="E2066" s="403" t="str">
        <f t="array" ref="E2066">INDIRECT("Tableau!$Z$176")</f>
        <v/>
      </c>
    </row>
    <row r="2067">
      <c r="A2067" s="402">
        <f t="array" ref="A2067">INDIRECT("Tableau!$A$177")</f>
        <v>530</v>
      </c>
      <c r="B2067" s="398" t="s">
        <v>474</v>
      </c>
      <c r="C2067" s="400" t="str">
        <f t="array" ref="C2067">INDIRECT("Tableau!$Y$177")</f>
        <v>DPS</v>
      </c>
      <c r="D2067" s="400" t="str">
        <f t="shared" si="12"/>
        <v>IN</v>
      </c>
      <c r="E2067" s="403" t="str">
        <f t="array" ref="E2067">INDIRECT("Tableau!$Z$177")</f>
        <v/>
      </c>
    </row>
    <row r="2068">
      <c r="A2068" s="397" t="str">
        <f t="array" ref="A2068">INDIRECT("Tableau!$A$178")</f>
        <v/>
      </c>
      <c r="B2068" s="398" t="s">
        <v>474</v>
      </c>
      <c r="C2068" s="400" t="str">
        <f t="array" ref="C2068">INDIRECT("Tableau!$Y$178")</f>
        <v/>
      </c>
      <c r="D2068" s="400" t="str">
        <f t="shared" si="12"/>
        <v>IN</v>
      </c>
      <c r="E2068" s="403" t="str">
        <f t="array" ref="E2068">INDIRECT("Tableau!$Z$178")</f>
        <v/>
      </c>
    </row>
    <row r="2069">
      <c r="A2069" s="397" t="str">
        <f t="array" ref="A2069">INDIRECT("Tableau!$A$179")</f>
        <v/>
      </c>
      <c r="B2069" s="398" t="s">
        <v>474</v>
      </c>
      <c r="C2069" s="400" t="str">
        <f t="array" ref="C2069">INDIRECT("Tableau!$Y$179")</f>
        <v/>
      </c>
      <c r="D2069" s="400" t="str">
        <f t="shared" si="12"/>
        <v>IN</v>
      </c>
      <c r="E2069" s="403" t="str">
        <f t="array" ref="E2069">INDIRECT("Tableau!$Z$179")</f>
        <v/>
      </c>
    </row>
    <row r="2070">
      <c r="A2070" s="397" t="str">
        <f t="array" ref="A2070">INDIRECT("Tableau!$A$180")</f>
        <v/>
      </c>
      <c r="B2070" s="398" t="s">
        <v>474</v>
      </c>
      <c r="C2070" s="400" t="str">
        <f t="array" ref="C2070">INDIRECT("Tableau!$Y$180")</f>
        <v/>
      </c>
      <c r="D2070" s="400" t="str">
        <f t="shared" si="12"/>
        <v>IN</v>
      </c>
      <c r="E2070" s="403" t="str">
        <f t="array" ref="E2070">INDIRECT("Tableau!$Z$180")</f>
        <v/>
      </c>
    </row>
    <row r="2071">
      <c r="A2071" s="397" t="str">
        <f t="array" ref="A2071">INDIRECT("Tableau!$A$181")</f>
        <v/>
      </c>
      <c r="B2071" s="398" t="s">
        <v>474</v>
      </c>
      <c r="C2071" s="400" t="str">
        <f t="array" ref="C2071">INDIRECT("Tableau!$Y$181")</f>
        <v/>
      </c>
      <c r="D2071" s="400" t="str">
        <f t="shared" si="12"/>
        <v>IN</v>
      </c>
      <c r="E2071" s="403" t="str">
        <f t="array" ref="E2071">INDIRECT("Tableau!$Z$181")</f>
        <v/>
      </c>
    </row>
    <row r="2072">
      <c r="A2072" s="397" t="str">
        <f t="array" ref="A2072">INDIRECT("Tableau!$A$182")</f>
        <v/>
      </c>
      <c r="B2072" s="398" t="s">
        <v>474</v>
      </c>
      <c r="C2072" s="400" t="str">
        <f t="array" ref="C2072">INDIRECT("Tableau!$Y$182")</f>
        <v/>
      </c>
      <c r="D2072" s="400" t="str">
        <f t="shared" si="12"/>
        <v>IN</v>
      </c>
      <c r="E2072" s="403" t="str">
        <f t="array" ref="E2072">INDIRECT("Tableau!$Z$182")</f>
        <v/>
      </c>
    </row>
    <row r="2073">
      <c r="A2073" s="397" t="str">
        <f t="array" ref="A2073">INDIRECT("Tableau!$A$183")</f>
        <v/>
      </c>
      <c r="B2073" s="398" t="s">
        <v>474</v>
      </c>
      <c r="C2073" s="400" t="str">
        <f t="array" ref="C2073">INDIRECT("Tableau!$Y$183")</f>
        <v/>
      </c>
      <c r="D2073" s="400" t="str">
        <f t="shared" si="12"/>
        <v>IN</v>
      </c>
      <c r="E2073" s="403" t="str">
        <f t="array" ref="E2073">INDIRECT("Tableau!$Z$183")</f>
        <v/>
      </c>
    </row>
    <row r="2074">
      <c r="A2074" s="397" t="str">
        <f t="array" ref="A2074">INDIRECT("Tableau!$A$184")</f>
        <v/>
      </c>
      <c r="B2074" s="398" t="s">
        <v>474</v>
      </c>
      <c r="C2074" s="400" t="str">
        <f t="array" ref="C2074">INDIRECT("Tableau!$Y$184")</f>
        <v/>
      </c>
      <c r="D2074" s="400" t="str">
        <f t="shared" si="12"/>
        <v>IN</v>
      </c>
      <c r="E2074" s="403" t="str">
        <f t="array" ref="E2074">INDIRECT("Tableau!$Z$184")</f>
        <v/>
      </c>
    </row>
    <row r="2075">
      <c r="A2075" s="397" t="str">
        <f t="array" ref="A2075">INDIRECT("Tableau!$A$185")</f>
        <v/>
      </c>
      <c r="B2075" s="398" t="s">
        <v>474</v>
      </c>
      <c r="C2075" s="400" t="str">
        <f t="array" ref="C2075">INDIRECT("Tableau!$Y$185")</f>
        <v/>
      </c>
      <c r="D2075" s="400" t="str">
        <f t="shared" si="12"/>
        <v>IN</v>
      </c>
      <c r="E2075" s="403" t="str">
        <f t="array" ref="E2075">INDIRECT("Tableau!$Z$185")</f>
        <v/>
      </c>
    </row>
    <row r="2076">
      <c r="A2076" s="397" t="str">
        <f t="array" ref="A2076">INDIRECT("Tableau!$A$186")</f>
        <v/>
      </c>
      <c r="B2076" s="398" t="s">
        <v>474</v>
      </c>
      <c r="C2076" s="400" t="str">
        <f t="array" ref="C2076">INDIRECT("Tableau!$Y$186")</f>
        <v/>
      </c>
      <c r="D2076" s="400" t="str">
        <f t="shared" si="12"/>
        <v>IN</v>
      </c>
      <c r="E2076" s="403" t="str">
        <f t="array" ref="E2076">INDIRECT("Tableau!$Z$186")</f>
        <v/>
      </c>
    </row>
    <row r="2077">
      <c r="A2077" s="397" t="str">
        <f t="array" ref="A2077">INDIRECT("Tableau!$A$187")</f>
        <v/>
      </c>
      <c r="B2077" s="398" t="s">
        <v>474</v>
      </c>
      <c r="C2077" s="400" t="str">
        <f t="array" ref="C2077">INDIRECT("Tableau!$Y$187")</f>
        <v/>
      </c>
      <c r="D2077" s="400" t="str">
        <f t="shared" si="12"/>
        <v>IN</v>
      </c>
      <c r="E2077" s="403" t="str">
        <f t="array" ref="E2077">INDIRECT("Tableau!$Z$187")</f>
        <v/>
      </c>
    </row>
    <row r="2078">
      <c r="A2078" s="397" t="str">
        <f t="array" ref="A2078">INDIRECT("Tableau!$A$188")</f>
        <v/>
      </c>
      <c r="B2078" s="398" t="s">
        <v>474</v>
      </c>
      <c r="C2078" s="400" t="str">
        <f t="array" ref="C2078">INDIRECT("Tableau!$Y$188")</f>
        <v/>
      </c>
      <c r="D2078" s="400" t="str">
        <f t="shared" si="12"/>
        <v>IN</v>
      </c>
      <c r="E2078" s="403" t="str">
        <f t="array" ref="E2078">INDIRECT("Tableau!$Z$188")</f>
        <v/>
      </c>
    </row>
    <row r="2079">
      <c r="A2079" s="397" t="str">
        <f t="array" ref="A2079">INDIRECT("Tableau!$A$189")</f>
        <v/>
      </c>
      <c r="B2079" s="398" t="s">
        <v>474</v>
      </c>
      <c r="C2079" s="400" t="str">
        <f t="array" ref="C2079">INDIRECT("Tableau!$Y$189")</f>
        <v/>
      </c>
      <c r="D2079" s="400" t="str">
        <f t="shared" si="12"/>
        <v>IN</v>
      </c>
      <c r="E2079" s="403" t="str">
        <f t="array" ref="E2079">INDIRECT("Tableau!$Z$189")</f>
        <v/>
      </c>
    </row>
    <row r="2080">
      <c r="A2080" s="397" t="str">
        <f t="array" ref="A2080">INDIRECT("Tableau!$A$190")</f>
        <v/>
      </c>
      <c r="B2080" s="398" t="s">
        <v>474</v>
      </c>
      <c r="C2080" s="400" t="str">
        <f t="array" ref="C2080">INDIRECT("Tableau!$Y$190")</f>
        <v/>
      </c>
      <c r="D2080" s="400" t="str">
        <f t="shared" si="12"/>
        <v>IN</v>
      </c>
      <c r="E2080" s="403" t="str">
        <f t="array" ref="E2080">INDIRECT("Tableau!$Z$190")</f>
        <v/>
      </c>
    </row>
    <row r="2081">
      <c r="A2081" s="397" t="str">
        <f t="array" ref="A2081">INDIRECT("Tableau!$A$2")</f>
        <v/>
      </c>
      <c r="B2081" s="398" t="s">
        <v>474</v>
      </c>
      <c r="C2081" s="399" t="str">
        <f t="array" ref="C2081">INDIRECT("Tableau!$AA$2")</f>
        <v/>
      </c>
      <c r="D2081" s="399" t="str">
        <f t="shared" ref="D2081:D2269" si="13">INDIRECT("Tableau!$AB$1")</f>
        <v>OUT</v>
      </c>
      <c r="E2081" s="401" t="str">
        <f t="array" ref="E2081">INDIRECT("Tableau!$AB$2")</f>
        <v/>
      </c>
      <c r="F2081" s="399"/>
      <c r="G2081" s="399"/>
      <c r="H2081" s="399"/>
      <c r="I2081" s="399"/>
      <c r="J2081" s="399"/>
      <c r="K2081" s="399"/>
      <c r="L2081" s="399"/>
      <c r="M2081" s="399"/>
      <c r="N2081" s="399"/>
      <c r="O2081" s="399"/>
      <c r="P2081" s="399"/>
      <c r="Q2081" s="399"/>
      <c r="R2081" s="399"/>
      <c r="S2081" s="399"/>
      <c r="T2081" s="399"/>
      <c r="U2081" s="399"/>
      <c r="V2081" s="399"/>
      <c r="W2081" s="399"/>
      <c r="X2081" s="399"/>
    </row>
    <row r="2082">
      <c r="A2082" s="402">
        <f t="array" ref="A2082">INDIRECT("Tableau!$A$3")</f>
        <v>102</v>
      </c>
      <c r="B2082" s="398" t="s">
        <v>474</v>
      </c>
      <c r="C2082" s="399" t="str">
        <f t="array" ref="C2082">INDIRECT("Tableau!$AA$3")</f>
        <v/>
      </c>
      <c r="D2082" s="399" t="str">
        <f t="shared" si="13"/>
        <v>OUT</v>
      </c>
      <c r="E2082" s="401" t="str">
        <f t="array" ref="E2082">INDIRECT("Tableau!$AB$3")</f>
        <v/>
      </c>
      <c r="F2082" s="399"/>
      <c r="G2082" s="399"/>
      <c r="H2082" s="399"/>
      <c r="I2082" s="399"/>
      <c r="J2082" s="399"/>
      <c r="K2082" s="399"/>
      <c r="L2082" s="399"/>
      <c r="M2082" s="399"/>
      <c r="N2082" s="399"/>
      <c r="O2082" s="399"/>
      <c r="P2082" s="399"/>
      <c r="Q2082" s="399"/>
      <c r="R2082" s="399"/>
      <c r="S2082" s="399"/>
      <c r="T2082" s="399"/>
      <c r="U2082" s="399"/>
      <c r="V2082" s="399"/>
      <c r="W2082" s="399"/>
      <c r="X2082" s="399"/>
    </row>
    <row r="2083">
      <c r="A2083" s="397" t="str">
        <f t="array" ref="A2083">INDIRECT("Tableau!$A$4")</f>
        <v/>
      </c>
      <c r="B2083" s="398" t="s">
        <v>474</v>
      </c>
      <c r="C2083" s="399" t="str">
        <f t="array" ref="C2083">INDIRECT("Tableau!$AA$4")</f>
        <v/>
      </c>
      <c r="D2083" s="399" t="str">
        <f t="shared" si="13"/>
        <v>OUT</v>
      </c>
      <c r="E2083" s="401" t="str">
        <f t="array" ref="E2083">INDIRECT("Tableau!$AB$4")</f>
        <v/>
      </c>
      <c r="F2083" s="399"/>
      <c r="G2083" s="399"/>
      <c r="H2083" s="399"/>
      <c r="I2083" s="399"/>
      <c r="J2083" s="399"/>
      <c r="K2083" s="399"/>
      <c r="L2083" s="399"/>
      <c r="M2083" s="399"/>
      <c r="N2083" s="399"/>
      <c r="O2083" s="399"/>
      <c r="P2083" s="399"/>
      <c r="Q2083" s="399"/>
      <c r="R2083" s="399"/>
      <c r="S2083" s="399"/>
      <c r="T2083" s="399"/>
      <c r="U2083" s="399"/>
      <c r="V2083" s="399"/>
      <c r="W2083" s="399"/>
      <c r="X2083" s="399"/>
    </row>
    <row r="2084">
      <c r="A2084" s="402">
        <f t="array" ref="A2084">INDIRECT("Tableau!$A$5")</f>
        <v>104</v>
      </c>
      <c r="B2084" s="398" t="s">
        <v>474</v>
      </c>
      <c r="C2084" s="399" t="str">
        <f t="array" ref="C2084">INDIRECT("Tableau!$AA$5")</f>
        <v/>
      </c>
      <c r="D2084" s="399" t="str">
        <f t="shared" si="13"/>
        <v>OUT</v>
      </c>
      <c r="E2084" s="401" t="str">
        <f t="array" ref="E2084">INDIRECT("Tableau!$AB$5")</f>
        <v/>
      </c>
      <c r="F2084" s="399"/>
      <c r="G2084" s="399"/>
      <c r="H2084" s="399"/>
      <c r="I2084" s="399"/>
      <c r="J2084" s="399"/>
      <c r="K2084" s="399"/>
      <c r="L2084" s="399"/>
      <c r="M2084" s="399"/>
      <c r="N2084" s="399"/>
      <c r="O2084" s="399"/>
      <c r="P2084" s="399"/>
      <c r="Q2084" s="399"/>
      <c r="R2084" s="399"/>
      <c r="S2084" s="399"/>
      <c r="T2084" s="399"/>
      <c r="U2084" s="399"/>
      <c r="V2084" s="399"/>
      <c r="W2084" s="399"/>
      <c r="X2084" s="399"/>
    </row>
    <row r="2085">
      <c r="A2085" s="402">
        <f t="array" ref="A2085">INDIRECT("Tableau!$A$6")</f>
        <v>105</v>
      </c>
      <c r="B2085" s="398" t="s">
        <v>474</v>
      </c>
      <c r="C2085" s="399" t="str">
        <f t="array" ref="C2085">INDIRECT("Tableau!$AA$6")</f>
        <v/>
      </c>
      <c r="D2085" s="399" t="str">
        <f t="shared" si="13"/>
        <v>OUT</v>
      </c>
      <c r="E2085" s="401" t="str">
        <f t="array" ref="E2085">INDIRECT("Tableau!$AB$6")</f>
        <v/>
      </c>
      <c r="F2085" s="399"/>
      <c r="G2085" s="399"/>
      <c r="H2085" s="399"/>
      <c r="I2085" s="399"/>
      <c r="J2085" s="399"/>
      <c r="K2085" s="399"/>
      <c r="L2085" s="399"/>
      <c r="M2085" s="399"/>
      <c r="N2085" s="399"/>
      <c r="O2085" s="399"/>
      <c r="P2085" s="399"/>
      <c r="Q2085" s="399"/>
      <c r="R2085" s="399"/>
      <c r="S2085" s="399"/>
      <c r="T2085" s="399"/>
      <c r="U2085" s="399"/>
      <c r="V2085" s="399"/>
      <c r="W2085" s="399"/>
      <c r="X2085" s="399"/>
    </row>
    <row r="2086">
      <c r="A2086" s="402">
        <f t="array" ref="A2086">INDIRECT("Tableau!$A$7")</f>
        <v>106</v>
      </c>
      <c r="B2086" s="398" t="s">
        <v>474</v>
      </c>
      <c r="C2086" s="399" t="str">
        <f t="array" ref="C2086">INDIRECT("Tableau!$AA$7")</f>
        <v/>
      </c>
      <c r="D2086" s="399" t="str">
        <f t="shared" si="13"/>
        <v>OUT</v>
      </c>
      <c r="E2086" s="401" t="str">
        <f t="array" ref="E2086">INDIRECT("Tableau!$AB$7")</f>
        <v/>
      </c>
      <c r="F2086" s="399"/>
      <c r="G2086" s="399"/>
      <c r="H2086" s="399"/>
      <c r="I2086" s="399"/>
      <c r="J2086" s="399"/>
      <c r="K2086" s="399"/>
      <c r="L2086" s="399"/>
      <c r="M2086" s="399"/>
      <c r="N2086" s="399"/>
      <c r="O2086" s="399"/>
      <c r="P2086" s="399"/>
      <c r="Q2086" s="399"/>
      <c r="R2086" s="399"/>
      <c r="S2086" s="399"/>
      <c r="T2086" s="399"/>
      <c r="U2086" s="399"/>
      <c r="V2086" s="399"/>
      <c r="W2086" s="399"/>
      <c r="X2086" s="399"/>
    </row>
    <row r="2087">
      <c r="A2087" s="402">
        <f t="array" ref="A2087">INDIRECT("Tableau!$A$8")</f>
        <v>107</v>
      </c>
      <c r="B2087" s="398" t="s">
        <v>474</v>
      </c>
      <c r="C2087" s="399" t="str">
        <f t="array" ref="C2087">INDIRECT("Tableau!$AA$8")</f>
        <v/>
      </c>
      <c r="D2087" s="399" t="str">
        <f t="shared" si="13"/>
        <v>OUT</v>
      </c>
      <c r="E2087" s="401" t="str">
        <f t="array" ref="E2087">INDIRECT("Tableau!$AB$8")</f>
        <v/>
      </c>
      <c r="F2087" s="399"/>
      <c r="G2087" s="399"/>
      <c r="H2087" s="399"/>
      <c r="I2087" s="399"/>
      <c r="J2087" s="399"/>
      <c r="K2087" s="399"/>
      <c r="L2087" s="399"/>
      <c r="M2087" s="399"/>
      <c r="N2087" s="399"/>
      <c r="O2087" s="399"/>
      <c r="P2087" s="399"/>
      <c r="Q2087" s="399"/>
      <c r="R2087" s="399"/>
      <c r="S2087" s="399"/>
      <c r="T2087" s="399"/>
      <c r="U2087" s="399"/>
      <c r="V2087" s="399"/>
      <c r="W2087" s="399"/>
      <c r="X2087" s="399"/>
    </row>
    <row r="2088">
      <c r="A2088" s="397">
        <f t="array" ref="A2088">INDIRECT("Tableau!$A$9")</f>
        <v>108</v>
      </c>
      <c r="B2088" s="398" t="s">
        <v>474</v>
      </c>
      <c r="C2088" s="399" t="str">
        <f t="array" ref="C2088">INDIRECT("Tableau!$AA$9")</f>
        <v/>
      </c>
      <c r="D2088" s="399" t="str">
        <f t="shared" si="13"/>
        <v>OUT</v>
      </c>
      <c r="E2088" s="401" t="str">
        <f t="array" ref="E2088">INDIRECT("Tableau!$AB$9")</f>
        <v/>
      </c>
      <c r="F2088" s="399"/>
      <c r="G2088" s="399"/>
      <c r="H2088" s="399"/>
      <c r="I2088" s="399"/>
      <c r="J2088" s="399"/>
      <c r="K2088" s="399"/>
      <c r="L2088" s="399"/>
      <c r="M2088" s="399"/>
      <c r="N2088" s="399"/>
      <c r="O2088" s="399"/>
      <c r="P2088" s="399"/>
      <c r="Q2088" s="399"/>
      <c r="R2088" s="399"/>
      <c r="S2088" s="399"/>
      <c r="T2088" s="399"/>
      <c r="U2088" s="399"/>
      <c r="V2088" s="399"/>
      <c r="W2088" s="399"/>
      <c r="X2088" s="399"/>
    </row>
    <row r="2089">
      <c r="A2089" s="402">
        <f t="array" ref="A2089">INDIRECT("Tableau!$A$10")</f>
        <v>109</v>
      </c>
      <c r="B2089" s="398" t="s">
        <v>474</v>
      </c>
      <c r="C2089" s="399" t="str">
        <f t="array" ref="C2089">INDIRECT("Tableau!$AA$10")</f>
        <v/>
      </c>
      <c r="D2089" s="399" t="str">
        <f t="shared" si="13"/>
        <v>OUT</v>
      </c>
      <c r="E2089" s="401" t="str">
        <f t="array" ref="E2089">INDIRECT("Tableau!$AB$10")</f>
        <v/>
      </c>
      <c r="F2089" s="399"/>
      <c r="G2089" s="399"/>
      <c r="H2089" s="399"/>
      <c r="I2089" s="399"/>
      <c r="J2089" s="399"/>
      <c r="K2089" s="399"/>
      <c r="L2089" s="399"/>
      <c r="M2089" s="399"/>
      <c r="N2089" s="399"/>
      <c r="O2089" s="399"/>
      <c r="P2089" s="399"/>
      <c r="Q2089" s="399"/>
      <c r="R2089" s="399"/>
      <c r="S2089" s="399"/>
      <c r="T2089" s="399"/>
      <c r="U2089" s="399"/>
      <c r="V2089" s="399"/>
      <c r="W2089" s="399"/>
      <c r="X2089" s="399"/>
    </row>
    <row r="2090">
      <c r="A2090" s="402">
        <f t="array" ref="A2090">INDIRECT("Tableau!$A$11")</f>
        <v>110</v>
      </c>
      <c r="B2090" s="398" t="s">
        <v>474</v>
      </c>
      <c r="C2090" s="399" t="str">
        <f t="array" ref="C2090">INDIRECT("Tableau!$AA$11")</f>
        <v/>
      </c>
      <c r="D2090" s="399" t="str">
        <f t="shared" si="13"/>
        <v>OUT</v>
      </c>
      <c r="E2090" s="401" t="str">
        <f t="array" ref="E2090">INDIRECT("Tableau!$AB$11")</f>
        <v/>
      </c>
      <c r="F2090" s="399"/>
      <c r="G2090" s="399"/>
      <c r="H2090" s="399"/>
      <c r="I2090" s="399"/>
      <c r="J2090" s="399"/>
      <c r="K2090" s="399"/>
      <c r="L2090" s="399"/>
      <c r="M2090" s="399"/>
      <c r="N2090" s="399"/>
      <c r="O2090" s="399"/>
      <c r="P2090" s="399"/>
      <c r="Q2090" s="399"/>
      <c r="R2090" s="399"/>
      <c r="S2090" s="399"/>
      <c r="T2090" s="399"/>
      <c r="U2090" s="399"/>
      <c r="V2090" s="399"/>
      <c r="W2090" s="399"/>
      <c r="X2090" s="399"/>
    </row>
    <row r="2091">
      <c r="A2091" s="402">
        <f t="array" ref="A2091">INDIRECT("Tableau!$A$12")</f>
        <v>111</v>
      </c>
      <c r="B2091" s="398" t="s">
        <v>474</v>
      </c>
      <c r="C2091" s="399" t="str">
        <f t="array" ref="C2091">INDIRECT("Tableau!$AA$12")</f>
        <v/>
      </c>
      <c r="D2091" s="399" t="str">
        <f t="shared" si="13"/>
        <v>OUT</v>
      </c>
      <c r="E2091" s="401" t="str">
        <f t="array" ref="E2091">INDIRECT("Tableau!$AB$12")</f>
        <v/>
      </c>
      <c r="F2091" s="399"/>
      <c r="G2091" s="399"/>
      <c r="H2091" s="399"/>
      <c r="I2091" s="399"/>
      <c r="J2091" s="399"/>
      <c r="K2091" s="399"/>
      <c r="L2091" s="399"/>
      <c r="M2091" s="399"/>
      <c r="N2091" s="399"/>
      <c r="O2091" s="399"/>
      <c r="P2091" s="399"/>
      <c r="Q2091" s="399"/>
      <c r="R2091" s="399"/>
      <c r="S2091" s="399"/>
      <c r="T2091" s="399"/>
      <c r="U2091" s="399"/>
      <c r="V2091" s="399"/>
      <c r="W2091" s="399"/>
      <c r="X2091" s="399"/>
    </row>
    <row r="2092">
      <c r="A2092" s="404">
        <f t="array" ref="A2092">INDIRECT("Tableau!$A$13")</f>
        <v>112</v>
      </c>
      <c r="B2092" s="398" t="s">
        <v>474</v>
      </c>
      <c r="C2092" s="399" t="str">
        <f t="array" ref="C2092">INDIRECT("Tableau!$AA$13")</f>
        <v/>
      </c>
      <c r="D2092" s="399" t="str">
        <f t="shared" si="13"/>
        <v>OUT</v>
      </c>
      <c r="E2092" s="401" t="str">
        <f t="array" ref="E2092">INDIRECT("Tableau!$AB$13")</f>
        <v/>
      </c>
      <c r="F2092" s="399"/>
      <c r="G2092" s="399"/>
      <c r="H2092" s="399"/>
      <c r="I2092" s="399"/>
      <c r="J2092" s="399"/>
      <c r="K2092" s="399"/>
      <c r="L2092" s="399"/>
      <c r="M2092" s="399"/>
      <c r="N2092" s="399"/>
      <c r="O2092" s="399"/>
      <c r="P2092" s="399"/>
      <c r="Q2092" s="399"/>
      <c r="R2092" s="399"/>
      <c r="S2092" s="399"/>
      <c r="T2092" s="399"/>
      <c r="U2092" s="399"/>
      <c r="V2092" s="399"/>
      <c r="W2092" s="399"/>
      <c r="X2092" s="399"/>
    </row>
    <row r="2093">
      <c r="A2093" s="404">
        <f t="array" ref="A2093">INDIRECT("Tableau!$A$14")</f>
        <v>113</v>
      </c>
      <c r="B2093" s="398" t="s">
        <v>474</v>
      </c>
      <c r="C2093" s="399" t="str">
        <f t="array" ref="C2093">INDIRECT("Tableau!$AA$14")</f>
        <v/>
      </c>
      <c r="D2093" s="399" t="str">
        <f t="shared" si="13"/>
        <v>OUT</v>
      </c>
      <c r="E2093" s="401" t="str">
        <f t="array" ref="E2093">INDIRECT("Tableau!$AB$14")</f>
        <v/>
      </c>
      <c r="F2093" s="399"/>
      <c r="G2093" s="399"/>
      <c r="H2093" s="399"/>
      <c r="I2093" s="399"/>
      <c r="J2093" s="399"/>
      <c r="K2093" s="399"/>
      <c r="L2093" s="399"/>
      <c r="M2093" s="399"/>
      <c r="N2093" s="399"/>
      <c r="O2093" s="399"/>
      <c r="P2093" s="399"/>
      <c r="Q2093" s="399"/>
      <c r="R2093" s="399"/>
      <c r="S2093" s="399"/>
      <c r="T2093" s="399"/>
      <c r="U2093" s="399"/>
      <c r="V2093" s="399"/>
      <c r="W2093" s="399"/>
      <c r="X2093" s="399"/>
    </row>
    <row r="2094">
      <c r="A2094" s="405">
        <f t="array" ref="A2094">INDIRECT("Tableau!$A$15")</f>
        <v>114</v>
      </c>
      <c r="B2094" s="398" t="s">
        <v>474</v>
      </c>
      <c r="C2094" s="399" t="str">
        <f t="array" ref="C2094">INDIRECT("Tableau!$AA$15")</f>
        <v/>
      </c>
      <c r="D2094" s="399" t="str">
        <f t="shared" si="13"/>
        <v>OUT</v>
      </c>
      <c r="E2094" s="401" t="str">
        <f t="array" ref="E2094">INDIRECT("Tableau!$AB$15")</f>
        <v/>
      </c>
      <c r="F2094" s="399"/>
      <c r="G2094" s="399"/>
      <c r="H2094" s="399"/>
      <c r="I2094" s="399"/>
      <c r="J2094" s="399"/>
      <c r="K2094" s="399"/>
      <c r="L2094" s="399"/>
      <c r="M2094" s="399"/>
      <c r="N2094" s="399"/>
      <c r="O2094" s="399"/>
      <c r="P2094" s="399"/>
      <c r="Q2094" s="399"/>
      <c r="R2094" s="399"/>
      <c r="S2094" s="399"/>
      <c r="T2094" s="399"/>
      <c r="U2094" s="399"/>
      <c r="V2094" s="399"/>
      <c r="W2094" s="399"/>
      <c r="X2094" s="399"/>
    </row>
    <row r="2095">
      <c r="A2095" s="405" t="str">
        <f t="array" ref="A2095">INDIRECT("Tableau!$A$16")</f>
        <v/>
      </c>
      <c r="B2095" s="398" t="s">
        <v>474</v>
      </c>
      <c r="C2095" s="399" t="str">
        <f t="array" ref="C2095">INDIRECT("Tableau!$AA$16")</f>
        <v/>
      </c>
      <c r="D2095" s="399" t="str">
        <f t="shared" si="13"/>
        <v>OUT</v>
      </c>
      <c r="E2095" s="401" t="str">
        <f t="array" ref="E2095">INDIRECT("Tableau!$AB$16")</f>
        <v/>
      </c>
      <c r="F2095" s="399"/>
      <c r="G2095" s="399"/>
      <c r="H2095" s="399"/>
      <c r="I2095" s="399"/>
      <c r="J2095" s="399"/>
      <c r="K2095" s="399"/>
      <c r="L2095" s="399"/>
      <c r="M2095" s="399"/>
      <c r="N2095" s="399"/>
      <c r="O2095" s="399"/>
      <c r="P2095" s="399"/>
      <c r="Q2095" s="399"/>
      <c r="R2095" s="399"/>
      <c r="S2095" s="399"/>
      <c r="T2095" s="399"/>
      <c r="U2095" s="399"/>
      <c r="V2095" s="399"/>
      <c r="W2095" s="399"/>
      <c r="X2095" s="399"/>
    </row>
    <row r="2096">
      <c r="A2096" s="405" t="str">
        <f t="array" ref="A2096">INDIRECT("Tableau!$A$17")</f>
        <v/>
      </c>
      <c r="B2096" s="398" t="s">
        <v>474</v>
      </c>
      <c r="C2096" s="399" t="str">
        <f t="array" ref="C2096">INDIRECT("Tableau!$AA$17")</f>
        <v/>
      </c>
      <c r="D2096" s="399" t="str">
        <f t="shared" si="13"/>
        <v>OUT</v>
      </c>
      <c r="E2096" s="401" t="str">
        <f t="array" ref="E2096">INDIRECT("Tableau!$AB$17")</f>
        <v/>
      </c>
      <c r="F2096" s="399"/>
      <c r="G2096" s="399"/>
      <c r="H2096" s="399"/>
      <c r="I2096" s="399"/>
      <c r="J2096" s="399"/>
      <c r="K2096" s="399"/>
      <c r="L2096" s="399"/>
      <c r="M2096" s="399"/>
      <c r="N2096" s="399"/>
      <c r="O2096" s="399"/>
      <c r="P2096" s="399"/>
      <c r="Q2096" s="399"/>
      <c r="R2096" s="399"/>
      <c r="S2096" s="399"/>
      <c r="T2096" s="399"/>
      <c r="U2096" s="399"/>
      <c r="V2096" s="399"/>
      <c r="W2096" s="399"/>
      <c r="X2096" s="399"/>
    </row>
    <row r="2097">
      <c r="A2097" s="405" t="str">
        <f t="array" ref="A2097">INDIRECT("Tableau!$A$18")</f>
        <v/>
      </c>
      <c r="B2097" s="398" t="s">
        <v>474</v>
      </c>
      <c r="C2097" s="399" t="str">
        <f t="array" ref="C2097">INDIRECT("Tableau!$AA$18")</f>
        <v/>
      </c>
      <c r="D2097" s="399" t="str">
        <f t="shared" si="13"/>
        <v>OUT</v>
      </c>
      <c r="E2097" s="401" t="str">
        <f t="array" ref="E2097">INDIRECT("Tableau!$AB$18")</f>
        <v/>
      </c>
      <c r="F2097" s="399"/>
      <c r="G2097" s="399"/>
      <c r="H2097" s="399"/>
      <c r="I2097" s="399"/>
      <c r="J2097" s="399"/>
      <c r="K2097" s="399"/>
      <c r="L2097" s="399"/>
      <c r="M2097" s="399"/>
      <c r="N2097" s="399"/>
      <c r="O2097" s="399"/>
      <c r="P2097" s="399"/>
      <c r="Q2097" s="399"/>
      <c r="R2097" s="399"/>
      <c r="S2097" s="399"/>
      <c r="T2097" s="399"/>
      <c r="U2097" s="399"/>
      <c r="V2097" s="399"/>
      <c r="W2097" s="399"/>
      <c r="X2097" s="399"/>
    </row>
    <row r="2098">
      <c r="A2098" s="405" t="str">
        <f t="array" ref="A2098">INDIRECT("Tableau!$A$19")</f>
        <v/>
      </c>
      <c r="B2098" s="398" t="s">
        <v>474</v>
      </c>
      <c r="C2098" s="399" t="str">
        <f t="array" ref="C2098">INDIRECT("Tableau!$AA$19")</f>
        <v/>
      </c>
      <c r="D2098" s="399" t="str">
        <f t="shared" si="13"/>
        <v>OUT</v>
      </c>
      <c r="E2098" s="401" t="str">
        <f t="array" ref="E2098">INDIRECT("Tableau!$AB$19")</f>
        <v/>
      </c>
      <c r="F2098" s="399"/>
      <c r="G2098" s="399"/>
      <c r="H2098" s="399"/>
      <c r="I2098" s="399"/>
      <c r="J2098" s="399"/>
      <c r="K2098" s="399"/>
      <c r="L2098" s="399"/>
      <c r="M2098" s="399"/>
      <c r="N2098" s="399"/>
      <c r="O2098" s="399"/>
      <c r="P2098" s="399"/>
      <c r="Q2098" s="399"/>
      <c r="R2098" s="399"/>
      <c r="S2098" s="399"/>
      <c r="T2098" s="399"/>
      <c r="U2098" s="399"/>
      <c r="V2098" s="399"/>
      <c r="W2098" s="399"/>
      <c r="X2098" s="399"/>
    </row>
    <row r="2099">
      <c r="A2099" s="405" t="str">
        <f t="array" ref="A2099">INDIRECT("Tableau!$A$20")</f>
        <v/>
      </c>
      <c r="B2099" s="398" t="s">
        <v>474</v>
      </c>
      <c r="C2099" s="399" t="str">
        <f t="array" ref="C2099">INDIRECT("Tableau!$AA$20")</f>
        <v/>
      </c>
      <c r="D2099" s="399" t="str">
        <f t="shared" si="13"/>
        <v>OUT</v>
      </c>
      <c r="E2099" s="401" t="str">
        <f t="array" ref="E2099">INDIRECT("Tableau!$AB$20")</f>
        <v/>
      </c>
      <c r="F2099" s="399"/>
      <c r="G2099" s="399"/>
      <c r="H2099" s="399"/>
      <c r="I2099" s="399"/>
      <c r="J2099" s="399"/>
      <c r="K2099" s="399"/>
      <c r="L2099" s="399"/>
      <c r="M2099" s="399"/>
      <c r="N2099" s="399"/>
      <c r="O2099" s="399"/>
      <c r="P2099" s="399"/>
      <c r="Q2099" s="399"/>
      <c r="R2099" s="399"/>
      <c r="S2099" s="399"/>
      <c r="T2099" s="399"/>
      <c r="U2099" s="399"/>
      <c r="V2099" s="399"/>
      <c r="W2099" s="399"/>
      <c r="X2099" s="399"/>
    </row>
    <row r="2100">
      <c r="A2100" s="405" t="str">
        <f t="array" ref="A2100">INDIRECT("Tableau!$A$21")</f>
        <v/>
      </c>
      <c r="B2100" s="398" t="s">
        <v>474</v>
      </c>
      <c r="C2100" s="399" t="str">
        <f t="array" ref="C2100">INDIRECT("Tableau!$AA$21")</f>
        <v/>
      </c>
      <c r="D2100" s="399" t="str">
        <f t="shared" si="13"/>
        <v>OUT</v>
      </c>
      <c r="E2100" s="401" t="str">
        <f t="array" ref="E2100">INDIRECT("Tableau!$AB$21")</f>
        <v/>
      </c>
      <c r="F2100" s="399"/>
      <c r="G2100" s="399"/>
      <c r="H2100" s="399"/>
      <c r="I2100" s="399"/>
      <c r="J2100" s="399"/>
      <c r="K2100" s="399"/>
      <c r="L2100" s="399"/>
      <c r="M2100" s="399"/>
      <c r="N2100" s="399"/>
      <c r="O2100" s="399"/>
      <c r="P2100" s="399"/>
      <c r="Q2100" s="399"/>
      <c r="R2100" s="399"/>
      <c r="S2100" s="399"/>
      <c r="T2100" s="399"/>
      <c r="U2100" s="399"/>
      <c r="V2100" s="399"/>
      <c r="W2100" s="399"/>
      <c r="X2100" s="399"/>
    </row>
    <row r="2101">
      <c r="A2101" s="405" t="str">
        <f t="array" ref="A2101">INDIRECT("Tableau!$A$22")</f>
        <v/>
      </c>
      <c r="B2101" s="398" t="s">
        <v>474</v>
      </c>
      <c r="C2101" s="399" t="str">
        <f t="array" ref="C2101">INDIRECT("Tableau!$AA$22")</f>
        <v/>
      </c>
      <c r="D2101" s="399" t="str">
        <f t="shared" si="13"/>
        <v>OUT</v>
      </c>
      <c r="E2101" s="401" t="str">
        <f t="array" ref="E2101">INDIRECT("Tableau!$AB$22")</f>
        <v/>
      </c>
      <c r="F2101" s="399"/>
      <c r="G2101" s="399"/>
      <c r="H2101" s="399"/>
      <c r="I2101" s="399"/>
      <c r="J2101" s="399"/>
      <c r="K2101" s="399"/>
      <c r="L2101" s="399"/>
      <c r="M2101" s="399"/>
      <c r="N2101" s="399"/>
      <c r="O2101" s="399"/>
      <c r="P2101" s="399"/>
      <c r="Q2101" s="399"/>
      <c r="R2101" s="399"/>
      <c r="S2101" s="399"/>
      <c r="T2101" s="399"/>
      <c r="U2101" s="399"/>
      <c r="V2101" s="399"/>
      <c r="W2101" s="399"/>
      <c r="X2101" s="399"/>
    </row>
    <row r="2102">
      <c r="A2102" s="405" t="str">
        <f t="array" ref="A2102">INDIRECT("Tableau!$A$23")</f>
        <v/>
      </c>
      <c r="B2102" s="398" t="s">
        <v>474</v>
      </c>
      <c r="C2102" s="399" t="str">
        <f t="array" ref="C2102">INDIRECT("Tableau!$AA$23")</f>
        <v/>
      </c>
      <c r="D2102" s="399" t="str">
        <f t="shared" si="13"/>
        <v>OUT</v>
      </c>
      <c r="E2102" s="401" t="str">
        <f t="array" ref="E2102">INDIRECT("Tableau!$AB$23")</f>
        <v/>
      </c>
      <c r="F2102" s="399"/>
      <c r="G2102" s="399"/>
      <c r="H2102" s="399"/>
      <c r="I2102" s="399"/>
      <c r="J2102" s="399"/>
      <c r="K2102" s="399"/>
      <c r="L2102" s="399"/>
      <c r="M2102" s="399"/>
      <c r="N2102" s="399"/>
      <c r="O2102" s="399"/>
      <c r="P2102" s="399"/>
      <c r="Q2102" s="399"/>
      <c r="R2102" s="399"/>
      <c r="S2102" s="399"/>
      <c r="T2102" s="399"/>
      <c r="U2102" s="399"/>
      <c r="V2102" s="399"/>
      <c r="W2102" s="399"/>
      <c r="X2102" s="399"/>
    </row>
    <row r="2103">
      <c r="A2103" s="405" t="str">
        <f t="array" ref="A2103">INDIRECT("Tableau!$A$24")</f>
        <v/>
      </c>
      <c r="B2103" s="398" t="s">
        <v>474</v>
      </c>
      <c r="C2103" s="399" t="str">
        <f t="array" ref="C2103">INDIRECT("Tableau!$AA$24")</f>
        <v/>
      </c>
      <c r="D2103" s="399" t="str">
        <f t="shared" si="13"/>
        <v>OUT</v>
      </c>
      <c r="E2103" s="401" t="str">
        <f t="array" ref="E2103">INDIRECT("Tableau!$AB$24")</f>
        <v/>
      </c>
      <c r="F2103" s="399"/>
      <c r="G2103" s="399"/>
      <c r="H2103" s="399"/>
      <c r="I2103" s="399"/>
      <c r="J2103" s="399"/>
      <c r="K2103" s="399"/>
      <c r="L2103" s="399"/>
      <c r="M2103" s="399"/>
      <c r="N2103" s="399"/>
      <c r="O2103" s="399"/>
      <c r="P2103" s="399"/>
      <c r="Q2103" s="399"/>
      <c r="R2103" s="399"/>
      <c r="S2103" s="399"/>
      <c r="T2103" s="399"/>
      <c r="U2103" s="399"/>
      <c r="V2103" s="399"/>
      <c r="W2103" s="399"/>
      <c r="X2103" s="399"/>
    </row>
    <row r="2104">
      <c r="A2104" s="405" t="str">
        <f t="array" ref="A2104">INDIRECT("Tableau!$A$25")</f>
        <v/>
      </c>
      <c r="B2104" s="398" t="s">
        <v>474</v>
      </c>
      <c r="C2104" s="399" t="str">
        <f t="array" ref="C2104">INDIRECT("Tableau!$AA$25")</f>
        <v/>
      </c>
      <c r="D2104" s="399" t="str">
        <f t="shared" si="13"/>
        <v>OUT</v>
      </c>
      <c r="E2104" s="401" t="str">
        <f t="array" ref="E2104">INDIRECT("Tableau!$AB$25")</f>
        <v/>
      </c>
      <c r="F2104" s="399"/>
      <c r="G2104" s="399"/>
      <c r="H2104" s="399"/>
      <c r="I2104" s="399"/>
      <c r="J2104" s="399"/>
      <c r="K2104" s="399"/>
      <c r="L2104" s="399"/>
      <c r="M2104" s="399"/>
      <c r="N2104" s="399"/>
      <c r="O2104" s="399"/>
      <c r="P2104" s="399"/>
      <c r="Q2104" s="399"/>
      <c r="R2104" s="399"/>
      <c r="S2104" s="399"/>
      <c r="T2104" s="399"/>
      <c r="U2104" s="399"/>
      <c r="V2104" s="399"/>
      <c r="W2104" s="399"/>
      <c r="X2104" s="399"/>
    </row>
    <row r="2105">
      <c r="A2105" s="402">
        <f t="array" ref="A2105">INDIRECT("Tableau!$A$26")</f>
        <v>201</v>
      </c>
      <c r="B2105" s="398" t="s">
        <v>474</v>
      </c>
      <c r="C2105" s="399" t="str">
        <f t="array" ref="C2105">INDIRECT("Tableau!$AA$26")</f>
        <v/>
      </c>
      <c r="D2105" s="399" t="str">
        <f t="shared" si="13"/>
        <v>OUT</v>
      </c>
      <c r="E2105" s="401" t="str">
        <f t="array" ref="E2105">INDIRECT("Tableau!$AB$26")</f>
        <v/>
      </c>
      <c r="F2105" s="399"/>
      <c r="G2105" s="399"/>
      <c r="H2105" s="399"/>
      <c r="I2105" s="399"/>
      <c r="J2105" s="399"/>
      <c r="K2105" s="399"/>
      <c r="L2105" s="399"/>
      <c r="M2105" s="399"/>
      <c r="N2105" s="399"/>
      <c r="O2105" s="399"/>
      <c r="P2105" s="399"/>
      <c r="Q2105" s="399"/>
      <c r="R2105" s="399"/>
      <c r="S2105" s="399"/>
      <c r="T2105" s="399"/>
      <c r="U2105" s="399"/>
      <c r="V2105" s="399"/>
      <c r="W2105" s="399"/>
      <c r="X2105" s="399"/>
    </row>
    <row r="2106">
      <c r="A2106" s="402">
        <f t="array" ref="A2106">INDIRECT("Tableau!$A$27")</f>
        <v>202</v>
      </c>
      <c r="B2106" s="398" t="s">
        <v>474</v>
      </c>
      <c r="C2106" s="399" t="str">
        <f t="array" ref="C2106">INDIRECT("Tableau!$AA$27")</f>
        <v/>
      </c>
      <c r="D2106" s="399" t="str">
        <f t="shared" si="13"/>
        <v>OUT</v>
      </c>
      <c r="E2106" s="401" t="str">
        <f t="array" ref="E2106">INDIRECT("Tableau!$AB$27")</f>
        <v/>
      </c>
      <c r="F2106" s="399"/>
      <c r="G2106" s="399"/>
      <c r="H2106" s="399"/>
      <c r="I2106" s="399"/>
      <c r="J2106" s="399"/>
      <c r="K2106" s="399"/>
      <c r="L2106" s="399"/>
      <c r="M2106" s="399"/>
      <c r="N2106" s="399"/>
      <c r="O2106" s="399"/>
      <c r="P2106" s="399"/>
      <c r="Q2106" s="399"/>
      <c r="R2106" s="399"/>
      <c r="S2106" s="399"/>
      <c r="T2106" s="399"/>
      <c r="U2106" s="399"/>
      <c r="V2106" s="399"/>
      <c r="W2106" s="399"/>
      <c r="X2106" s="399"/>
    </row>
    <row r="2107">
      <c r="A2107" s="402">
        <f t="array" ref="A2107">INDIRECT("Tableau!$A$28")</f>
        <v>203</v>
      </c>
      <c r="B2107" s="398" t="s">
        <v>474</v>
      </c>
      <c r="C2107" s="399" t="str">
        <f t="array" ref="C2107">INDIRECT("Tableau!$AA$28")</f>
        <v/>
      </c>
      <c r="D2107" s="399" t="str">
        <f t="shared" si="13"/>
        <v>OUT</v>
      </c>
      <c r="E2107" s="401" t="str">
        <f t="array" ref="E2107">INDIRECT("Tableau!$AB$28")</f>
        <v/>
      </c>
      <c r="F2107" s="399"/>
      <c r="G2107" s="399"/>
      <c r="H2107" s="399"/>
      <c r="I2107" s="399"/>
      <c r="J2107" s="399"/>
      <c r="K2107" s="399"/>
      <c r="L2107" s="399"/>
      <c r="M2107" s="399"/>
      <c r="N2107" s="399"/>
      <c r="O2107" s="399"/>
      <c r="P2107" s="399"/>
      <c r="Q2107" s="399"/>
      <c r="R2107" s="399"/>
      <c r="S2107" s="399"/>
      <c r="T2107" s="399"/>
      <c r="U2107" s="399"/>
      <c r="V2107" s="399"/>
      <c r="W2107" s="399"/>
      <c r="X2107" s="399"/>
    </row>
    <row r="2108">
      <c r="A2108" s="402">
        <f t="array" ref="A2108">INDIRECT("Tableau!$A$29")</f>
        <v>204</v>
      </c>
      <c r="B2108" s="398" t="s">
        <v>474</v>
      </c>
      <c r="C2108" s="399" t="str">
        <f t="array" ref="C2108">INDIRECT("Tableau!$AA$29")</f>
        <v/>
      </c>
      <c r="D2108" s="399" t="str">
        <f t="shared" si="13"/>
        <v>OUT</v>
      </c>
      <c r="E2108" s="401" t="str">
        <f t="array" ref="E2108">INDIRECT("Tableau!$AB$29")</f>
        <v/>
      </c>
      <c r="F2108" s="399"/>
      <c r="G2108" s="399"/>
      <c r="H2108" s="399"/>
      <c r="I2108" s="399"/>
      <c r="J2108" s="399"/>
      <c r="K2108" s="399"/>
      <c r="L2108" s="399"/>
      <c r="M2108" s="399"/>
      <c r="N2108" s="399"/>
      <c r="O2108" s="399"/>
      <c r="P2108" s="399"/>
      <c r="Q2108" s="399"/>
      <c r="R2108" s="399"/>
      <c r="S2108" s="399"/>
      <c r="T2108" s="399"/>
      <c r="U2108" s="399"/>
      <c r="V2108" s="399"/>
      <c r="W2108" s="399"/>
      <c r="X2108" s="399"/>
    </row>
    <row r="2109">
      <c r="A2109" s="402">
        <f t="array" ref="A2109">INDIRECT("Tableau!$A$30")</f>
        <v>205</v>
      </c>
      <c r="B2109" s="398" t="s">
        <v>474</v>
      </c>
      <c r="C2109" s="399" t="str">
        <f t="array" ref="C2109">INDIRECT("Tableau!$AA$30")</f>
        <v/>
      </c>
      <c r="D2109" s="399" t="str">
        <f t="shared" si="13"/>
        <v>OUT</v>
      </c>
      <c r="E2109" s="401" t="str">
        <f t="array" ref="E2109">INDIRECT("Tableau!$AB$30")</f>
        <v/>
      </c>
      <c r="F2109" s="399"/>
      <c r="G2109" s="399"/>
      <c r="H2109" s="399"/>
      <c r="I2109" s="399"/>
      <c r="J2109" s="399"/>
      <c r="K2109" s="399"/>
      <c r="L2109" s="399"/>
      <c r="M2109" s="399"/>
      <c r="N2109" s="399"/>
      <c r="O2109" s="399"/>
      <c r="P2109" s="399"/>
      <c r="Q2109" s="399"/>
      <c r="R2109" s="399"/>
      <c r="S2109" s="399"/>
      <c r="T2109" s="399"/>
      <c r="U2109" s="399"/>
      <c r="V2109" s="399"/>
      <c r="W2109" s="399"/>
      <c r="X2109" s="399"/>
    </row>
    <row r="2110">
      <c r="A2110" s="402">
        <f t="array" ref="A2110">INDIRECT("Tableau!$A$31")</f>
        <v>206</v>
      </c>
      <c r="B2110" s="398" t="s">
        <v>474</v>
      </c>
      <c r="C2110" s="399" t="str">
        <f t="array" ref="C2110">INDIRECT("Tableau!$AA$31")</f>
        <v/>
      </c>
      <c r="D2110" s="399" t="str">
        <f t="shared" si="13"/>
        <v>OUT</v>
      </c>
      <c r="E2110" s="401" t="str">
        <f t="array" ref="E2110">INDIRECT("Tableau!$AB$31")</f>
        <v/>
      </c>
      <c r="F2110" s="399"/>
      <c r="G2110" s="399"/>
      <c r="H2110" s="399"/>
      <c r="I2110" s="399"/>
      <c r="J2110" s="399"/>
      <c r="K2110" s="399"/>
      <c r="L2110" s="399"/>
      <c r="M2110" s="399"/>
      <c r="N2110" s="399"/>
      <c r="O2110" s="399"/>
      <c r="P2110" s="399"/>
      <c r="Q2110" s="399"/>
      <c r="R2110" s="399"/>
      <c r="S2110" s="399"/>
      <c r="T2110" s="399"/>
      <c r="U2110" s="399"/>
      <c r="V2110" s="399"/>
      <c r="W2110" s="399"/>
      <c r="X2110" s="399"/>
    </row>
    <row r="2111">
      <c r="A2111" s="402">
        <f t="array" ref="A2111">INDIRECT("Tableau!$A$32")</f>
        <v>207</v>
      </c>
      <c r="B2111" s="398" t="s">
        <v>474</v>
      </c>
      <c r="C2111" s="399" t="str">
        <f t="array" ref="C2111">INDIRECT("Tableau!$AA$32")</f>
        <v/>
      </c>
      <c r="D2111" s="399" t="str">
        <f t="shared" si="13"/>
        <v>OUT</v>
      </c>
      <c r="E2111" s="401" t="str">
        <f t="array" ref="E2111">INDIRECT("Tableau!$AB$32")</f>
        <v/>
      </c>
      <c r="F2111" s="399"/>
      <c r="G2111" s="399"/>
      <c r="H2111" s="399"/>
      <c r="I2111" s="399"/>
      <c r="J2111" s="399"/>
      <c r="K2111" s="399"/>
      <c r="L2111" s="399"/>
      <c r="M2111" s="399"/>
      <c r="N2111" s="399"/>
      <c r="O2111" s="399"/>
      <c r="P2111" s="399"/>
      <c r="Q2111" s="399"/>
      <c r="R2111" s="399"/>
      <c r="S2111" s="399"/>
      <c r="T2111" s="399"/>
      <c r="U2111" s="399"/>
      <c r="V2111" s="399"/>
      <c r="W2111" s="399"/>
      <c r="X2111" s="399"/>
    </row>
    <row r="2112">
      <c r="A2112" s="402">
        <f t="array" ref="A2112">INDIRECT("Tableau!$A$33")</f>
        <v>208</v>
      </c>
      <c r="B2112" s="398" t="s">
        <v>474</v>
      </c>
      <c r="C2112" s="399" t="str">
        <f t="array" ref="C2112">INDIRECT("Tableau!$AA$33")</f>
        <v/>
      </c>
      <c r="D2112" s="399" t="str">
        <f t="shared" si="13"/>
        <v>OUT</v>
      </c>
      <c r="E2112" s="401" t="str">
        <f t="array" ref="E2112">INDIRECT("Tableau!$AB$33")</f>
        <v/>
      </c>
      <c r="F2112" s="399"/>
      <c r="G2112" s="399"/>
      <c r="H2112" s="399"/>
      <c r="I2112" s="399"/>
      <c r="J2112" s="399"/>
      <c r="K2112" s="399"/>
      <c r="L2112" s="399"/>
      <c r="M2112" s="399"/>
      <c r="N2112" s="399"/>
      <c r="O2112" s="399"/>
      <c r="P2112" s="399"/>
      <c r="Q2112" s="399"/>
      <c r="R2112" s="399"/>
      <c r="S2112" s="399"/>
      <c r="T2112" s="399"/>
      <c r="U2112" s="399"/>
      <c r="V2112" s="399"/>
      <c r="W2112" s="399"/>
      <c r="X2112" s="399"/>
    </row>
    <row r="2113">
      <c r="A2113" s="402">
        <f t="array" ref="A2113">INDIRECT("Tableau!$A$34")</f>
        <v>209</v>
      </c>
      <c r="B2113" s="398" t="s">
        <v>474</v>
      </c>
      <c r="C2113" s="399" t="str">
        <f t="array" ref="C2113">INDIRECT("Tableau!$AA$34")</f>
        <v/>
      </c>
      <c r="D2113" s="399" t="str">
        <f t="shared" si="13"/>
        <v>OUT</v>
      </c>
      <c r="E2113" s="401" t="str">
        <f t="array" ref="E2113">INDIRECT("Tableau!$AB$34")</f>
        <v/>
      </c>
      <c r="F2113" s="399"/>
      <c r="G2113" s="399"/>
      <c r="H2113" s="399"/>
      <c r="I2113" s="399"/>
      <c r="J2113" s="399"/>
      <c r="K2113" s="399"/>
      <c r="L2113" s="399"/>
      <c r="M2113" s="399"/>
      <c r="N2113" s="399"/>
      <c r="O2113" s="399"/>
      <c r="P2113" s="399"/>
      <c r="Q2113" s="399"/>
      <c r="R2113" s="399"/>
      <c r="S2113" s="399"/>
      <c r="T2113" s="399"/>
      <c r="U2113" s="399"/>
      <c r="V2113" s="399"/>
      <c r="W2113" s="399"/>
      <c r="X2113" s="399"/>
    </row>
    <row r="2114">
      <c r="A2114" s="402">
        <f t="array" ref="A2114">INDIRECT("Tableau!$A$35")</f>
        <v>210</v>
      </c>
      <c r="B2114" s="398" t="s">
        <v>474</v>
      </c>
      <c r="C2114" s="399" t="str">
        <f t="array" ref="C2114">INDIRECT("Tableau!$AA$35")</f>
        <v/>
      </c>
      <c r="D2114" s="399" t="str">
        <f t="shared" si="13"/>
        <v>OUT</v>
      </c>
      <c r="E2114" s="401" t="str">
        <f t="array" ref="E2114">INDIRECT("Tableau!$AB$35")</f>
        <v/>
      </c>
      <c r="F2114" s="399"/>
      <c r="G2114" s="399"/>
      <c r="H2114" s="399"/>
      <c r="I2114" s="399"/>
      <c r="J2114" s="399"/>
      <c r="K2114" s="399"/>
      <c r="L2114" s="399"/>
      <c r="M2114" s="399"/>
      <c r="N2114" s="399"/>
      <c r="O2114" s="399"/>
      <c r="P2114" s="399"/>
      <c r="Q2114" s="399"/>
      <c r="R2114" s="399"/>
      <c r="S2114" s="399"/>
      <c r="T2114" s="399"/>
      <c r="U2114" s="399"/>
      <c r="V2114" s="399"/>
      <c r="W2114" s="399"/>
      <c r="X2114" s="399"/>
    </row>
    <row r="2115">
      <c r="A2115" s="402">
        <f t="array" ref="A2115">INDIRECT("Tableau!$A$36")</f>
        <v>211</v>
      </c>
      <c r="B2115" s="398" t="s">
        <v>474</v>
      </c>
      <c r="C2115" s="399" t="str">
        <f t="array" ref="C2115">INDIRECT("Tableau!$AA$36")</f>
        <v/>
      </c>
      <c r="D2115" s="399" t="str">
        <f t="shared" si="13"/>
        <v>OUT</v>
      </c>
      <c r="E2115" s="401" t="str">
        <f t="array" ref="E2115">INDIRECT("Tableau!$AB$36")</f>
        <v/>
      </c>
      <c r="F2115" s="399"/>
      <c r="G2115" s="399"/>
      <c r="H2115" s="399"/>
      <c r="I2115" s="399"/>
      <c r="J2115" s="399"/>
      <c r="K2115" s="399"/>
      <c r="L2115" s="399"/>
      <c r="M2115" s="399"/>
      <c r="N2115" s="399"/>
      <c r="O2115" s="399"/>
      <c r="P2115" s="399"/>
      <c r="Q2115" s="399"/>
      <c r="R2115" s="399"/>
      <c r="S2115" s="399"/>
      <c r="T2115" s="399"/>
      <c r="U2115" s="399"/>
      <c r="V2115" s="399"/>
      <c r="W2115" s="399"/>
      <c r="X2115" s="399"/>
    </row>
    <row r="2116">
      <c r="A2116" s="402">
        <f t="array" ref="A2116">INDIRECT("Tableau!$A$37")</f>
        <v>212</v>
      </c>
      <c r="B2116" s="398" t="s">
        <v>474</v>
      </c>
      <c r="C2116" s="399" t="str">
        <f t="array" ref="C2116">INDIRECT("Tableau!$AA$37")</f>
        <v/>
      </c>
      <c r="D2116" s="399" t="str">
        <f t="shared" si="13"/>
        <v>OUT</v>
      </c>
      <c r="E2116" s="401" t="str">
        <f t="array" ref="E2116">INDIRECT("Tableau!$AB$37")</f>
        <v/>
      </c>
      <c r="F2116" s="399"/>
      <c r="G2116" s="399"/>
      <c r="H2116" s="399"/>
      <c r="I2116" s="399"/>
      <c r="J2116" s="399"/>
      <c r="K2116" s="399"/>
      <c r="L2116" s="399"/>
      <c r="M2116" s="399"/>
      <c r="N2116" s="399"/>
      <c r="O2116" s="399"/>
      <c r="P2116" s="399"/>
      <c r="Q2116" s="399"/>
      <c r="R2116" s="399"/>
      <c r="S2116" s="399"/>
      <c r="T2116" s="399"/>
      <c r="U2116" s="399"/>
      <c r="V2116" s="399"/>
      <c r="W2116" s="399"/>
      <c r="X2116" s="399"/>
    </row>
    <row r="2117">
      <c r="A2117" s="402">
        <f t="array" ref="A2117">INDIRECT("Tableau!$A$38")</f>
        <v>213</v>
      </c>
      <c r="B2117" s="398" t="s">
        <v>474</v>
      </c>
      <c r="C2117" s="399" t="str">
        <f t="array" ref="C2117">INDIRECT("Tableau!$AA$38")</f>
        <v/>
      </c>
      <c r="D2117" s="399" t="str">
        <f t="shared" si="13"/>
        <v>OUT</v>
      </c>
      <c r="E2117" s="401" t="str">
        <f t="array" ref="E2117">INDIRECT("Tableau!$AB$38")</f>
        <v/>
      </c>
      <c r="F2117" s="399"/>
      <c r="G2117" s="399"/>
      <c r="H2117" s="399"/>
      <c r="I2117" s="399"/>
      <c r="J2117" s="399"/>
      <c r="K2117" s="399"/>
      <c r="L2117" s="399"/>
      <c r="M2117" s="399"/>
      <c r="N2117" s="399"/>
      <c r="O2117" s="399"/>
      <c r="P2117" s="399"/>
      <c r="Q2117" s="399"/>
      <c r="R2117" s="399"/>
      <c r="S2117" s="399"/>
      <c r="T2117" s="399"/>
      <c r="U2117" s="399"/>
      <c r="V2117" s="399"/>
      <c r="W2117" s="399"/>
      <c r="X2117" s="399"/>
    </row>
    <row r="2118">
      <c r="A2118" s="402">
        <f t="array" ref="A2118">INDIRECT("Tableau!$A$39")</f>
        <v>214</v>
      </c>
      <c r="B2118" s="398" t="s">
        <v>474</v>
      </c>
      <c r="C2118" s="399" t="str">
        <f t="array" ref="C2118">INDIRECT("Tableau!$AA$39")</f>
        <v/>
      </c>
      <c r="D2118" s="399" t="str">
        <f t="shared" si="13"/>
        <v>OUT</v>
      </c>
      <c r="E2118" s="401" t="str">
        <f t="array" ref="E2118">INDIRECT("Tableau!$AB$39")</f>
        <v/>
      </c>
      <c r="F2118" s="399"/>
      <c r="G2118" s="399"/>
      <c r="H2118" s="399"/>
      <c r="I2118" s="399"/>
      <c r="J2118" s="399"/>
      <c r="K2118" s="399"/>
      <c r="L2118" s="399"/>
      <c r="M2118" s="399"/>
      <c r="N2118" s="399"/>
      <c r="O2118" s="399"/>
      <c r="P2118" s="399"/>
      <c r="Q2118" s="399"/>
      <c r="R2118" s="399"/>
      <c r="S2118" s="399"/>
      <c r="T2118" s="399"/>
      <c r="U2118" s="399"/>
      <c r="V2118" s="399"/>
      <c r="W2118" s="399"/>
      <c r="X2118" s="399"/>
    </row>
    <row r="2119">
      <c r="A2119" s="402">
        <f t="array" ref="A2119">INDIRECT("Tableau!$A$40")</f>
        <v>215</v>
      </c>
      <c r="B2119" s="398" t="s">
        <v>474</v>
      </c>
      <c r="C2119" s="399" t="str">
        <f t="array" ref="C2119">INDIRECT("Tableau!$AA$40")</f>
        <v/>
      </c>
      <c r="D2119" s="399" t="str">
        <f t="shared" si="13"/>
        <v>OUT</v>
      </c>
      <c r="E2119" s="401" t="str">
        <f t="array" ref="E2119">INDIRECT("Tableau!$AB$40")</f>
        <v/>
      </c>
      <c r="F2119" s="399"/>
      <c r="G2119" s="399"/>
      <c r="H2119" s="399"/>
      <c r="I2119" s="399"/>
      <c r="J2119" s="399"/>
      <c r="K2119" s="399"/>
      <c r="L2119" s="399"/>
      <c r="M2119" s="399"/>
      <c r="N2119" s="399"/>
      <c r="O2119" s="399"/>
      <c r="P2119" s="399"/>
      <c r="Q2119" s="399"/>
      <c r="R2119" s="399"/>
      <c r="S2119" s="399"/>
      <c r="T2119" s="399"/>
      <c r="U2119" s="399"/>
      <c r="V2119" s="399"/>
      <c r="W2119" s="399"/>
      <c r="X2119" s="399"/>
    </row>
    <row r="2120">
      <c r="A2120" s="402">
        <f t="array" ref="A2120">INDIRECT("Tableau!$A$41")</f>
        <v>216</v>
      </c>
      <c r="B2120" s="398" t="s">
        <v>474</v>
      </c>
      <c r="C2120" s="399" t="str">
        <f t="array" ref="C2120">INDIRECT("Tableau!$AA$41")</f>
        <v/>
      </c>
      <c r="D2120" s="399" t="str">
        <f t="shared" si="13"/>
        <v>OUT</v>
      </c>
      <c r="E2120" s="401" t="str">
        <f t="array" ref="E2120">INDIRECT("Tableau!$AB$41")</f>
        <v/>
      </c>
      <c r="F2120" s="399"/>
      <c r="G2120" s="399"/>
      <c r="H2120" s="399"/>
      <c r="I2120" s="399"/>
      <c r="J2120" s="399"/>
      <c r="K2120" s="399"/>
      <c r="L2120" s="399"/>
      <c r="M2120" s="399"/>
      <c r="N2120" s="399"/>
      <c r="O2120" s="399"/>
      <c r="P2120" s="399"/>
      <c r="Q2120" s="399"/>
      <c r="R2120" s="399"/>
      <c r="S2120" s="399"/>
      <c r="T2120" s="399"/>
      <c r="U2120" s="399"/>
      <c r="V2120" s="399"/>
      <c r="W2120" s="399"/>
      <c r="X2120" s="399"/>
    </row>
    <row r="2121">
      <c r="A2121" s="402">
        <f t="array" ref="A2121">INDIRECT("Tableau!$A$42")</f>
        <v>227</v>
      </c>
      <c r="B2121" s="398" t="s">
        <v>474</v>
      </c>
      <c r="C2121" s="399" t="str">
        <f t="array" ref="C2121">INDIRECT("Tableau!$AA$42")</f>
        <v/>
      </c>
      <c r="D2121" s="399" t="str">
        <f t="shared" si="13"/>
        <v>OUT</v>
      </c>
      <c r="E2121" s="401" t="str">
        <f t="array" ref="E2121">INDIRECT("Tableau!$AB$42")</f>
        <v/>
      </c>
      <c r="F2121" s="399"/>
      <c r="G2121" s="399"/>
      <c r="H2121" s="399"/>
      <c r="I2121" s="399"/>
      <c r="J2121" s="399"/>
      <c r="K2121" s="399"/>
      <c r="L2121" s="399"/>
      <c r="M2121" s="399"/>
      <c r="N2121" s="399"/>
      <c r="O2121" s="399"/>
      <c r="P2121" s="399"/>
      <c r="Q2121" s="399"/>
      <c r="R2121" s="399"/>
      <c r="S2121" s="399"/>
      <c r="T2121" s="399"/>
      <c r="U2121" s="399"/>
      <c r="V2121" s="399"/>
      <c r="W2121" s="399"/>
      <c r="X2121" s="399"/>
    </row>
    <row r="2122">
      <c r="A2122" s="402">
        <f t="array" ref="A2122">INDIRECT("Tableau!$A$43")</f>
        <v>217</v>
      </c>
      <c r="B2122" s="398" t="s">
        <v>474</v>
      </c>
      <c r="C2122" s="399" t="str">
        <f t="array" ref="C2122">INDIRECT("Tableau!$AA$43")</f>
        <v/>
      </c>
      <c r="D2122" s="399" t="str">
        <f t="shared" si="13"/>
        <v>OUT</v>
      </c>
      <c r="E2122" s="401" t="str">
        <f t="array" ref="E2122">INDIRECT("Tableau!$AB$43")</f>
        <v/>
      </c>
      <c r="F2122" s="399"/>
      <c r="G2122" s="399"/>
      <c r="H2122" s="399"/>
      <c r="I2122" s="399"/>
      <c r="J2122" s="399"/>
      <c r="K2122" s="399"/>
      <c r="L2122" s="399"/>
      <c r="M2122" s="399"/>
      <c r="N2122" s="399"/>
      <c r="O2122" s="399"/>
      <c r="P2122" s="399"/>
      <c r="Q2122" s="399"/>
      <c r="R2122" s="399"/>
      <c r="S2122" s="399"/>
      <c r="T2122" s="399"/>
      <c r="U2122" s="399"/>
      <c r="V2122" s="399"/>
      <c r="W2122" s="399"/>
      <c r="X2122" s="399"/>
    </row>
    <row r="2123">
      <c r="A2123" s="402">
        <f t="array" ref="A2123">INDIRECT("Tableau!$A$44")</f>
        <v>218</v>
      </c>
      <c r="B2123" s="398" t="s">
        <v>474</v>
      </c>
      <c r="C2123" s="399" t="str">
        <f t="array" ref="C2123">INDIRECT("Tableau!$AA$44")</f>
        <v/>
      </c>
      <c r="D2123" s="399" t="str">
        <f t="shared" si="13"/>
        <v>OUT</v>
      </c>
      <c r="E2123" s="401" t="str">
        <f t="array" ref="E2123">INDIRECT("Tableau!$AB$44")</f>
        <v/>
      </c>
      <c r="F2123" s="399"/>
      <c r="G2123" s="399"/>
      <c r="H2123" s="399"/>
      <c r="I2123" s="399"/>
      <c r="J2123" s="399"/>
      <c r="K2123" s="399"/>
      <c r="L2123" s="399"/>
      <c r="M2123" s="399"/>
      <c r="N2123" s="399"/>
      <c r="O2123" s="399"/>
      <c r="P2123" s="399"/>
      <c r="Q2123" s="399"/>
      <c r="R2123" s="399"/>
      <c r="S2123" s="399"/>
      <c r="T2123" s="399"/>
      <c r="U2123" s="399"/>
      <c r="V2123" s="399"/>
      <c r="W2123" s="399"/>
      <c r="X2123" s="399"/>
    </row>
    <row r="2124">
      <c r="A2124" s="397" t="str">
        <f t="array" ref="A2124">INDIRECT("Tableau!$A$45")</f>
        <v/>
      </c>
      <c r="B2124" s="398" t="s">
        <v>474</v>
      </c>
      <c r="C2124" s="399" t="str">
        <f t="array" ref="C2124">INDIRECT("Tableau!$AA$45")</f>
        <v/>
      </c>
      <c r="D2124" s="399" t="str">
        <f t="shared" si="13"/>
        <v>OUT</v>
      </c>
      <c r="E2124" s="401" t="str">
        <f t="array" ref="E2124">INDIRECT("Tableau!$AB$45")</f>
        <v/>
      </c>
      <c r="F2124" s="399"/>
      <c r="G2124" s="399"/>
      <c r="H2124" s="399"/>
      <c r="I2124" s="399"/>
      <c r="J2124" s="399"/>
      <c r="K2124" s="399"/>
      <c r="L2124" s="399"/>
      <c r="M2124" s="399"/>
      <c r="N2124" s="399"/>
      <c r="O2124" s="399"/>
      <c r="P2124" s="399"/>
      <c r="Q2124" s="399"/>
      <c r="R2124" s="399"/>
      <c r="S2124" s="399"/>
      <c r="T2124" s="399"/>
      <c r="U2124" s="399"/>
      <c r="V2124" s="399"/>
      <c r="W2124" s="399"/>
      <c r="X2124" s="399"/>
    </row>
    <row r="2125">
      <c r="A2125" s="402">
        <f t="array" ref="A2125">INDIRECT("Tableau!$A$46")</f>
        <v>220</v>
      </c>
      <c r="B2125" s="398" t="s">
        <v>474</v>
      </c>
      <c r="C2125" s="399" t="str">
        <f t="array" ref="C2125">INDIRECT("Tableau!$AA$46")</f>
        <v/>
      </c>
      <c r="D2125" s="399" t="str">
        <f t="shared" si="13"/>
        <v>OUT</v>
      </c>
      <c r="E2125" s="401" t="str">
        <f t="array" ref="E2125">INDIRECT("Tableau!$AB$46")</f>
        <v/>
      </c>
      <c r="F2125" s="399"/>
      <c r="G2125" s="399"/>
      <c r="H2125" s="399"/>
      <c r="I2125" s="399"/>
      <c r="J2125" s="399"/>
      <c r="K2125" s="399"/>
      <c r="L2125" s="399"/>
      <c r="M2125" s="399"/>
      <c r="N2125" s="399"/>
      <c r="O2125" s="399"/>
      <c r="P2125" s="399"/>
      <c r="Q2125" s="399"/>
      <c r="R2125" s="399"/>
      <c r="S2125" s="399"/>
      <c r="T2125" s="399"/>
      <c r="U2125" s="399"/>
      <c r="V2125" s="399"/>
      <c r="W2125" s="399"/>
      <c r="X2125" s="399"/>
    </row>
    <row r="2126">
      <c r="A2126" s="402">
        <f t="array" ref="A2126">INDIRECT("Tableau!$A$47")</f>
        <v>221</v>
      </c>
      <c r="B2126" s="398" t="s">
        <v>474</v>
      </c>
      <c r="C2126" s="399" t="str">
        <f t="array" ref="C2126">INDIRECT("Tableau!$AA$47")</f>
        <v/>
      </c>
      <c r="D2126" s="399" t="str">
        <f t="shared" si="13"/>
        <v>OUT</v>
      </c>
      <c r="E2126" s="401" t="str">
        <f t="array" ref="E2126">INDIRECT("Tableau!$AB$47")</f>
        <v/>
      </c>
      <c r="F2126" s="399"/>
      <c r="G2126" s="399"/>
      <c r="H2126" s="399"/>
      <c r="I2126" s="399"/>
      <c r="J2126" s="399"/>
      <c r="K2126" s="399"/>
      <c r="L2126" s="399"/>
      <c r="M2126" s="399"/>
      <c r="N2126" s="399"/>
      <c r="O2126" s="399"/>
      <c r="P2126" s="399"/>
      <c r="Q2126" s="399"/>
      <c r="R2126" s="399"/>
      <c r="S2126" s="399"/>
      <c r="T2126" s="399"/>
      <c r="U2126" s="399"/>
      <c r="V2126" s="399"/>
      <c r="W2126" s="399"/>
      <c r="X2126" s="399"/>
    </row>
    <row r="2127">
      <c r="A2127" s="402">
        <f t="array" ref="A2127">INDIRECT("Tableau!$A$48")</f>
        <v>226</v>
      </c>
      <c r="B2127" s="398" t="s">
        <v>474</v>
      </c>
      <c r="C2127" s="399" t="str">
        <f t="array" ref="C2127">INDIRECT("Tableau!$AA$48")</f>
        <v/>
      </c>
      <c r="D2127" s="399" t="str">
        <f t="shared" si="13"/>
        <v>OUT</v>
      </c>
      <c r="E2127" s="401" t="str">
        <f t="array" ref="E2127">INDIRECT("Tableau!$AB$48")</f>
        <v/>
      </c>
      <c r="F2127" s="399"/>
      <c r="G2127" s="399"/>
      <c r="H2127" s="399"/>
      <c r="I2127" s="399"/>
      <c r="J2127" s="399"/>
      <c r="K2127" s="399"/>
      <c r="L2127" s="399"/>
      <c r="M2127" s="399"/>
      <c r="N2127" s="399"/>
      <c r="O2127" s="399"/>
      <c r="P2127" s="399"/>
      <c r="Q2127" s="399"/>
      <c r="R2127" s="399"/>
      <c r="S2127" s="399"/>
      <c r="T2127" s="399"/>
      <c r="U2127" s="399"/>
      <c r="V2127" s="399"/>
      <c r="W2127" s="399"/>
      <c r="X2127" s="399"/>
    </row>
    <row r="2128">
      <c r="A2128" s="402">
        <f t="array" ref="A2128">INDIRECT("Tableau!$A$49")</f>
        <v>222</v>
      </c>
      <c r="B2128" s="398" t="s">
        <v>474</v>
      </c>
      <c r="C2128" s="399" t="str">
        <f t="array" ref="C2128">INDIRECT("Tableau!$AA$49")</f>
        <v/>
      </c>
      <c r="D2128" s="399" t="str">
        <f t="shared" si="13"/>
        <v>OUT</v>
      </c>
      <c r="E2128" s="401" t="str">
        <f t="array" ref="E2128">INDIRECT("Tableau!$AB$49")</f>
        <v/>
      </c>
      <c r="F2128" s="399"/>
      <c r="G2128" s="399"/>
      <c r="H2128" s="399"/>
      <c r="I2128" s="399"/>
      <c r="J2128" s="399"/>
      <c r="K2128" s="399"/>
      <c r="L2128" s="399"/>
      <c r="M2128" s="399"/>
      <c r="N2128" s="399"/>
      <c r="O2128" s="399"/>
      <c r="P2128" s="399"/>
      <c r="Q2128" s="399"/>
      <c r="R2128" s="399"/>
      <c r="S2128" s="399"/>
      <c r="T2128" s="399"/>
      <c r="U2128" s="399"/>
      <c r="V2128" s="399"/>
      <c r="W2128" s="399"/>
      <c r="X2128" s="399"/>
    </row>
    <row r="2129">
      <c r="A2129" s="402">
        <f t="array" ref="A2129">INDIRECT("Tableau!$A$50")</f>
        <v>224</v>
      </c>
      <c r="B2129" s="398" t="s">
        <v>474</v>
      </c>
      <c r="C2129" s="399" t="str">
        <f t="array" ref="C2129">INDIRECT("Tableau!$AA$50")</f>
        <v/>
      </c>
      <c r="D2129" s="399" t="str">
        <f t="shared" si="13"/>
        <v>OUT</v>
      </c>
      <c r="E2129" s="401" t="str">
        <f t="array" ref="E2129">INDIRECT("Tableau!$AB$50")</f>
        <v/>
      </c>
      <c r="F2129" s="399"/>
      <c r="G2129" s="399"/>
      <c r="H2129" s="399"/>
      <c r="I2129" s="399"/>
      <c r="J2129" s="399"/>
      <c r="K2129" s="399"/>
      <c r="L2129" s="399"/>
      <c r="M2129" s="399"/>
      <c r="N2129" s="399"/>
      <c r="O2129" s="399"/>
      <c r="P2129" s="399"/>
      <c r="Q2129" s="399"/>
      <c r="R2129" s="399"/>
      <c r="S2129" s="399"/>
      <c r="T2129" s="399"/>
      <c r="U2129" s="399"/>
      <c r="V2129" s="399"/>
      <c r="W2129" s="399"/>
      <c r="X2129" s="399"/>
    </row>
    <row r="2130">
      <c r="A2130" s="397">
        <f t="array" ref="A2130">INDIRECT("Tableau!$A$51")</f>
        <v>223</v>
      </c>
      <c r="B2130" s="398" t="s">
        <v>474</v>
      </c>
      <c r="C2130" s="399" t="str">
        <f t="array" ref="C2130">INDIRECT("Tableau!$AA$51")</f>
        <v/>
      </c>
      <c r="D2130" s="399" t="str">
        <f t="shared" si="13"/>
        <v>OUT</v>
      </c>
      <c r="E2130" s="401" t="str">
        <f t="array" ref="E2130">INDIRECT("Tableau!$AB$51")</f>
        <v/>
      </c>
      <c r="F2130" s="399"/>
      <c r="G2130" s="399"/>
      <c r="H2130" s="399"/>
      <c r="I2130" s="399"/>
      <c r="J2130" s="399"/>
      <c r="K2130" s="399"/>
      <c r="L2130" s="399"/>
      <c r="M2130" s="399"/>
      <c r="N2130" s="399"/>
      <c r="O2130" s="399"/>
      <c r="P2130" s="399"/>
      <c r="Q2130" s="399"/>
      <c r="R2130" s="399"/>
      <c r="S2130" s="399"/>
      <c r="T2130" s="399"/>
      <c r="U2130" s="399"/>
      <c r="V2130" s="399"/>
      <c r="W2130" s="399"/>
      <c r="X2130" s="399"/>
    </row>
    <row r="2131">
      <c r="A2131" s="404">
        <f t="array" ref="A2131">INDIRECT("Tableau!$A$52")</f>
        <v>225</v>
      </c>
      <c r="B2131" s="398" t="s">
        <v>474</v>
      </c>
      <c r="C2131" s="399" t="str">
        <f t="array" ref="C2131">INDIRECT("Tableau!$AA$52")</f>
        <v/>
      </c>
      <c r="D2131" s="399" t="str">
        <f t="shared" si="13"/>
        <v>OUT</v>
      </c>
      <c r="E2131" s="401" t="str">
        <f t="array" ref="E2131">INDIRECT("Tableau!$AB$52")</f>
        <v/>
      </c>
      <c r="F2131" s="399"/>
      <c r="G2131" s="399"/>
      <c r="H2131" s="399"/>
      <c r="I2131" s="399"/>
      <c r="J2131" s="399"/>
      <c r="K2131" s="399"/>
      <c r="L2131" s="399"/>
      <c r="M2131" s="399"/>
      <c r="N2131" s="399"/>
      <c r="O2131" s="399"/>
      <c r="P2131" s="399"/>
      <c r="Q2131" s="399"/>
      <c r="R2131" s="399"/>
      <c r="S2131" s="399"/>
      <c r="T2131" s="399"/>
      <c r="U2131" s="399"/>
      <c r="V2131" s="399"/>
      <c r="W2131" s="399"/>
      <c r="X2131" s="399"/>
    </row>
    <row r="2132">
      <c r="A2132" s="404">
        <f t="array" ref="A2132">INDIRECT("Tableau!$A$53")</f>
        <v>230</v>
      </c>
      <c r="B2132" s="398" t="s">
        <v>474</v>
      </c>
      <c r="C2132" s="399" t="str">
        <f t="array" ref="C2132">INDIRECT("Tableau!$AA$53")</f>
        <v>DEMA</v>
      </c>
      <c r="D2132" s="399" t="str">
        <f t="shared" si="13"/>
        <v>OUT</v>
      </c>
      <c r="E2132" s="401" t="str">
        <f t="array" ref="E2132">INDIRECT("Tableau!$AB$53")</f>
        <v/>
      </c>
      <c r="F2132" s="399"/>
      <c r="G2132" s="399"/>
      <c r="H2132" s="399"/>
      <c r="I2132" s="399"/>
      <c r="J2132" s="399"/>
      <c r="K2132" s="399"/>
      <c r="L2132" s="399"/>
      <c r="M2132" s="399"/>
      <c r="N2132" s="399"/>
      <c r="O2132" s="399"/>
      <c r="P2132" s="399"/>
      <c r="Q2132" s="399"/>
      <c r="R2132" s="399"/>
      <c r="S2132" s="399"/>
      <c r="T2132" s="399"/>
      <c r="U2132" s="399"/>
      <c r="V2132" s="399"/>
      <c r="W2132" s="399"/>
      <c r="X2132" s="399"/>
    </row>
    <row r="2133">
      <c r="A2133" s="405">
        <f t="array" ref="A2133">INDIRECT("Tableau!$A$54")</f>
        <v>231</v>
      </c>
      <c r="B2133" s="398" t="s">
        <v>474</v>
      </c>
      <c r="C2133" s="399" t="str">
        <f t="array" ref="C2133">INDIRECT("Tableau!$AA$54")</f>
        <v/>
      </c>
      <c r="D2133" s="399" t="str">
        <f t="shared" si="13"/>
        <v>OUT</v>
      </c>
      <c r="E2133" s="401" t="str">
        <f t="array" ref="E2133">INDIRECT("Tableau!$AB$54")</f>
        <v/>
      </c>
      <c r="F2133" s="399"/>
      <c r="G2133" s="399"/>
      <c r="H2133" s="399"/>
      <c r="I2133" s="399"/>
      <c r="J2133" s="399"/>
      <c r="K2133" s="399"/>
      <c r="L2133" s="399"/>
      <c r="M2133" s="399"/>
      <c r="N2133" s="399"/>
      <c r="O2133" s="399"/>
      <c r="P2133" s="399"/>
      <c r="Q2133" s="399"/>
      <c r="R2133" s="399"/>
      <c r="S2133" s="399"/>
      <c r="T2133" s="399"/>
      <c r="U2133" s="399"/>
      <c r="V2133" s="399"/>
      <c r="W2133" s="399"/>
      <c r="X2133" s="399"/>
    </row>
    <row r="2134">
      <c r="A2134" s="405" t="str">
        <f t="array" ref="A2134">INDIRECT("Tableau!$A$55")</f>
        <v/>
      </c>
      <c r="B2134" s="398" t="s">
        <v>474</v>
      </c>
      <c r="C2134" s="399" t="str">
        <f t="array" ref="C2134">INDIRECT("Tableau!$AA$55")</f>
        <v/>
      </c>
      <c r="D2134" s="399" t="str">
        <f t="shared" si="13"/>
        <v>OUT</v>
      </c>
      <c r="E2134" s="401" t="str">
        <f t="array" ref="E2134">INDIRECT("Tableau!$AB$55")</f>
        <v/>
      </c>
      <c r="F2134" s="399"/>
      <c r="G2134" s="399"/>
      <c r="H2134" s="399"/>
      <c r="I2134" s="399"/>
      <c r="J2134" s="399"/>
      <c r="K2134" s="399"/>
      <c r="L2134" s="399"/>
      <c r="M2134" s="399"/>
      <c r="N2134" s="399"/>
      <c r="O2134" s="399"/>
      <c r="P2134" s="399"/>
      <c r="Q2134" s="399"/>
      <c r="R2134" s="399"/>
      <c r="S2134" s="399"/>
      <c r="T2134" s="399"/>
      <c r="U2134" s="399"/>
      <c r="V2134" s="399"/>
      <c r="W2134" s="399"/>
      <c r="X2134" s="399"/>
    </row>
    <row r="2135">
      <c r="A2135" s="405" t="str">
        <f t="array" ref="A2135">INDIRECT("Tableau!$A$56")</f>
        <v/>
      </c>
      <c r="B2135" s="398" t="s">
        <v>474</v>
      </c>
      <c r="C2135" s="399" t="str">
        <f t="array" ref="C2135">INDIRECT("Tableau!$AA$56")</f>
        <v/>
      </c>
      <c r="D2135" s="399" t="str">
        <f t="shared" si="13"/>
        <v>OUT</v>
      </c>
      <c r="E2135" s="401" t="str">
        <f t="array" ref="E2135">INDIRECT("Tableau!$AB$56")</f>
        <v/>
      </c>
      <c r="F2135" s="399"/>
      <c r="G2135" s="399"/>
      <c r="H2135" s="399"/>
      <c r="I2135" s="399"/>
      <c r="J2135" s="399"/>
      <c r="K2135" s="399"/>
      <c r="L2135" s="399"/>
      <c r="M2135" s="399"/>
      <c r="N2135" s="399"/>
      <c r="O2135" s="399"/>
      <c r="P2135" s="399"/>
      <c r="Q2135" s="399"/>
      <c r="R2135" s="399"/>
      <c r="S2135" s="399"/>
      <c r="T2135" s="399"/>
      <c r="U2135" s="399"/>
      <c r="V2135" s="399"/>
      <c r="W2135" s="399"/>
      <c r="X2135" s="399"/>
    </row>
    <row r="2136">
      <c r="A2136" s="405" t="str">
        <f t="array" ref="A2136">INDIRECT("Tableau!$A$57")</f>
        <v/>
      </c>
      <c r="B2136" s="398" t="s">
        <v>474</v>
      </c>
      <c r="C2136" s="399" t="str">
        <f t="array" ref="C2136">INDIRECT("Tableau!$AA$57")</f>
        <v/>
      </c>
      <c r="D2136" s="399" t="str">
        <f t="shared" si="13"/>
        <v>OUT</v>
      </c>
      <c r="E2136" s="401" t="str">
        <f t="array" ref="E2136">INDIRECT("Tableau!$AB$57")</f>
        <v/>
      </c>
      <c r="F2136" s="399"/>
      <c r="G2136" s="399"/>
      <c r="H2136" s="399"/>
      <c r="I2136" s="399"/>
      <c r="J2136" s="399"/>
      <c r="K2136" s="399"/>
      <c r="L2136" s="399"/>
      <c r="M2136" s="399"/>
      <c r="N2136" s="399"/>
      <c r="O2136" s="399"/>
      <c r="P2136" s="399"/>
      <c r="Q2136" s="399"/>
      <c r="R2136" s="399"/>
      <c r="S2136" s="399"/>
      <c r="T2136" s="399"/>
      <c r="U2136" s="399"/>
      <c r="V2136" s="399"/>
      <c r="W2136" s="399"/>
      <c r="X2136" s="399"/>
    </row>
    <row r="2137">
      <c r="A2137" s="405" t="str">
        <f t="array" ref="A2137">INDIRECT("Tableau!$A$58")</f>
        <v/>
      </c>
      <c r="B2137" s="398" t="s">
        <v>474</v>
      </c>
      <c r="C2137" s="399" t="str">
        <f t="array" ref="C2137">INDIRECT("Tableau!$AA$58")</f>
        <v/>
      </c>
      <c r="D2137" s="399" t="str">
        <f t="shared" si="13"/>
        <v>OUT</v>
      </c>
      <c r="E2137" s="401" t="str">
        <f t="array" ref="E2137">INDIRECT("Tableau!$AB$58")</f>
        <v/>
      </c>
      <c r="F2137" s="399"/>
      <c r="G2137" s="399"/>
      <c r="H2137" s="399"/>
      <c r="I2137" s="399"/>
      <c r="J2137" s="399"/>
      <c r="K2137" s="399"/>
      <c r="L2137" s="399"/>
      <c r="M2137" s="399"/>
      <c r="N2137" s="399"/>
      <c r="O2137" s="399"/>
      <c r="P2137" s="399"/>
      <c r="Q2137" s="399"/>
      <c r="R2137" s="399"/>
      <c r="S2137" s="399"/>
      <c r="T2137" s="399"/>
      <c r="U2137" s="399"/>
      <c r="V2137" s="399"/>
      <c r="W2137" s="399"/>
      <c r="X2137" s="399"/>
    </row>
    <row r="2138">
      <c r="A2138" s="405" t="str">
        <f t="array" ref="A2138">INDIRECT("Tableau!$A$59")</f>
        <v/>
      </c>
      <c r="B2138" s="398" t="s">
        <v>474</v>
      </c>
      <c r="C2138" s="399" t="str">
        <f t="array" ref="C2138">INDIRECT("Tableau!$AA$59")</f>
        <v/>
      </c>
      <c r="D2138" s="399" t="str">
        <f t="shared" si="13"/>
        <v>OUT</v>
      </c>
      <c r="E2138" s="401" t="str">
        <f t="array" ref="E2138">INDIRECT("Tableau!$AB$59")</f>
        <v/>
      </c>
      <c r="F2138" s="399"/>
      <c r="G2138" s="399"/>
      <c r="H2138" s="399"/>
      <c r="I2138" s="399"/>
      <c r="J2138" s="399"/>
      <c r="K2138" s="399"/>
      <c r="L2138" s="399"/>
      <c r="M2138" s="399"/>
      <c r="N2138" s="399"/>
      <c r="O2138" s="399"/>
      <c r="P2138" s="399"/>
      <c r="Q2138" s="399"/>
      <c r="R2138" s="399"/>
      <c r="S2138" s="399"/>
      <c r="T2138" s="399"/>
      <c r="U2138" s="399"/>
      <c r="V2138" s="399"/>
      <c r="W2138" s="399"/>
      <c r="X2138" s="399"/>
    </row>
    <row r="2139">
      <c r="A2139" s="405" t="str">
        <f t="array" ref="A2139">INDIRECT("Tableau!$A$60")</f>
        <v/>
      </c>
      <c r="B2139" s="398" t="s">
        <v>474</v>
      </c>
      <c r="C2139" s="399" t="str">
        <f t="array" ref="C2139">INDIRECT("Tableau!$AA$60")</f>
        <v/>
      </c>
      <c r="D2139" s="399" t="str">
        <f t="shared" si="13"/>
        <v>OUT</v>
      </c>
      <c r="E2139" s="401" t="str">
        <f t="array" ref="E2139">INDIRECT("Tableau!$AB$60")</f>
        <v/>
      </c>
      <c r="F2139" s="399"/>
      <c r="G2139" s="399"/>
      <c r="H2139" s="399"/>
      <c r="I2139" s="399"/>
      <c r="J2139" s="399"/>
      <c r="K2139" s="399"/>
      <c r="L2139" s="399"/>
      <c r="M2139" s="399"/>
      <c r="N2139" s="399"/>
      <c r="O2139" s="399"/>
      <c r="P2139" s="399"/>
      <c r="Q2139" s="399"/>
      <c r="R2139" s="399"/>
      <c r="S2139" s="399"/>
      <c r="T2139" s="399"/>
      <c r="U2139" s="399"/>
      <c r="V2139" s="399"/>
      <c r="W2139" s="399"/>
      <c r="X2139" s="399"/>
    </row>
    <row r="2140">
      <c r="A2140" s="405" t="str">
        <f t="array" ref="A2140">INDIRECT("Tableau!$A$61")</f>
        <v/>
      </c>
      <c r="B2140" s="398" t="s">
        <v>474</v>
      </c>
      <c r="C2140" s="399" t="str">
        <f t="array" ref="C2140">INDIRECT("Tableau!$AA$61")</f>
        <v/>
      </c>
      <c r="D2140" s="399" t="str">
        <f t="shared" si="13"/>
        <v>OUT</v>
      </c>
      <c r="E2140" s="401" t="str">
        <f t="array" ref="E2140">INDIRECT("Tableau!$AB$61")</f>
        <v/>
      </c>
      <c r="F2140" s="399"/>
      <c r="G2140" s="399"/>
      <c r="H2140" s="399"/>
      <c r="I2140" s="399"/>
      <c r="J2140" s="399"/>
      <c r="K2140" s="399"/>
      <c r="L2140" s="399"/>
      <c r="M2140" s="399"/>
      <c r="N2140" s="399"/>
      <c r="O2140" s="399"/>
      <c r="P2140" s="399"/>
      <c r="Q2140" s="399"/>
      <c r="R2140" s="399"/>
      <c r="S2140" s="399"/>
      <c r="T2140" s="399"/>
      <c r="U2140" s="399"/>
      <c r="V2140" s="399"/>
      <c r="W2140" s="399"/>
      <c r="X2140" s="399"/>
    </row>
    <row r="2141">
      <c r="A2141" s="405" t="str">
        <f t="array" ref="A2141">INDIRECT("Tableau!$A$62")</f>
        <v/>
      </c>
      <c r="B2141" s="398" t="s">
        <v>474</v>
      </c>
      <c r="C2141" s="399" t="str">
        <f t="array" ref="C2141">INDIRECT("Tableau!$AA$62")</f>
        <v/>
      </c>
      <c r="D2141" s="399" t="str">
        <f t="shared" si="13"/>
        <v>OUT</v>
      </c>
      <c r="E2141" s="401" t="str">
        <f t="array" ref="E2141">INDIRECT("Tableau!$AB$62")</f>
        <v/>
      </c>
      <c r="F2141" s="399"/>
      <c r="G2141" s="399"/>
      <c r="H2141" s="399"/>
      <c r="I2141" s="399"/>
      <c r="J2141" s="399"/>
      <c r="K2141" s="399"/>
      <c r="L2141" s="399"/>
      <c r="M2141" s="399"/>
      <c r="N2141" s="399"/>
      <c r="O2141" s="399"/>
      <c r="P2141" s="399"/>
      <c r="Q2141" s="399"/>
      <c r="R2141" s="399"/>
      <c r="S2141" s="399"/>
      <c r="T2141" s="399"/>
      <c r="U2141" s="399"/>
      <c r="V2141" s="399"/>
      <c r="W2141" s="399"/>
      <c r="X2141" s="399"/>
    </row>
    <row r="2142">
      <c r="A2142" s="405" t="str">
        <f t="array" ref="A2142">INDIRECT("Tableau!$A$63")</f>
        <v/>
      </c>
      <c r="B2142" s="398" t="s">
        <v>474</v>
      </c>
      <c r="C2142" s="399" t="str">
        <f t="array" ref="C2142">INDIRECT("Tableau!$AA$63")</f>
        <v/>
      </c>
      <c r="D2142" s="399" t="str">
        <f t="shared" si="13"/>
        <v>OUT</v>
      </c>
      <c r="E2142" s="401" t="str">
        <f t="array" ref="E2142">INDIRECT("Tableau!$AB$63")</f>
        <v/>
      </c>
      <c r="F2142" s="399"/>
      <c r="G2142" s="399"/>
      <c r="H2142" s="399"/>
      <c r="I2142" s="399"/>
      <c r="J2142" s="399"/>
      <c r="K2142" s="399"/>
      <c r="L2142" s="399"/>
      <c r="M2142" s="399"/>
      <c r="N2142" s="399"/>
      <c r="O2142" s="399"/>
      <c r="P2142" s="399"/>
      <c r="Q2142" s="399"/>
      <c r="R2142" s="399"/>
      <c r="S2142" s="399"/>
      <c r="T2142" s="399"/>
      <c r="U2142" s="399"/>
      <c r="V2142" s="399"/>
      <c r="W2142" s="399"/>
      <c r="X2142" s="399"/>
    </row>
    <row r="2143">
      <c r="A2143" s="405" t="str">
        <f t="array" ref="A2143">INDIRECT("Tableau!$A$64")</f>
        <v/>
      </c>
      <c r="B2143" s="398" t="s">
        <v>474</v>
      </c>
      <c r="C2143" s="399" t="str">
        <f t="array" ref="C2143">INDIRECT("Tableau!$AA$64")</f>
        <v/>
      </c>
      <c r="D2143" s="399" t="str">
        <f t="shared" si="13"/>
        <v>OUT</v>
      </c>
      <c r="E2143" s="401" t="str">
        <f t="array" ref="E2143">INDIRECT("Tableau!$AB$64")</f>
        <v/>
      </c>
      <c r="F2143" s="399"/>
      <c r="G2143" s="399"/>
      <c r="H2143" s="399"/>
      <c r="I2143" s="399"/>
      <c r="J2143" s="399"/>
      <c r="K2143" s="399"/>
      <c r="L2143" s="399"/>
      <c r="M2143" s="399"/>
      <c r="N2143" s="399"/>
      <c r="O2143" s="399"/>
      <c r="P2143" s="399"/>
      <c r="Q2143" s="399"/>
      <c r="R2143" s="399"/>
      <c r="S2143" s="399"/>
      <c r="T2143" s="399"/>
      <c r="U2143" s="399"/>
      <c r="V2143" s="399"/>
      <c r="W2143" s="399"/>
      <c r="X2143" s="399"/>
    </row>
    <row r="2144">
      <c r="A2144" s="402">
        <f t="array" ref="A2144">INDIRECT("Tableau!$A$65")</f>
        <v>301</v>
      </c>
      <c r="B2144" s="398" t="s">
        <v>474</v>
      </c>
      <c r="C2144" s="399" t="str">
        <f t="array" ref="C2144">INDIRECT("Tableau!$AA$65")</f>
        <v/>
      </c>
      <c r="D2144" s="399" t="str">
        <f t="shared" si="13"/>
        <v>OUT</v>
      </c>
      <c r="E2144" s="401" t="str">
        <f t="array" ref="E2144">INDIRECT("Tableau!$AB$65")</f>
        <v/>
      </c>
      <c r="F2144" s="399"/>
      <c r="G2144" s="399"/>
      <c r="H2144" s="399"/>
      <c r="I2144" s="399"/>
      <c r="J2144" s="399"/>
      <c r="K2144" s="399"/>
      <c r="L2144" s="399"/>
      <c r="M2144" s="399"/>
      <c r="N2144" s="399"/>
      <c r="O2144" s="399"/>
      <c r="P2144" s="399"/>
      <c r="Q2144" s="399"/>
      <c r="R2144" s="399"/>
      <c r="S2144" s="399"/>
      <c r="T2144" s="399"/>
      <c r="U2144" s="399"/>
      <c r="V2144" s="399"/>
      <c r="W2144" s="399"/>
      <c r="X2144" s="399"/>
    </row>
    <row r="2145">
      <c r="A2145" s="397" t="str">
        <f t="array" ref="A2145">INDIRECT("Tableau!$A$66")</f>
        <v/>
      </c>
      <c r="B2145" s="398" t="s">
        <v>474</v>
      </c>
      <c r="C2145" s="399" t="str">
        <f t="array" ref="C2145">INDIRECT("Tableau!$AA$66")</f>
        <v/>
      </c>
      <c r="D2145" s="399" t="str">
        <f t="shared" si="13"/>
        <v>OUT</v>
      </c>
      <c r="E2145" s="401" t="str">
        <f t="array" ref="E2145">INDIRECT("Tableau!$AB$66")</f>
        <v/>
      </c>
      <c r="F2145" s="399"/>
      <c r="G2145" s="399"/>
      <c r="H2145" s="399"/>
      <c r="I2145" s="399"/>
      <c r="J2145" s="399"/>
      <c r="K2145" s="399"/>
      <c r="L2145" s="399"/>
      <c r="M2145" s="399"/>
      <c r="N2145" s="399"/>
      <c r="O2145" s="399"/>
      <c r="P2145" s="399"/>
      <c r="Q2145" s="399"/>
      <c r="R2145" s="399"/>
      <c r="S2145" s="399"/>
      <c r="T2145" s="399"/>
      <c r="U2145" s="399"/>
      <c r="V2145" s="399"/>
      <c r="W2145" s="399"/>
      <c r="X2145" s="399"/>
    </row>
    <row r="2146">
      <c r="A2146" s="402">
        <f t="array" ref="A2146">INDIRECT("Tableau!$A$67")</f>
        <v>303</v>
      </c>
      <c r="B2146" s="398" t="s">
        <v>474</v>
      </c>
      <c r="C2146" s="399" t="str">
        <f t="array" ref="C2146">INDIRECT("Tableau!$AA$67")</f>
        <v/>
      </c>
      <c r="D2146" s="399" t="str">
        <f t="shared" si="13"/>
        <v>OUT</v>
      </c>
      <c r="E2146" s="401" t="str">
        <f t="array" ref="E2146">INDIRECT("Tableau!$AB$67")</f>
        <v/>
      </c>
      <c r="F2146" s="399"/>
      <c r="G2146" s="399"/>
      <c r="H2146" s="399"/>
      <c r="I2146" s="399"/>
      <c r="J2146" s="399"/>
      <c r="K2146" s="399"/>
      <c r="L2146" s="399"/>
      <c r="M2146" s="399"/>
      <c r="N2146" s="399"/>
      <c r="O2146" s="399"/>
      <c r="P2146" s="399"/>
      <c r="Q2146" s="399"/>
      <c r="R2146" s="399"/>
      <c r="S2146" s="399"/>
      <c r="T2146" s="399"/>
      <c r="U2146" s="399"/>
      <c r="V2146" s="399"/>
      <c r="W2146" s="399"/>
      <c r="X2146" s="399"/>
    </row>
    <row r="2147">
      <c r="A2147" s="402">
        <f t="array" ref="A2147">INDIRECT("Tableau!$A$68")</f>
        <v>304</v>
      </c>
      <c r="B2147" s="398" t="s">
        <v>474</v>
      </c>
      <c r="C2147" s="399" t="str">
        <f t="array" ref="C2147">INDIRECT("Tableau!$AA$68")</f>
        <v/>
      </c>
      <c r="D2147" s="399" t="str">
        <f t="shared" si="13"/>
        <v>OUT</v>
      </c>
      <c r="E2147" s="401" t="str">
        <f t="array" ref="E2147">INDIRECT("Tableau!$AB$68")</f>
        <v/>
      </c>
      <c r="F2147" s="399"/>
      <c r="G2147" s="399"/>
      <c r="H2147" s="399"/>
      <c r="I2147" s="399"/>
      <c r="J2147" s="399"/>
      <c r="K2147" s="399"/>
      <c r="L2147" s="399"/>
      <c r="M2147" s="399"/>
      <c r="N2147" s="399"/>
      <c r="O2147" s="399"/>
      <c r="P2147" s="399"/>
      <c r="Q2147" s="399"/>
      <c r="R2147" s="399"/>
      <c r="S2147" s="399"/>
      <c r="T2147" s="399"/>
      <c r="U2147" s="399"/>
      <c r="V2147" s="399"/>
      <c r="W2147" s="399"/>
      <c r="X2147" s="399"/>
    </row>
    <row r="2148">
      <c r="A2148" s="402">
        <f t="array" ref="A2148">INDIRECT("Tableau!$A$69")</f>
        <v>305</v>
      </c>
      <c r="B2148" s="398" t="s">
        <v>474</v>
      </c>
      <c r="C2148" s="399" t="str">
        <f t="array" ref="C2148">INDIRECT("Tableau!$AA$69")</f>
        <v/>
      </c>
      <c r="D2148" s="399" t="str">
        <f t="shared" si="13"/>
        <v>OUT</v>
      </c>
      <c r="E2148" s="401" t="str">
        <f t="array" ref="E2148">INDIRECT("Tableau!$AB$69")</f>
        <v/>
      </c>
      <c r="F2148" s="399"/>
      <c r="G2148" s="399"/>
      <c r="H2148" s="399"/>
      <c r="I2148" s="399"/>
      <c r="J2148" s="399"/>
      <c r="K2148" s="399"/>
      <c r="L2148" s="399"/>
      <c r="M2148" s="399"/>
      <c r="N2148" s="399"/>
      <c r="O2148" s="399"/>
      <c r="P2148" s="399"/>
      <c r="Q2148" s="399"/>
      <c r="R2148" s="399"/>
      <c r="S2148" s="399"/>
      <c r="T2148" s="399"/>
      <c r="U2148" s="399"/>
      <c r="V2148" s="399"/>
      <c r="W2148" s="399"/>
      <c r="X2148" s="399"/>
    </row>
    <row r="2149">
      <c r="A2149" s="402">
        <f t="array" ref="A2149">INDIRECT("Tableau!$A$70")</f>
        <v>306</v>
      </c>
      <c r="B2149" s="398" t="s">
        <v>474</v>
      </c>
      <c r="C2149" s="399" t="str">
        <f t="array" ref="C2149">INDIRECT("Tableau!$AA$70")</f>
        <v/>
      </c>
      <c r="D2149" s="399" t="str">
        <f t="shared" si="13"/>
        <v>OUT</v>
      </c>
      <c r="E2149" s="401" t="str">
        <f t="array" ref="E2149">INDIRECT("Tableau!$AB$70")</f>
        <v/>
      </c>
      <c r="F2149" s="399"/>
      <c r="G2149" s="399"/>
      <c r="H2149" s="399"/>
      <c r="I2149" s="399"/>
      <c r="J2149" s="399"/>
      <c r="K2149" s="399"/>
      <c r="L2149" s="399"/>
      <c r="M2149" s="399"/>
      <c r="N2149" s="399"/>
      <c r="O2149" s="399"/>
      <c r="P2149" s="399"/>
      <c r="Q2149" s="399"/>
      <c r="R2149" s="399"/>
      <c r="S2149" s="399"/>
      <c r="T2149" s="399"/>
      <c r="U2149" s="399"/>
      <c r="V2149" s="399"/>
      <c r="W2149" s="399"/>
      <c r="X2149" s="399"/>
    </row>
    <row r="2150">
      <c r="A2150" s="402">
        <f t="array" ref="A2150">INDIRECT("Tableau!$A$71")</f>
        <v>307</v>
      </c>
      <c r="B2150" s="398" t="s">
        <v>474</v>
      </c>
      <c r="C2150" s="399" t="str">
        <f t="array" ref="C2150">INDIRECT("Tableau!$AA$71")</f>
        <v/>
      </c>
      <c r="D2150" s="399" t="str">
        <f t="shared" si="13"/>
        <v>OUT</v>
      </c>
      <c r="E2150" s="401" t="str">
        <f t="array" ref="E2150">INDIRECT("Tableau!$AB$71")</f>
        <v/>
      </c>
      <c r="F2150" s="399"/>
      <c r="G2150" s="399"/>
      <c r="H2150" s="399"/>
      <c r="I2150" s="399"/>
      <c r="J2150" s="399"/>
      <c r="K2150" s="399"/>
      <c r="L2150" s="399"/>
      <c r="M2150" s="399"/>
      <c r="N2150" s="399"/>
      <c r="O2150" s="399"/>
      <c r="P2150" s="399"/>
      <c r="Q2150" s="399"/>
      <c r="R2150" s="399"/>
      <c r="S2150" s="399"/>
      <c r="T2150" s="399"/>
      <c r="U2150" s="399"/>
      <c r="V2150" s="399"/>
      <c r="W2150" s="399"/>
      <c r="X2150" s="399"/>
    </row>
    <row r="2151">
      <c r="A2151" s="397">
        <f t="array" ref="A2151">INDIRECT("Tableau!$A$72")</f>
        <v>367</v>
      </c>
      <c r="B2151" s="398" t="s">
        <v>474</v>
      </c>
      <c r="C2151" s="399" t="str">
        <f t="array" ref="C2151">INDIRECT("Tableau!$AA$72")</f>
        <v/>
      </c>
      <c r="D2151" s="399" t="str">
        <f t="shared" si="13"/>
        <v>OUT</v>
      </c>
      <c r="E2151" s="401" t="str">
        <f t="array" ref="E2151">INDIRECT("Tableau!$AB$72")</f>
        <v/>
      </c>
      <c r="F2151" s="399"/>
      <c r="G2151" s="399"/>
      <c r="H2151" s="399"/>
      <c r="I2151" s="399"/>
      <c r="J2151" s="399"/>
      <c r="K2151" s="399"/>
      <c r="L2151" s="399"/>
      <c r="M2151" s="399"/>
      <c r="N2151" s="399"/>
      <c r="O2151" s="399"/>
      <c r="P2151" s="399"/>
      <c r="Q2151" s="399"/>
      <c r="R2151" s="399"/>
      <c r="S2151" s="399"/>
      <c r="T2151" s="399"/>
      <c r="U2151" s="399"/>
      <c r="V2151" s="399"/>
      <c r="W2151" s="399"/>
      <c r="X2151" s="399"/>
    </row>
    <row r="2152">
      <c r="A2152" s="402">
        <f t="array" ref="A2152">INDIRECT("Tableau!$A$73")</f>
        <v>308</v>
      </c>
      <c r="B2152" s="398" t="s">
        <v>474</v>
      </c>
      <c r="C2152" s="399" t="str">
        <f t="array" ref="C2152">INDIRECT("Tableau!$AA$73")</f>
        <v/>
      </c>
      <c r="D2152" s="399" t="str">
        <f t="shared" si="13"/>
        <v>OUT</v>
      </c>
      <c r="E2152" s="401" t="str">
        <f t="array" ref="E2152">INDIRECT("Tableau!$AB$73")</f>
        <v/>
      </c>
      <c r="F2152" s="399"/>
      <c r="G2152" s="399"/>
      <c r="H2152" s="399"/>
      <c r="I2152" s="399"/>
      <c r="J2152" s="399"/>
      <c r="K2152" s="399"/>
      <c r="L2152" s="399"/>
      <c r="M2152" s="399"/>
      <c r="N2152" s="399"/>
      <c r="O2152" s="399"/>
      <c r="P2152" s="399"/>
      <c r="Q2152" s="399"/>
      <c r="R2152" s="399"/>
      <c r="S2152" s="399"/>
      <c r="T2152" s="399"/>
      <c r="U2152" s="399"/>
      <c r="V2152" s="399"/>
      <c r="W2152" s="399"/>
      <c r="X2152" s="399"/>
    </row>
    <row r="2153">
      <c r="A2153" s="397">
        <f t="array" ref="A2153">INDIRECT("Tableau!$A$74")</f>
        <v>319</v>
      </c>
      <c r="B2153" s="398" t="s">
        <v>474</v>
      </c>
      <c r="C2153" s="399" t="str">
        <f t="array" ref="C2153">INDIRECT("Tableau!$AA$74")</f>
        <v/>
      </c>
      <c r="D2153" s="399" t="str">
        <f t="shared" si="13"/>
        <v>OUT</v>
      </c>
      <c r="E2153" s="401" t="str">
        <f t="array" ref="E2153">INDIRECT("Tableau!$AB$74")</f>
        <v/>
      </c>
      <c r="F2153" s="399"/>
      <c r="G2153" s="399"/>
      <c r="H2153" s="399"/>
      <c r="I2153" s="399"/>
      <c r="J2153" s="399"/>
      <c r="K2153" s="399"/>
      <c r="L2153" s="399"/>
      <c r="M2153" s="399"/>
      <c r="N2153" s="399"/>
      <c r="O2153" s="399"/>
      <c r="P2153" s="399"/>
      <c r="Q2153" s="399"/>
      <c r="R2153" s="399"/>
      <c r="S2153" s="399"/>
      <c r="T2153" s="399"/>
      <c r="U2153" s="399"/>
      <c r="V2153" s="399"/>
      <c r="W2153" s="399"/>
      <c r="X2153" s="399"/>
    </row>
    <row r="2154">
      <c r="A2154" s="402">
        <f t="array" ref="A2154">INDIRECT("Tableau!$A$75")</f>
        <v>309</v>
      </c>
      <c r="B2154" s="398" t="s">
        <v>474</v>
      </c>
      <c r="C2154" s="399" t="str">
        <f t="array" ref="C2154">INDIRECT("Tableau!$AA$75")</f>
        <v/>
      </c>
      <c r="D2154" s="399" t="str">
        <f t="shared" si="13"/>
        <v>OUT</v>
      </c>
      <c r="E2154" s="401" t="str">
        <f t="array" ref="E2154">INDIRECT("Tableau!$AB$75")</f>
        <v/>
      </c>
      <c r="F2154" s="399"/>
      <c r="G2154" s="399"/>
      <c r="H2154" s="399"/>
      <c r="I2154" s="399"/>
      <c r="J2154" s="399"/>
      <c r="K2154" s="399"/>
      <c r="L2154" s="399"/>
      <c r="M2154" s="399"/>
      <c r="N2154" s="399"/>
      <c r="O2154" s="399"/>
      <c r="P2154" s="399"/>
      <c r="Q2154" s="399"/>
      <c r="R2154" s="399"/>
      <c r="S2154" s="399"/>
      <c r="T2154" s="399"/>
      <c r="U2154" s="399"/>
      <c r="V2154" s="399"/>
      <c r="W2154" s="399"/>
      <c r="X2154" s="399"/>
    </row>
    <row r="2155">
      <c r="A2155" s="402">
        <f t="array" ref="A2155">INDIRECT("Tableau!$A$76")</f>
        <v>310</v>
      </c>
      <c r="B2155" s="398" t="s">
        <v>474</v>
      </c>
      <c r="C2155" s="399" t="str">
        <f t="array" ref="C2155">INDIRECT("Tableau!$AA$76")</f>
        <v/>
      </c>
      <c r="D2155" s="399" t="str">
        <f t="shared" si="13"/>
        <v>OUT</v>
      </c>
      <c r="E2155" s="401" t="str">
        <f t="array" ref="E2155">INDIRECT("Tableau!$AB$76")</f>
        <v/>
      </c>
      <c r="F2155" s="399"/>
      <c r="G2155" s="399"/>
      <c r="H2155" s="399"/>
      <c r="I2155" s="399"/>
      <c r="J2155" s="399"/>
      <c r="K2155" s="399"/>
      <c r="L2155" s="399"/>
      <c r="M2155" s="399"/>
      <c r="N2155" s="399"/>
      <c r="O2155" s="399"/>
      <c r="P2155" s="399"/>
      <c r="Q2155" s="399"/>
      <c r="R2155" s="399"/>
      <c r="S2155" s="399"/>
      <c r="T2155" s="399"/>
      <c r="U2155" s="399"/>
      <c r="V2155" s="399"/>
      <c r="W2155" s="399"/>
      <c r="X2155" s="399"/>
    </row>
    <row r="2156">
      <c r="A2156" s="402">
        <f t="array" ref="A2156">INDIRECT("Tableau!$A$77")</f>
        <v>311</v>
      </c>
      <c r="B2156" s="398" t="s">
        <v>474</v>
      </c>
      <c r="C2156" s="399" t="str">
        <f t="array" ref="C2156">INDIRECT("Tableau!$AA$77")</f>
        <v/>
      </c>
      <c r="D2156" s="399" t="str">
        <f t="shared" si="13"/>
        <v>OUT</v>
      </c>
      <c r="E2156" s="401" t="str">
        <f t="array" ref="E2156">INDIRECT("Tableau!$AB$77")</f>
        <v/>
      </c>
      <c r="F2156" s="399"/>
      <c r="G2156" s="399"/>
      <c r="H2156" s="399"/>
      <c r="I2156" s="399"/>
      <c r="J2156" s="399"/>
      <c r="K2156" s="399"/>
      <c r="L2156" s="399"/>
      <c r="M2156" s="399"/>
      <c r="N2156" s="399"/>
      <c r="O2156" s="399"/>
      <c r="P2156" s="399"/>
      <c r="Q2156" s="399"/>
      <c r="R2156" s="399"/>
      <c r="S2156" s="399"/>
      <c r="T2156" s="399"/>
      <c r="U2156" s="399"/>
      <c r="V2156" s="399"/>
      <c r="W2156" s="399"/>
      <c r="X2156" s="399"/>
    </row>
    <row r="2157">
      <c r="A2157" s="402">
        <f t="array" ref="A2157">INDIRECT("Tableau!$A$78")</f>
        <v>312</v>
      </c>
      <c r="B2157" s="398" t="s">
        <v>474</v>
      </c>
      <c r="C2157" s="399" t="str">
        <f t="array" ref="C2157">INDIRECT("Tableau!$AA$78")</f>
        <v/>
      </c>
      <c r="D2157" s="399" t="str">
        <f t="shared" si="13"/>
        <v>OUT</v>
      </c>
      <c r="E2157" s="401" t="str">
        <f t="array" ref="E2157">INDIRECT("Tableau!$AB$78")</f>
        <v/>
      </c>
      <c r="F2157" s="399"/>
      <c r="G2157" s="399"/>
      <c r="H2157" s="399"/>
      <c r="I2157" s="399"/>
      <c r="J2157" s="399"/>
      <c r="K2157" s="399"/>
      <c r="L2157" s="399"/>
      <c r="M2157" s="399"/>
      <c r="N2157" s="399"/>
      <c r="O2157" s="399"/>
      <c r="P2157" s="399"/>
      <c r="Q2157" s="399"/>
      <c r="R2157" s="399"/>
      <c r="S2157" s="399"/>
      <c r="T2157" s="399"/>
      <c r="U2157" s="399"/>
      <c r="V2157" s="399"/>
      <c r="W2157" s="399"/>
      <c r="X2157" s="399"/>
    </row>
    <row r="2158">
      <c r="A2158" s="402">
        <f t="array" ref="A2158">INDIRECT("Tableau!$A$79")</f>
        <v>313</v>
      </c>
      <c r="B2158" s="398" t="s">
        <v>474</v>
      </c>
      <c r="C2158" s="399" t="str">
        <f t="array" ref="C2158">INDIRECT("Tableau!$AA$79")</f>
        <v/>
      </c>
      <c r="D2158" s="399" t="str">
        <f t="shared" si="13"/>
        <v>OUT</v>
      </c>
      <c r="E2158" s="401" t="str">
        <f t="array" ref="E2158">INDIRECT("Tableau!$AB$79")</f>
        <v/>
      </c>
      <c r="F2158" s="399"/>
      <c r="G2158" s="399"/>
      <c r="H2158" s="399"/>
      <c r="I2158" s="399"/>
      <c r="J2158" s="399"/>
      <c r="K2158" s="399"/>
      <c r="L2158" s="399"/>
      <c r="M2158" s="399"/>
      <c r="N2158" s="399"/>
      <c r="O2158" s="399"/>
      <c r="P2158" s="399"/>
      <c r="Q2158" s="399"/>
      <c r="R2158" s="399"/>
      <c r="S2158" s="399"/>
      <c r="T2158" s="399"/>
      <c r="U2158" s="399"/>
      <c r="V2158" s="399"/>
      <c r="W2158" s="399"/>
      <c r="X2158" s="399"/>
    </row>
    <row r="2159">
      <c r="A2159" s="402">
        <f t="array" ref="A2159">INDIRECT("Tableau!$A$80")</f>
        <v>314</v>
      </c>
      <c r="B2159" s="398" t="s">
        <v>474</v>
      </c>
      <c r="C2159" s="399" t="str">
        <f t="array" ref="C2159">INDIRECT("Tableau!$AA$80")</f>
        <v/>
      </c>
      <c r="D2159" s="399" t="str">
        <f t="shared" si="13"/>
        <v>OUT</v>
      </c>
      <c r="E2159" s="401" t="str">
        <f t="array" ref="E2159">INDIRECT("Tableau!$AB$80")</f>
        <v/>
      </c>
      <c r="F2159" s="399"/>
      <c r="G2159" s="399"/>
      <c r="H2159" s="399"/>
      <c r="I2159" s="399"/>
      <c r="J2159" s="399"/>
      <c r="K2159" s="399"/>
      <c r="L2159" s="399"/>
      <c r="M2159" s="399"/>
      <c r="N2159" s="399"/>
      <c r="O2159" s="399"/>
      <c r="P2159" s="399"/>
      <c r="Q2159" s="399"/>
      <c r="R2159" s="399"/>
      <c r="S2159" s="399"/>
      <c r="T2159" s="399"/>
      <c r="U2159" s="399"/>
      <c r="V2159" s="399"/>
      <c r="W2159" s="399"/>
      <c r="X2159" s="399"/>
    </row>
    <row r="2160">
      <c r="A2160" s="402">
        <f t="array" ref="A2160">INDIRECT("Tableau!$A$81")</f>
        <v>315</v>
      </c>
      <c r="B2160" s="398" t="s">
        <v>474</v>
      </c>
      <c r="C2160" s="399" t="str">
        <f t="array" ref="C2160">INDIRECT("Tableau!$AA$81")</f>
        <v/>
      </c>
      <c r="D2160" s="399" t="str">
        <f t="shared" si="13"/>
        <v>OUT</v>
      </c>
      <c r="E2160" s="401" t="str">
        <f t="array" ref="E2160">INDIRECT("Tableau!$AB$81")</f>
        <v/>
      </c>
      <c r="F2160" s="399"/>
      <c r="G2160" s="399"/>
      <c r="H2160" s="399"/>
      <c r="I2160" s="399"/>
      <c r="J2160" s="399"/>
      <c r="K2160" s="399"/>
      <c r="L2160" s="399"/>
      <c r="M2160" s="399"/>
      <c r="N2160" s="399"/>
      <c r="O2160" s="399"/>
      <c r="P2160" s="399"/>
      <c r="Q2160" s="399"/>
      <c r="R2160" s="399"/>
      <c r="S2160" s="399"/>
      <c r="T2160" s="399"/>
      <c r="U2160" s="399"/>
      <c r="V2160" s="399"/>
      <c r="W2160" s="399"/>
      <c r="X2160" s="399"/>
    </row>
    <row r="2161">
      <c r="A2161" s="402">
        <f t="array" ref="A2161">INDIRECT("Tableau!$A$82")</f>
        <v>316</v>
      </c>
      <c r="B2161" s="398" t="s">
        <v>474</v>
      </c>
      <c r="C2161" s="399" t="str">
        <f t="array" ref="C2161">INDIRECT("Tableau!$AA$82")</f>
        <v/>
      </c>
      <c r="D2161" s="399" t="str">
        <f t="shared" si="13"/>
        <v>OUT</v>
      </c>
      <c r="E2161" s="401" t="str">
        <f t="array" ref="E2161">INDIRECT("Tableau!$AB$82")</f>
        <v/>
      </c>
      <c r="F2161" s="399"/>
      <c r="G2161" s="399"/>
      <c r="H2161" s="399"/>
      <c r="I2161" s="399"/>
      <c r="J2161" s="399"/>
      <c r="K2161" s="399"/>
      <c r="L2161" s="399"/>
      <c r="M2161" s="399"/>
      <c r="N2161" s="399"/>
      <c r="O2161" s="399"/>
      <c r="P2161" s="399"/>
      <c r="Q2161" s="399"/>
      <c r="R2161" s="399"/>
      <c r="S2161" s="399"/>
      <c r="T2161" s="399"/>
      <c r="U2161" s="399"/>
      <c r="V2161" s="399"/>
      <c r="W2161" s="399"/>
      <c r="X2161" s="399"/>
    </row>
    <row r="2162">
      <c r="A2162" s="402">
        <f t="array" ref="A2162">INDIRECT("Tableau!$A$83")</f>
        <v>317</v>
      </c>
      <c r="B2162" s="398" t="s">
        <v>474</v>
      </c>
      <c r="C2162" s="399" t="str">
        <f t="array" ref="C2162">INDIRECT("Tableau!$AA$83")</f>
        <v/>
      </c>
      <c r="D2162" s="399" t="str">
        <f t="shared" si="13"/>
        <v>OUT</v>
      </c>
      <c r="E2162" s="401" t="str">
        <f t="array" ref="E2162">INDIRECT("Tableau!$AB$83")</f>
        <v/>
      </c>
      <c r="F2162" s="399"/>
      <c r="G2162" s="399"/>
      <c r="H2162" s="399"/>
      <c r="I2162" s="399"/>
      <c r="J2162" s="399"/>
      <c r="K2162" s="399"/>
      <c r="L2162" s="399"/>
      <c r="M2162" s="399"/>
      <c r="N2162" s="399"/>
      <c r="O2162" s="399"/>
      <c r="P2162" s="399"/>
      <c r="Q2162" s="399"/>
      <c r="R2162" s="399"/>
      <c r="S2162" s="399"/>
      <c r="T2162" s="399"/>
      <c r="U2162" s="399"/>
      <c r="V2162" s="399"/>
      <c r="W2162" s="399"/>
      <c r="X2162" s="399"/>
    </row>
    <row r="2163">
      <c r="A2163" s="402">
        <f t="array" ref="A2163">INDIRECT("Tableau!$A$84")</f>
        <v>318</v>
      </c>
      <c r="B2163" s="398" t="s">
        <v>474</v>
      </c>
      <c r="C2163" s="399" t="str">
        <f t="array" ref="C2163">INDIRECT("Tableau!$AA$84")</f>
        <v/>
      </c>
      <c r="D2163" s="399" t="str">
        <f t="shared" si="13"/>
        <v>OUT</v>
      </c>
      <c r="E2163" s="401" t="str">
        <f t="array" ref="E2163">INDIRECT("Tableau!$AB$84")</f>
        <v/>
      </c>
      <c r="F2163" s="399"/>
      <c r="G2163" s="399"/>
      <c r="H2163" s="399"/>
      <c r="I2163" s="399"/>
      <c r="J2163" s="399"/>
      <c r="K2163" s="399"/>
      <c r="L2163" s="399"/>
      <c r="M2163" s="399"/>
      <c r="N2163" s="399"/>
      <c r="O2163" s="399"/>
      <c r="P2163" s="399"/>
      <c r="Q2163" s="399"/>
      <c r="R2163" s="399"/>
      <c r="S2163" s="399"/>
      <c r="T2163" s="399"/>
      <c r="U2163" s="399"/>
      <c r="V2163" s="399"/>
      <c r="W2163" s="399"/>
      <c r="X2163" s="399"/>
    </row>
    <row r="2164">
      <c r="A2164" s="402">
        <f t="array" ref="A2164">INDIRECT("Tableau!$A$85")</f>
        <v>320</v>
      </c>
      <c r="B2164" s="398" t="s">
        <v>474</v>
      </c>
      <c r="C2164" s="399" t="str">
        <f t="array" ref="C2164">INDIRECT("Tableau!$AA$85")</f>
        <v/>
      </c>
      <c r="D2164" s="399" t="str">
        <f t="shared" si="13"/>
        <v>OUT</v>
      </c>
      <c r="E2164" s="401" t="str">
        <f t="array" ref="E2164">INDIRECT("Tableau!$AB$85")</f>
        <v/>
      </c>
      <c r="F2164" s="399"/>
      <c r="G2164" s="399"/>
      <c r="H2164" s="399"/>
      <c r="I2164" s="399"/>
      <c r="J2164" s="399"/>
      <c r="K2164" s="399"/>
      <c r="L2164" s="399"/>
      <c r="M2164" s="399"/>
      <c r="N2164" s="399"/>
      <c r="O2164" s="399"/>
      <c r="P2164" s="399"/>
      <c r="Q2164" s="399"/>
      <c r="R2164" s="399"/>
      <c r="S2164" s="399"/>
      <c r="T2164" s="399"/>
      <c r="U2164" s="399"/>
      <c r="V2164" s="399"/>
      <c r="W2164" s="399"/>
      <c r="X2164" s="399"/>
    </row>
    <row r="2165">
      <c r="A2165" s="402">
        <f t="array" ref="A2165">INDIRECT("Tableau!$A$86")</f>
        <v>321</v>
      </c>
      <c r="B2165" s="398" t="s">
        <v>474</v>
      </c>
      <c r="C2165" s="399" t="str">
        <f t="array" ref="C2165">INDIRECT("Tableau!$AA$86")</f>
        <v/>
      </c>
      <c r="D2165" s="399" t="str">
        <f t="shared" si="13"/>
        <v>OUT</v>
      </c>
      <c r="E2165" s="401" t="str">
        <f t="array" ref="E2165">INDIRECT("Tableau!$AB$86")</f>
        <v/>
      </c>
      <c r="F2165" s="399"/>
      <c r="G2165" s="399"/>
      <c r="H2165" s="399"/>
      <c r="I2165" s="399"/>
      <c r="J2165" s="399"/>
      <c r="K2165" s="399"/>
      <c r="L2165" s="399"/>
      <c r="M2165" s="399"/>
      <c r="N2165" s="399"/>
      <c r="O2165" s="399"/>
      <c r="P2165" s="399"/>
      <c r="Q2165" s="399"/>
      <c r="R2165" s="399"/>
      <c r="S2165" s="399"/>
      <c r="T2165" s="399"/>
      <c r="U2165" s="399"/>
      <c r="V2165" s="399"/>
      <c r="W2165" s="399"/>
      <c r="X2165" s="399"/>
    </row>
    <row r="2166">
      <c r="A2166" s="397" t="str">
        <f t="array" ref="A2166">INDIRECT("Tableau!$A$87")</f>
        <v/>
      </c>
      <c r="B2166" s="398" t="s">
        <v>474</v>
      </c>
      <c r="C2166" s="399" t="str">
        <f t="array" ref="C2166">INDIRECT("Tableau!$AA$87")</f>
        <v/>
      </c>
      <c r="D2166" s="399" t="str">
        <f t="shared" si="13"/>
        <v>OUT</v>
      </c>
      <c r="E2166" s="401" t="str">
        <f t="array" ref="E2166">INDIRECT("Tableau!$AB$87")</f>
        <v/>
      </c>
      <c r="F2166" s="399"/>
      <c r="G2166" s="399"/>
      <c r="H2166" s="399"/>
      <c r="I2166" s="399"/>
      <c r="J2166" s="399"/>
      <c r="K2166" s="399"/>
      <c r="L2166" s="399"/>
      <c r="M2166" s="399"/>
      <c r="N2166" s="399"/>
      <c r="O2166" s="399"/>
      <c r="P2166" s="399"/>
      <c r="Q2166" s="399"/>
      <c r="R2166" s="399"/>
      <c r="S2166" s="399"/>
      <c r="T2166" s="399"/>
      <c r="U2166" s="399"/>
      <c r="V2166" s="399"/>
      <c r="W2166" s="399"/>
      <c r="X2166" s="399"/>
    </row>
    <row r="2167">
      <c r="A2167" s="402">
        <f t="array" ref="A2167">INDIRECT("Tableau!$A$88")</f>
        <v>323</v>
      </c>
      <c r="B2167" s="398" t="s">
        <v>474</v>
      </c>
      <c r="C2167" s="399" t="str">
        <f t="array" ref="C2167">INDIRECT("Tableau!$AA$88")</f>
        <v/>
      </c>
      <c r="D2167" s="399" t="str">
        <f t="shared" si="13"/>
        <v>OUT</v>
      </c>
      <c r="E2167" s="401" t="str">
        <f t="array" ref="E2167">INDIRECT("Tableau!$AB$88")</f>
        <v/>
      </c>
      <c r="F2167" s="399"/>
      <c r="G2167" s="399"/>
      <c r="H2167" s="399"/>
      <c r="I2167" s="399"/>
      <c r="J2167" s="399"/>
      <c r="K2167" s="399"/>
      <c r="L2167" s="399"/>
      <c r="M2167" s="399"/>
      <c r="N2167" s="399"/>
      <c r="O2167" s="399"/>
      <c r="P2167" s="399"/>
      <c r="Q2167" s="399"/>
      <c r="R2167" s="399"/>
      <c r="S2167" s="399"/>
      <c r="T2167" s="399"/>
      <c r="U2167" s="399"/>
      <c r="V2167" s="399"/>
      <c r="W2167" s="399"/>
      <c r="X2167" s="399"/>
    </row>
    <row r="2168">
      <c r="A2168" s="402">
        <f t="array" ref="A2168">INDIRECT("Tableau!$A$89")</f>
        <v>324</v>
      </c>
      <c r="B2168" s="398" t="s">
        <v>474</v>
      </c>
      <c r="C2168" s="399" t="str">
        <f t="array" ref="C2168">INDIRECT("Tableau!$AA$89")</f>
        <v/>
      </c>
      <c r="D2168" s="399" t="str">
        <f t="shared" si="13"/>
        <v>OUT</v>
      </c>
      <c r="E2168" s="401" t="str">
        <f t="array" ref="E2168">INDIRECT("Tableau!$AB$89")</f>
        <v/>
      </c>
      <c r="F2168" s="399"/>
      <c r="G2168" s="399"/>
      <c r="H2168" s="399"/>
      <c r="I2168" s="399"/>
      <c r="J2168" s="399"/>
      <c r="K2168" s="399"/>
      <c r="L2168" s="399"/>
      <c r="M2168" s="399"/>
      <c r="N2168" s="399"/>
      <c r="O2168" s="399"/>
      <c r="P2168" s="399"/>
      <c r="Q2168" s="399"/>
      <c r="R2168" s="399"/>
      <c r="S2168" s="399"/>
      <c r="T2168" s="399"/>
      <c r="U2168" s="399"/>
      <c r="V2168" s="399"/>
      <c r="W2168" s="399"/>
      <c r="X2168" s="399"/>
    </row>
    <row r="2169">
      <c r="A2169" s="402">
        <f t="array" ref="A2169">INDIRECT("Tableau!$A$90")</f>
        <v>325</v>
      </c>
      <c r="B2169" s="398" t="s">
        <v>474</v>
      </c>
      <c r="C2169" s="399" t="str">
        <f t="array" ref="C2169">INDIRECT("Tableau!$AA$90")</f>
        <v/>
      </c>
      <c r="D2169" s="399" t="str">
        <f t="shared" si="13"/>
        <v>OUT</v>
      </c>
      <c r="E2169" s="401" t="str">
        <f t="array" ref="E2169">INDIRECT("Tableau!$AB$90")</f>
        <v/>
      </c>
      <c r="F2169" s="399"/>
      <c r="G2169" s="399"/>
      <c r="H2169" s="399"/>
      <c r="I2169" s="399"/>
      <c r="J2169" s="399"/>
      <c r="K2169" s="399"/>
      <c r="L2169" s="399"/>
      <c r="M2169" s="399"/>
      <c r="N2169" s="399"/>
      <c r="O2169" s="399"/>
      <c r="P2169" s="399"/>
      <c r="Q2169" s="399"/>
      <c r="R2169" s="399"/>
      <c r="S2169" s="399"/>
      <c r="T2169" s="399"/>
      <c r="U2169" s="399"/>
      <c r="V2169" s="399"/>
      <c r="W2169" s="399"/>
      <c r="X2169" s="399"/>
    </row>
    <row r="2170">
      <c r="A2170" s="402">
        <f t="array" ref="A2170">INDIRECT("Tableau!$A$91")</f>
        <v>326</v>
      </c>
      <c r="B2170" s="398" t="s">
        <v>474</v>
      </c>
      <c r="C2170" s="399" t="str">
        <f t="array" ref="C2170">INDIRECT("Tableau!$AA$91")</f>
        <v/>
      </c>
      <c r="D2170" s="399" t="str">
        <f t="shared" si="13"/>
        <v>OUT</v>
      </c>
      <c r="E2170" s="401" t="str">
        <f t="array" ref="E2170">INDIRECT("Tableau!$AB$91")</f>
        <v/>
      </c>
      <c r="F2170" s="399"/>
      <c r="G2170" s="399"/>
      <c r="H2170" s="399"/>
      <c r="I2170" s="399"/>
      <c r="J2170" s="399"/>
      <c r="K2170" s="399"/>
      <c r="L2170" s="399"/>
      <c r="M2170" s="399"/>
      <c r="N2170" s="399"/>
      <c r="O2170" s="399"/>
      <c r="P2170" s="399"/>
      <c r="Q2170" s="399"/>
      <c r="R2170" s="399"/>
      <c r="S2170" s="399"/>
      <c r="T2170" s="399"/>
      <c r="U2170" s="399"/>
      <c r="V2170" s="399"/>
      <c r="W2170" s="399"/>
      <c r="X2170" s="399"/>
    </row>
    <row r="2171">
      <c r="A2171" s="402">
        <f t="array" ref="A2171">INDIRECT("Tableau!$A$92")</f>
        <v>327</v>
      </c>
      <c r="B2171" s="398" t="s">
        <v>474</v>
      </c>
      <c r="C2171" s="399" t="str">
        <f t="array" ref="C2171">INDIRECT("Tableau!$AA$92")</f>
        <v/>
      </c>
      <c r="D2171" s="399" t="str">
        <f t="shared" si="13"/>
        <v>OUT</v>
      </c>
      <c r="E2171" s="401" t="str">
        <f t="array" ref="E2171">INDIRECT("Tableau!$AB$92")</f>
        <v/>
      </c>
      <c r="F2171" s="399"/>
      <c r="G2171" s="399"/>
      <c r="H2171" s="399"/>
      <c r="I2171" s="399"/>
      <c r="J2171" s="399"/>
      <c r="K2171" s="399"/>
      <c r="L2171" s="399"/>
      <c r="M2171" s="399"/>
      <c r="N2171" s="399"/>
      <c r="O2171" s="399"/>
      <c r="P2171" s="399"/>
      <c r="Q2171" s="399"/>
      <c r="R2171" s="399"/>
      <c r="S2171" s="399"/>
      <c r="T2171" s="399"/>
      <c r="U2171" s="399"/>
      <c r="V2171" s="399"/>
      <c r="W2171" s="399"/>
      <c r="X2171" s="399"/>
    </row>
    <row r="2172">
      <c r="A2172" s="402">
        <f t="array" ref="A2172">INDIRECT("Tableau!$A$93")</f>
        <v>328</v>
      </c>
      <c r="B2172" s="398" t="s">
        <v>474</v>
      </c>
      <c r="C2172" s="399" t="str">
        <f t="array" ref="C2172">INDIRECT("Tableau!$AA$93")</f>
        <v/>
      </c>
      <c r="D2172" s="399" t="str">
        <f t="shared" si="13"/>
        <v>OUT</v>
      </c>
      <c r="E2172" s="401" t="str">
        <f t="array" ref="E2172">INDIRECT("Tableau!$AB$93")</f>
        <v/>
      </c>
      <c r="F2172" s="399"/>
      <c r="G2172" s="399"/>
      <c r="H2172" s="399"/>
      <c r="I2172" s="399"/>
      <c r="J2172" s="399"/>
      <c r="K2172" s="399"/>
      <c r="L2172" s="399"/>
      <c r="M2172" s="399"/>
      <c r="N2172" s="399"/>
      <c r="O2172" s="399"/>
      <c r="P2172" s="399"/>
      <c r="Q2172" s="399"/>
      <c r="R2172" s="399"/>
      <c r="S2172" s="399"/>
      <c r="T2172" s="399"/>
      <c r="U2172" s="399"/>
      <c r="V2172" s="399"/>
      <c r="W2172" s="399"/>
      <c r="X2172" s="399"/>
    </row>
    <row r="2173">
      <c r="A2173" s="402">
        <f t="array" ref="A2173">INDIRECT("Tableau!$A$94")</f>
        <v>329</v>
      </c>
      <c r="B2173" s="398" t="s">
        <v>474</v>
      </c>
      <c r="C2173" s="399" t="str">
        <f t="array" ref="C2173">INDIRECT("Tableau!$AA$94")</f>
        <v/>
      </c>
      <c r="D2173" s="399" t="str">
        <f t="shared" si="13"/>
        <v>OUT</v>
      </c>
      <c r="E2173" s="401" t="str">
        <f t="array" ref="E2173">INDIRECT("Tableau!$AB$94")</f>
        <v/>
      </c>
      <c r="F2173" s="399"/>
      <c r="G2173" s="399"/>
      <c r="H2173" s="399"/>
      <c r="I2173" s="399"/>
      <c r="J2173" s="399"/>
      <c r="K2173" s="399"/>
      <c r="L2173" s="399"/>
      <c r="M2173" s="399"/>
      <c r="N2173" s="399"/>
      <c r="O2173" s="399"/>
      <c r="P2173" s="399"/>
      <c r="Q2173" s="399"/>
      <c r="R2173" s="399"/>
      <c r="S2173" s="399"/>
      <c r="T2173" s="399"/>
      <c r="U2173" s="399"/>
      <c r="V2173" s="399"/>
      <c r="W2173" s="399"/>
      <c r="X2173" s="399"/>
    </row>
    <row r="2174">
      <c r="A2174" s="402">
        <f t="array" ref="A2174">INDIRECT("Tableau!$A$95")</f>
        <v>330</v>
      </c>
      <c r="B2174" s="398" t="s">
        <v>474</v>
      </c>
      <c r="C2174" s="399" t="str">
        <f t="array" ref="C2174">INDIRECT("Tableau!$AA$95")</f>
        <v>DEMA</v>
      </c>
      <c r="D2174" s="399" t="str">
        <f t="shared" si="13"/>
        <v>OUT</v>
      </c>
      <c r="E2174" s="401" t="str">
        <f t="array" ref="E2174">INDIRECT("Tableau!$AB$95")</f>
        <v/>
      </c>
      <c r="F2174" s="399"/>
      <c r="G2174" s="399"/>
      <c r="H2174" s="399"/>
      <c r="I2174" s="399"/>
      <c r="J2174" s="399"/>
      <c r="K2174" s="399"/>
      <c r="L2174" s="399"/>
      <c r="M2174" s="399"/>
      <c r="N2174" s="399"/>
      <c r="O2174" s="399"/>
      <c r="P2174" s="399"/>
      <c r="Q2174" s="399"/>
      <c r="R2174" s="399"/>
      <c r="S2174" s="399"/>
      <c r="T2174" s="399"/>
      <c r="U2174" s="399"/>
      <c r="V2174" s="399"/>
      <c r="W2174" s="399"/>
      <c r="X2174" s="399"/>
    </row>
    <row r="2175">
      <c r="A2175" s="402">
        <f t="array" ref="A2175">INDIRECT("Tableau!$A$96")</f>
        <v>331</v>
      </c>
      <c r="B2175" s="398" t="s">
        <v>474</v>
      </c>
      <c r="C2175" s="399" t="str">
        <f t="array" ref="C2175">INDIRECT("Tableau!$AA$96")</f>
        <v/>
      </c>
      <c r="D2175" s="399" t="str">
        <f t="shared" si="13"/>
        <v>OUT</v>
      </c>
      <c r="E2175" s="401" t="str">
        <f t="array" ref="E2175">INDIRECT("Tableau!$AB$96")</f>
        <v/>
      </c>
      <c r="F2175" s="399"/>
      <c r="G2175" s="399"/>
      <c r="H2175" s="399"/>
      <c r="I2175" s="399"/>
      <c r="J2175" s="399"/>
      <c r="K2175" s="399"/>
      <c r="L2175" s="399"/>
      <c r="M2175" s="399"/>
      <c r="N2175" s="399"/>
      <c r="O2175" s="399"/>
      <c r="P2175" s="399"/>
      <c r="Q2175" s="399"/>
      <c r="R2175" s="399"/>
      <c r="S2175" s="399"/>
      <c r="T2175" s="399"/>
      <c r="U2175" s="399"/>
      <c r="V2175" s="399"/>
      <c r="W2175" s="399"/>
      <c r="X2175" s="399"/>
    </row>
    <row r="2176">
      <c r="A2176" s="402">
        <f t="array" ref="A2176">INDIRECT("Tableau!$A$97")</f>
        <v>332</v>
      </c>
      <c r="B2176" s="398" t="s">
        <v>474</v>
      </c>
      <c r="C2176" s="399" t="str">
        <f t="array" ref="C2176">INDIRECT("Tableau!$AA$97")</f>
        <v/>
      </c>
      <c r="D2176" s="399" t="str">
        <f t="shared" si="13"/>
        <v>OUT</v>
      </c>
      <c r="E2176" s="401" t="str">
        <f t="array" ref="E2176">INDIRECT("Tableau!$AB$97")</f>
        <v/>
      </c>
      <c r="F2176" s="399"/>
      <c r="G2176" s="399"/>
      <c r="H2176" s="399"/>
      <c r="I2176" s="399"/>
      <c r="J2176" s="399"/>
      <c r="K2176" s="399"/>
      <c r="L2176" s="399"/>
      <c r="M2176" s="399"/>
      <c r="N2176" s="399"/>
      <c r="O2176" s="399"/>
      <c r="P2176" s="399"/>
      <c r="Q2176" s="399"/>
      <c r="R2176" s="399"/>
      <c r="S2176" s="399"/>
      <c r="T2176" s="399"/>
      <c r="U2176" s="399"/>
      <c r="V2176" s="399"/>
      <c r="W2176" s="399"/>
      <c r="X2176" s="399"/>
    </row>
    <row r="2177">
      <c r="A2177" s="402">
        <f t="array" ref="A2177">INDIRECT("Tableau!$A$98")</f>
        <v>333</v>
      </c>
      <c r="B2177" s="398" t="s">
        <v>474</v>
      </c>
      <c r="C2177" s="399" t="str">
        <f t="array" ref="C2177">INDIRECT("Tableau!$AA$98")</f>
        <v>DEMA</v>
      </c>
      <c r="D2177" s="399" t="str">
        <f t="shared" si="13"/>
        <v>OUT</v>
      </c>
      <c r="E2177" s="401" t="str">
        <f t="array" ref="E2177">INDIRECT("Tableau!$AB$98")</f>
        <v/>
      </c>
      <c r="F2177" s="399"/>
      <c r="G2177" s="399"/>
      <c r="H2177" s="399"/>
      <c r="I2177" s="399"/>
      <c r="J2177" s="399"/>
      <c r="K2177" s="399"/>
      <c r="L2177" s="399"/>
      <c r="M2177" s="399"/>
      <c r="N2177" s="399"/>
      <c r="O2177" s="399"/>
      <c r="P2177" s="399"/>
      <c r="Q2177" s="399"/>
      <c r="R2177" s="399"/>
      <c r="S2177" s="399"/>
      <c r="T2177" s="399"/>
      <c r="U2177" s="399"/>
      <c r="V2177" s="399"/>
      <c r="W2177" s="399"/>
      <c r="X2177" s="399"/>
    </row>
    <row r="2178">
      <c r="A2178" s="402">
        <f t="array" ref="A2178">INDIRECT("Tableau!$A$99")</f>
        <v>334</v>
      </c>
      <c r="B2178" s="398" t="s">
        <v>474</v>
      </c>
      <c r="C2178" s="399" t="str">
        <f t="array" ref="C2178">INDIRECT("Tableau!$AA$99")</f>
        <v>Bloqué</v>
      </c>
      <c r="D2178" s="399" t="str">
        <f t="shared" si="13"/>
        <v>OUT</v>
      </c>
      <c r="E2178" s="401" t="str">
        <f t="array" ref="E2178">INDIRECT("Tableau!$AB$99")</f>
        <v/>
      </c>
      <c r="F2178" s="399"/>
      <c r="G2178" s="399"/>
      <c r="H2178" s="399"/>
      <c r="I2178" s="399"/>
      <c r="J2178" s="399"/>
      <c r="K2178" s="399"/>
      <c r="L2178" s="399"/>
      <c r="M2178" s="399"/>
      <c r="N2178" s="399"/>
      <c r="O2178" s="399"/>
      <c r="P2178" s="399"/>
      <c r="Q2178" s="399"/>
      <c r="R2178" s="399"/>
      <c r="S2178" s="399"/>
      <c r="T2178" s="399"/>
      <c r="U2178" s="399"/>
      <c r="V2178" s="399"/>
      <c r="W2178" s="399"/>
      <c r="X2178" s="399"/>
    </row>
    <row r="2179">
      <c r="A2179" s="402">
        <f t="array" ref="A2179">INDIRECT("Tableau!$A$100")</f>
        <v>335</v>
      </c>
      <c r="B2179" s="398" t="s">
        <v>474</v>
      </c>
      <c r="C2179" s="399" t="str">
        <f t="array" ref="C2179">INDIRECT("Tableau!$AA$100")</f>
        <v/>
      </c>
      <c r="D2179" s="399" t="str">
        <f t="shared" si="13"/>
        <v>OUT</v>
      </c>
      <c r="E2179" s="401" t="str">
        <f t="array" ref="E2179">INDIRECT("Tableau!$AB$100")</f>
        <v/>
      </c>
      <c r="F2179" s="399"/>
      <c r="G2179" s="399"/>
      <c r="H2179" s="399"/>
      <c r="I2179" s="399"/>
      <c r="J2179" s="399"/>
      <c r="K2179" s="399"/>
      <c r="L2179" s="399"/>
      <c r="M2179" s="399"/>
      <c r="N2179" s="399"/>
      <c r="O2179" s="399"/>
      <c r="P2179" s="399"/>
      <c r="Q2179" s="399"/>
      <c r="R2179" s="399"/>
      <c r="S2179" s="399"/>
      <c r="T2179" s="399"/>
      <c r="U2179" s="399"/>
      <c r="V2179" s="399"/>
      <c r="W2179" s="399"/>
      <c r="X2179" s="399"/>
    </row>
    <row r="2180">
      <c r="A2180" s="402">
        <f t="array" ref="A2180">INDIRECT("Tableau!$A$101")</f>
        <v>336</v>
      </c>
      <c r="B2180" s="398" t="s">
        <v>474</v>
      </c>
      <c r="C2180" s="399" t="str">
        <f t="array" ref="C2180">INDIRECT("Tableau!$AA$101")</f>
        <v/>
      </c>
      <c r="D2180" s="399" t="str">
        <f t="shared" si="13"/>
        <v>OUT</v>
      </c>
      <c r="E2180" s="401" t="str">
        <f t="array" ref="E2180">INDIRECT("Tableau!$AB$101")</f>
        <v/>
      </c>
      <c r="F2180" s="399"/>
      <c r="G2180" s="399"/>
      <c r="H2180" s="399"/>
      <c r="I2180" s="399"/>
      <c r="J2180" s="399"/>
      <c r="K2180" s="399"/>
      <c r="L2180" s="399"/>
      <c r="M2180" s="399"/>
      <c r="N2180" s="399"/>
      <c r="O2180" s="399"/>
      <c r="P2180" s="399"/>
      <c r="Q2180" s="399"/>
      <c r="R2180" s="399"/>
      <c r="S2180" s="399"/>
      <c r="T2180" s="399"/>
      <c r="U2180" s="399"/>
      <c r="V2180" s="399"/>
      <c r="W2180" s="399"/>
      <c r="X2180" s="399"/>
    </row>
    <row r="2181">
      <c r="A2181" s="402">
        <f t="array" ref="A2181">INDIRECT("Tableau!$A$102")</f>
        <v>337</v>
      </c>
      <c r="B2181" s="398" t="s">
        <v>474</v>
      </c>
      <c r="C2181" s="399" t="str">
        <f t="array" ref="C2181">INDIRECT("Tableau!$AA$102")</f>
        <v/>
      </c>
      <c r="D2181" s="399" t="str">
        <f t="shared" si="13"/>
        <v>OUT</v>
      </c>
      <c r="E2181" s="401" t="str">
        <f t="array" ref="E2181">INDIRECT("Tableau!$AB$102")</f>
        <v/>
      </c>
      <c r="F2181" s="399"/>
      <c r="G2181" s="399"/>
      <c r="H2181" s="399"/>
      <c r="I2181" s="399"/>
      <c r="J2181" s="399"/>
      <c r="K2181" s="399"/>
      <c r="L2181" s="399"/>
      <c r="M2181" s="399"/>
      <c r="N2181" s="399"/>
      <c r="O2181" s="399"/>
      <c r="P2181" s="399"/>
      <c r="Q2181" s="399"/>
      <c r="R2181" s="399"/>
      <c r="S2181" s="399"/>
      <c r="T2181" s="399"/>
      <c r="U2181" s="399"/>
      <c r="V2181" s="399"/>
      <c r="W2181" s="399"/>
      <c r="X2181" s="399"/>
    </row>
    <row r="2182">
      <c r="A2182" s="402">
        <f t="array" ref="A2182">INDIRECT("Tableau!$A$103")</f>
        <v>338</v>
      </c>
      <c r="B2182" s="398" t="s">
        <v>474</v>
      </c>
      <c r="C2182" s="399" t="str">
        <f t="array" ref="C2182">INDIRECT("Tableau!$AA$103")</f>
        <v/>
      </c>
      <c r="D2182" s="399" t="str">
        <f t="shared" si="13"/>
        <v>OUT</v>
      </c>
      <c r="E2182" s="401" t="str">
        <f t="array" ref="E2182">INDIRECT("Tableau!$AB$103")</f>
        <v/>
      </c>
      <c r="F2182" s="399"/>
      <c r="G2182" s="399"/>
      <c r="H2182" s="399"/>
      <c r="I2182" s="399"/>
      <c r="J2182" s="399"/>
      <c r="K2182" s="399"/>
      <c r="L2182" s="399"/>
      <c r="M2182" s="399"/>
      <c r="N2182" s="399"/>
      <c r="O2182" s="399"/>
      <c r="P2182" s="399"/>
      <c r="Q2182" s="399"/>
      <c r="R2182" s="399"/>
      <c r="S2182" s="399"/>
      <c r="T2182" s="399"/>
      <c r="U2182" s="399"/>
      <c r="V2182" s="399"/>
      <c r="W2182" s="399"/>
      <c r="X2182" s="399"/>
    </row>
    <row r="2183">
      <c r="A2183" s="402">
        <f t="array" ref="A2183">INDIRECT("Tableau!$A$104")</f>
        <v>339</v>
      </c>
      <c r="B2183" s="398" t="s">
        <v>474</v>
      </c>
      <c r="C2183" s="399" t="str">
        <f t="array" ref="C2183">INDIRECT("Tableau!$AA$104")</f>
        <v/>
      </c>
      <c r="D2183" s="399" t="str">
        <f t="shared" si="13"/>
        <v>OUT</v>
      </c>
      <c r="E2183" s="401" t="str">
        <f t="array" ref="E2183">INDIRECT("Tableau!$AB$104")</f>
        <v/>
      </c>
      <c r="F2183" s="399"/>
      <c r="G2183" s="399"/>
      <c r="H2183" s="399"/>
      <c r="I2183" s="399"/>
      <c r="J2183" s="399"/>
      <c r="K2183" s="399"/>
      <c r="L2183" s="399"/>
      <c r="M2183" s="399"/>
      <c r="N2183" s="399"/>
      <c r="O2183" s="399"/>
      <c r="P2183" s="399"/>
      <c r="Q2183" s="399"/>
      <c r="R2183" s="399"/>
      <c r="S2183" s="399"/>
      <c r="T2183" s="399"/>
      <c r="U2183" s="399"/>
      <c r="V2183" s="399"/>
      <c r="W2183" s="399"/>
      <c r="X2183" s="399"/>
    </row>
    <row r="2184">
      <c r="A2184" s="402">
        <f t="array" ref="A2184">INDIRECT("Tableau!$A$105")</f>
        <v>340</v>
      </c>
      <c r="B2184" s="398" t="s">
        <v>474</v>
      </c>
      <c r="C2184" s="399" t="str">
        <f t="array" ref="C2184">INDIRECT("Tableau!$AA$105")</f>
        <v/>
      </c>
      <c r="D2184" s="399" t="str">
        <f t="shared" si="13"/>
        <v>OUT</v>
      </c>
      <c r="E2184" s="401" t="str">
        <f t="array" ref="E2184">INDIRECT("Tableau!$AB$105")</f>
        <v/>
      </c>
      <c r="F2184" s="399"/>
      <c r="G2184" s="399"/>
      <c r="H2184" s="399"/>
      <c r="I2184" s="399"/>
      <c r="J2184" s="399"/>
      <c r="K2184" s="399"/>
      <c r="L2184" s="399"/>
      <c r="M2184" s="399"/>
      <c r="N2184" s="399"/>
      <c r="O2184" s="399"/>
      <c r="P2184" s="399"/>
      <c r="Q2184" s="399"/>
      <c r="R2184" s="399"/>
      <c r="S2184" s="399"/>
      <c r="T2184" s="399"/>
      <c r="U2184" s="399"/>
      <c r="V2184" s="399"/>
      <c r="W2184" s="399"/>
      <c r="X2184" s="399"/>
    </row>
    <row r="2185">
      <c r="A2185" s="402">
        <f t="array" ref="A2185">INDIRECT("Tableau!$A$106")</f>
        <v>341</v>
      </c>
      <c r="B2185" s="398" t="s">
        <v>474</v>
      </c>
      <c r="C2185" s="399" t="str">
        <f t="array" ref="C2185">INDIRECT("Tableau!$AA$106")</f>
        <v/>
      </c>
      <c r="D2185" s="399" t="str">
        <f t="shared" si="13"/>
        <v>OUT</v>
      </c>
      <c r="E2185" s="401" t="str">
        <f t="array" ref="E2185">INDIRECT("Tableau!$AB$106")</f>
        <v/>
      </c>
      <c r="F2185" s="399"/>
      <c r="G2185" s="399"/>
      <c r="H2185" s="399"/>
      <c r="I2185" s="399"/>
      <c r="J2185" s="399"/>
      <c r="K2185" s="399"/>
      <c r="L2185" s="399"/>
      <c r="M2185" s="399"/>
      <c r="N2185" s="399"/>
      <c r="O2185" s="399"/>
      <c r="P2185" s="399"/>
      <c r="Q2185" s="399"/>
      <c r="R2185" s="399"/>
      <c r="S2185" s="399"/>
      <c r="T2185" s="399"/>
      <c r="U2185" s="399"/>
      <c r="V2185" s="399"/>
      <c r="W2185" s="399"/>
      <c r="X2185" s="399"/>
    </row>
    <row r="2186">
      <c r="A2186" s="402">
        <f t="array" ref="A2186">INDIRECT("Tableau!$A$107")</f>
        <v>365</v>
      </c>
      <c r="B2186" s="398" t="s">
        <v>474</v>
      </c>
      <c r="C2186" s="399" t="str">
        <f t="array" ref="C2186">INDIRECT("Tableau!$AA$107")</f>
        <v/>
      </c>
      <c r="D2186" s="399" t="str">
        <f t="shared" si="13"/>
        <v>OUT</v>
      </c>
      <c r="E2186" s="401" t="str">
        <f t="array" ref="E2186">INDIRECT("Tableau!$AB$107")</f>
        <v/>
      </c>
      <c r="F2186" s="399"/>
      <c r="G2186" s="399"/>
      <c r="H2186" s="399"/>
      <c r="I2186" s="399"/>
      <c r="J2186" s="399"/>
      <c r="K2186" s="399"/>
      <c r="L2186" s="399"/>
      <c r="M2186" s="399"/>
      <c r="N2186" s="399"/>
      <c r="O2186" s="399"/>
      <c r="P2186" s="399"/>
      <c r="Q2186" s="399"/>
      <c r="R2186" s="399"/>
      <c r="S2186" s="399"/>
      <c r="T2186" s="399"/>
      <c r="U2186" s="399"/>
      <c r="V2186" s="399"/>
      <c r="W2186" s="399"/>
      <c r="X2186" s="399"/>
    </row>
    <row r="2187">
      <c r="A2187" s="402">
        <f t="array" ref="A2187">INDIRECT("Tableau!$A$108")</f>
        <v>342</v>
      </c>
      <c r="B2187" s="398" t="s">
        <v>474</v>
      </c>
      <c r="C2187" s="399" t="str">
        <f t="array" ref="C2187">INDIRECT("Tableau!$AA$108")</f>
        <v/>
      </c>
      <c r="D2187" s="399" t="str">
        <f t="shared" si="13"/>
        <v>OUT</v>
      </c>
      <c r="E2187" s="401" t="str">
        <f t="array" ref="E2187">INDIRECT("Tableau!$AB$108")</f>
        <v/>
      </c>
      <c r="F2187" s="399"/>
      <c r="G2187" s="399"/>
      <c r="H2187" s="399"/>
      <c r="I2187" s="399"/>
      <c r="J2187" s="399"/>
      <c r="K2187" s="399"/>
      <c r="L2187" s="399"/>
      <c r="M2187" s="399"/>
      <c r="N2187" s="399"/>
      <c r="O2187" s="399"/>
      <c r="P2187" s="399"/>
      <c r="Q2187" s="399"/>
      <c r="R2187" s="399"/>
      <c r="S2187" s="399"/>
      <c r="T2187" s="399"/>
      <c r="U2187" s="399"/>
      <c r="V2187" s="399"/>
      <c r="W2187" s="399"/>
      <c r="X2187" s="399"/>
    </row>
    <row r="2188">
      <c r="A2188" s="402">
        <f t="array" ref="A2188">INDIRECT("Tableau!$A$109")</f>
        <v>343</v>
      </c>
      <c r="B2188" s="398" t="s">
        <v>474</v>
      </c>
      <c r="C2188" s="399" t="str">
        <f t="array" ref="C2188">INDIRECT("Tableau!$AA$109")</f>
        <v>Concours Arville</v>
      </c>
      <c r="D2188" s="399" t="str">
        <f t="shared" si="13"/>
        <v>OUT</v>
      </c>
      <c r="E2188" s="401" t="str">
        <f t="array" ref="E2188">INDIRECT("Tableau!$AB$109")</f>
        <v/>
      </c>
      <c r="F2188" s="399"/>
      <c r="G2188" s="399"/>
      <c r="H2188" s="399"/>
      <c r="I2188" s="399"/>
      <c r="J2188" s="399"/>
      <c r="K2188" s="399"/>
      <c r="L2188" s="399"/>
      <c r="M2188" s="399"/>
      <c r="N2188" s="399"/>
      <c r="O2188" s="399"/>
      <c r="P2188" s="399"/>
      <c r="Q2188" s="399"/>
      <c r="R2188" s="399"/>
      <c r="S2188" s="399"/>
      <c r="T2188" s="399"/>
      <c r="U2188" s="399"/>
      <c r="V2188" s="399"/>
      <c r="W2188" s="399"/>
      <c r="X2188" s="399"/>
    </row>
    <row r="2189">
      <c r="A2189" s="402">
        <f t="array" ref="A2189">INDIRECT("Tableau!$A$110")</f>
        <v>344</v>
      </c>
      <c r="B2189" s="398" t="s">
        <v>474</v>
      </c>
      <c r="C2189" s="399" t="str">
        <f t="array" ref="C2189">INDIRECT("Tableau!$AA$110")</f>
        <v/>
      </c>
      <c r="D2189" s="399" t="str">
        <f t="shared" si="13"/>
        <v>OUT</v>
      </c>
      <c r="E2189" s="401" t="str">
        <f t="array" ref="E2189">INDIRECT("Tableau!$AB$110")</f>
        <v/>
      </c>
      <c r="F2189" s="399"/>
      <c r="G2189" s="399"/>
      <c r="H2189" s="399"/>
      <c r="I2189" s="399"/>
      <c r="J2189" s="399"/>
      <c r="K2189" s="399"/>
      <c r="L2189" s="399"/>
      <c r="M2189" s="399"/>
      <c r="N2189" s="399"/>
      <c r="O2189" s="399"/>
      <c r="P2189" s="399"/>
      <c r="Q2189" s="399"/>
      <c r="R2189" s="399"/>
      <c r="S2189" s="399"/>
      <c r="T2189" s="399"/>
      <c r="U2189" s="399"/>
      <c r="V2189" s="399"/>
      <c r="W2189" s="399"/>
      <c r="X2189" s="399"/>
    </row>
    <row r="2190">
      <c r="A2190" s="402">
        <f t="array" ref="A2190">INDIRECT("Tableau!$A$111")</f>
        <v>363</v>
      </c>
      <c r="B2190" s="398" t="s">
        <v>474</v>
      </c>
      <c r="C2190" s="399" t="str">
        <f t="array" ref="C2190">INDIRECT("Tableau!$AA$111")</f>
        <v>DEMA</v>
      </c>
      <c r="D2190" s="399" t="str">
        <f t="shared" si="13"/>
        <v>OUT</v>
      </c>
      <c r="E2190" s="401" t="str">
        <f t="array" ref="E2190">INDIRECT("Tableau!$AB$111")</f>
        <v/>
      </c>
      <c r="F2190" s="399"/>
      <c r="G2190" s="399"/>
      <c r="H2190" s="399"/>
      <c r="I2190" s="399"/>
      <c r="J2190" s="399"/>
      <c r="K2190" s="399"/>
      <c r="L2190" s="399"/>
      <c r="M2190" s="399"/>
      <c r="N2190" s="399"/>
      <c r="O2190" s="399"/>
      <c r="P2190" s="399"/>
      <c r="Q2190" s="399"/>
      <c r="R2190" s="399"/>
      <c r="S2190" s="399"/>
      <c r="T2190" s="399"/>
      <c r="U2190" s="399"/>
      <c r="V2190" s="399"/>
      <c r="W2190" s="399"/>
      <c r="X2190" s="399"/>
    </row>
    <row r="2191">
      <c r="A2191" s="402">
        <f t="array" ref="A2191">INDIRECT("Tableau!$A$112")</f>
        <v>345</v>
      </c>
      <c r="B2191" s="398" t="s">
        <v>474</v>
      </c>
      <c r="C2191" s="399" t="str">
        <f t="array" ref="C2191">INDIRECT("Tableau!$AA$112")</f>
        <v/>
      </c>
      <c r="D2191" s="399" t="str">
        <f t="shared" si="13"/>
        <v>OUT</v>
      </c>
      <c r="E2191" s="401" t="str">
        <f t="array" ref="E2191">INDIRECT("Tableau!$AB$112")</f>
        <v/>
      </c>
      <c r="F2191" s="399"/>
      <c r="G2191" s="399"/>
      <c r="H2191" s="399"/>
      <c r="I2191" s="399"/>
      <c r="J2191" s="399"/>
      <c r="K2191" s="399"/>
      <c r="L2191" s="399"/>
      <c r="M2191" s="399"/>
      <c r="N2191" s="399"/>
      <c r="O2191" s="399"/>
      <c r="P2191" s="399"/>
      <c r="Q2191" s="399"/>
      <c r="R2191" s="399"/>
      <c r="S2191" s="399"/>
      <c r="T2191" s="399"/>
      <c r="U2191" s="399"/>
      <c r="V2191" s="399"/>
      <c r="W2191" s="399"/>
      <c r="X2191" s="399"/>
    </row>
    <row r="2192">
      <c r="A2192" s="402">
        <f t="array" ref="A2192">INDIRECT("Tableau!$A$113")</f>
        <v>346</v>
      </c>
      <c r="B2192" s="398" t="s">
        <v>474</v>
      </c>
      <c r="C2192" s="399" t="str">
        <f t="array" ref="C2192">INDIRECT("Tableau!$AA$113")</f>
        <v/>
      </c>
      <c r="D2192" s="399" t="str">
        <f t="shared" si="13"/>
        <v>OUT</v>
      </c>
      <c r="E2192" s="401" t="str">
        <f t="array" ref="E2192">INDIRECT("Tableau!$AB$113")</f>
        <v/>
      </c>
      <c r="F2192" s="399"/>
      <c r="G2192" s="399"/>
      <c r="H2192" s="399"/>
      <c r="I2192" s="399"/>
      <c r="J2192" s="399"/>
      <c r="K2192" s="399"/>
      <c r="L2192" s="399"/>
      <c r="M2192" s="399"/>
      <c r="N2192" s="399"/>
      <c r="O2192" s="399"/>
      <c r="P2192" s="399"/>
      <c r="Q2192" s="399"/>
      <c r="R2192" s="399"/>
      <c r="S2192" s="399"/>
      <c r="T2192" s="399"/>
      <c r="U2192" s="399"/>
      <c r="V2192" s="399"/>
      <c r="W2192" s="399"/>
      <c r="X2192" s="399"/>
    </row>
    <row r="2193">
      <c r="A2193" s="402">
        <f t="array" ref="A2193">INDIRECT("Tableau!$A$114")</f>
        <v>359</v>
      </c>
      <c r="B2193" s="398" t="s">
        <v>474</v>
      </c>
      <c r="C2193" s="399" t="str">
        <f t="array" ref="C2193">INDIRECT("Tableau!$AA$114")</f>
        <v/>
      </c>
      <c r="D2193" s="399" t="str">
        <f t="shared" si="13"/>
        <v>OUT</v>
      </c>
      <c r="E2193" s="401" t="str">
        <f t="array" ref="E2193">INDIRECT("Tableau!$AB$114")</f>
        <v/>
      </c>
      <c r="F2193" s="399"/>
      <c r="G2193" s="399"/>
      <c r="H2193" s="399"/>
      <c r="I2193" s="399"/>
      <c r="J2193" s="399"/>
      <c r="K2193" s="399"/>
      <c r="L2193" s="399"/>
      <c r="M2193" s="399"/>
      <c r="N2193" s="399"/>
      <c r="O2193" s="399"/>
      <c r="P2193" s="399"/>
      <c r="Q2193" s="399"/>
      <c r="R2193" s="399"/>
      <c r="S2193" s="399"/>
      <c r="T2193" s="399"/>
      <c r="U2193" s="399"/>
      <c r="V2193" s="399"/>
      <c r="W2193" s="399"/>
      <c r="X2193" s="399"/>
    </row>
    <row r="2194">
      <c r="A2194" s="402">
        <f t="array" ref="A2194">INDIRECT("Tableau!$A$115")</f>
        <v>360</v>
      </c>
      <c r="B2194" s="398" t="s">
        <v>474</v>
      </c>
      <c r="C2194" s="399" t="str">
        <f t="array" ref="C2194">INDIRECT("Tableau!$AA$115")</f>
        <v/>
      </c>
      <c r="D2194" s="399" t="str">
        <f t="shared" si="13"/>
        <v>OUT</v>
      </c>
      <c r="E2194" s="401" t="str">
        <f t="array" ref="E2194">INDIRECT("Tableau!$AB$115")</f>
        <v/>
      </c>
      <c r="F2194" s="399"/>
      <c r="G2194" s="399"/>
      <c r="H2194" s="399"/>
      <c r="I2194" s="399"/>
      <c r="J2194" s="399"/>
      <c r="K2194" s="399"/>
      <c r="L2194" s="399"/>
      <c r="M2194" s="399"/>
      <c r="N2194" s="399"/>
      <c r="O2194" s="399"/>
      <c r="P2194" s="399"/>
      <c r="Q2194" s="399"/>
      <c r="R2194" s="399"/>
      <c r="S2194" s="399"/>
      <c r="T2194" s="399"/>
      <c r="U2194" s="399"/>
      <c r="V2194" s="399"/>
      <c r="W2194" s="399"/>
      <c r="X2194" s="399"/>
    </row>
    <row r="2195">
      <c r="A2195" s="402">
        <f t="array" ref="A2195">INDIRECT("Tableau!$A$116")</f>
        <v>361</v>
      </c>
      <c r="B2195" s="398" t="s">
        <v>474</v>
      </c>
      <c r="C2195" s="399" t="str">
        <f t="array" ref="C2195">INDIRECT("Tableau!$AA$116")</f>
        <v/>
      </c>
      <c r="D2195" s="399" t="str">
        <f t="shared" si="13"/>
        <v>OUT</v>
      </c>
      <c r="E2195" s="401" t="str">
        <f t="array" ref="E2195">INDIRECT("Tableau!$AB$116")</f>
        <v/>
      </c>
      <c r="F2195" s="399"/>
      <c r="G2195" s="399"/>
      <c r="H2195" s="399"/>
      <c r="I2195" s="399"/>
      <c r="J2195" s="399"/>
      <c r="K2195" s="399"/>
      <c r="L2195" s="399"/>
      <c r="M2195" s="399"/>
      <c r="N2195" s="399"/>
      <c r="O2195" s="399"/>
      <c r="P2195" s="399"/>
      <c r="Q2195" s="399"/>
      <c r="R2195" s="399"/>
      <c r="S2195" s="399"/>
      <c r="T2195" s="399"/>
      <c r="U2195" s="399"/>
      <c r="V2195" s="399"/>
      <c r="W2195" s="399"/>
      <c r="X2195" s="399"/>
    </row>
    <row r="2196">
      <c r="A2196" s="397" t="str">
        <f t="array" ref="A2196">INDIRECT("Tableau!$A$117")</f>
        <v/>
      </c>
      <c r="B2196" s="398" t="s">
        <v>474</v>
      </c>
      <c r="C2196" s="399" t="str">
        <f t="array" ref="C2196">INDIRECT("Tableau!$AA$117")</f>
        <v/>
      </c>
      <c r="D2196" s="399" t="str">
        <f t="shared" si="13"/>
        <v>OUT</v>
      </c>
      <c r="E2196" s="401" t="str">
        <f t="array" ref="E2196">INDIRECT("Tableau!$AB$117")</f>
        <v/>
      </c>
      <c r="F2196" s="399"/>
      <c r="G2196" s="399"/>
      <c r="H2196" s="399"/>
      <c r="I2196" s="399"/>
      <c r="J2196" s="399"/>
      <c r="K2196" s="399"/>
      <c r="L2196" s="399"/>
      <c r="M2196" s="399"/>
      <c r="N2196" s="399"/>
      <c r="O2196" s="399"/>
      <c r="P2196" s="399"/>
      <c r="Q2196" s="399"/>
      <c r="R2196" s="399"/>
      <c r="S2196" s="399"/>
      <c r="T2196" s="399"/>
      <c r="U2196" s="399"/>
      <c r="V2196" s="399"/>
      <c r="W2196" s="399"/>
      <c r="X2196" s="399"/>
    </row>
    <row r="2197">
      <c r="A2197" s="402">
        <f t="array" ref="A2197">INDIRECT("Tableau!$A$118")</f>
        <v>347</v>
      </c>
      <c r="B2197" s="398" t="s">
        <v>474</v>
      </c>
      <c r="C2197" s="399" t="str">
        <f t="array" ref="C2197">INDIRECT("Tableau!$AA$118")</f>
        <v/>
      </c>
      <c r="D2197" s="399" t="str">
        <f t="shared" si="13"/>
        <v>OUT</v>
      </c>
      <c r="E2197" s="401" t="str">
        <f t="array" ref="E2197">INDIRECT("Tableau!$AB$118")</f>
        <v/>
      </c>
      <c r="F2197" s="399"/>
      <c r="G2197" s="399"/>
      <c r="H2197" s="399"/>
      <c r="I2197" s="399"/>
      <c r="J2197" s="399"/>
      <c r="K2197" s="399"/>
      <c r="L2197" s="399"/>
      <c r="M2197" s="399"/>
      <c r="N2197" s="399"/>
      <c r="O2197" s="399"/>
      <c r="P2197" s="399"/>
      <c r="Q2197" s="399"/>
      <c r="R2197" s="399"/>
      <c r="S2197" s="399"/>
      <c r="T2197" s="399"/>
      <c r="U2197" s="399"/>
      <c r="V2197" s="399"/>
      <c r="W2197" s="399"/>
      <c r="X2197" s="399"/>
    </row>
    <row r="2198">
      <c r="A2198" s="402">
        <f t="array" ref="A2198">INDIRECT("Tableau!$A$119")</f>
        <v>348</v>
      </c>
      <c r="B2198" s="398" t="s">
        <v>474</v>
      </c>
      <c r="C2198" s="399" t="str">
        <f t="array" ref="C2198">INDIRECT("Tableau!$AA$119")</f>
        <v/>
      </c>
      <c r="D2198" s="399" t="str">
        <f t="shared" si="13"/>
        <v>OUT</v>
      </c>
      <c r="E2198" s="401" t="str">
        <f t="array" ref="E2198">INDIRECT("Tableau!$AB$119")</f>
        <v/>
      </c>
      <c r="F2198" s="399"/>
      <c r="G2198" s="399"/>
      <c r="H2198" s="399"/>
      <c r="I2198" s="399"/>
      <c r="J2198" s="399"/>
      <c r="K2198" s="399"/>
      <c r="L2198" s="399"/>
      <c r="M2198" s="399"/>
      <c r="N2198" s="399"/>
      <c r="O2198" s="399"/>
      <c r="P2198" s="399"/>
      <c r="Q2198" s="399"/>
      <c r="R2198" s="399"/>
      <c r="S2198" s="399"/>
      <c r="T2198" s="399"/>
      <c r="U2198" s="399"/>
      <c r="V2198" s="399"/>
      <c r="W2198" s="399"/>
      <c r="X2198" s="399"/>
    </row>
    <row r="2199">
      <c r="A2199" s="402">
        <f t="array" ref="A2199">INDIRECT("Tableau!$A$120")</f>
        <v>349</v>
      </c>
      <c r="B2199" s="398" t="s">
        <v>474</v>
      </c>
      <c r="C2199" s="399" t="str">
        <f t="array" ref="C2199">INDIRECT("Tableau!$AA$120")</f>
        <v/>
      </c>
      <c r="D2199" s="399" t="str">
        <f t="shared" si="13"/>
        <v>OUT</v>
      </c>
      <c r="E2199" s="401" t="str">
        <f t="array" ref="E2199">INDIRECT("Tableau!$AB$120")</f>
        <v/>
      </c>
      <c r="F2199" s="399"/>
      <c r="G2199" s="399"/>
      <c r="H2199" s="399"/>
      <c r="I2199" s="399"/>
      <c r="J2199" s="399"/>
      <c r="K2199" s="399"/>
      <c r="L2199" s="399"/>
      <c r="M2199" s="399"/>
      <c r="N2199" s="399"/>
      <c r="O2199" s="399"/>
      <c r="P2199" s="399"/>
      <c r="Q2199" s="399"/>
      <c r="R2199" s="399"/>
      <c r="S2199" s="399"/>
      <c r="T2199" s="399"/>
      <c r="U2199" s="399"/>
      <c r="V2199" s="399"/>
      <c r="W2199" s="399"/>
      <c r="X2199" s="399"/>
    </row>
    <row r="2200">
      <c r="A2200" s="402">
        <f t="array" ref="A2200">INDIRECT("Tableau!$A$121")</f>
        <v>350</v>
      </c>
      <c r="B2200" s="398" t="s">
        <v>474</v>
      </c>
      <c r="C2200" s="399" t="str">
        <f t="array" ref="C2200">INDIRECT("Tableau!$AA$121")</f>
        <v>DPS</v>
      </c>
      <c r="D2200" s="399" t="str">
        <f t="shared" si="13"/>
        <v>OUT</v>
      </c>
      <c r="E2200" s="401" t="str">
        <f t="array" ref="E2200">INDIRECT("Tableau!$AB$121")</f>
        <v/>
      </c>
      <c r="F2200" s="399"/>
      <c r="G2200" s="399"/>
      <c r="H2200" s="399"/>
      <c r="I2200" s="399"/>
      <c r="J2200" s="399"/>
      <c r="K2200" s="399"/>
      <c r="L2200" s="399"/>
      <c r="M2200" s="399"/>
      <c r="N2200" s="399"/>
      <c r="O2200" s="399"/>
      <c r="P2200" s="399"/>
      <c r="Q2200" s="399"/>
      <c r="R2200" s="399"/>
      <c r="S2200" s="399"/>
      <c r="T2200" s="399"/>
      <c r="U2200" s="399"/>
      <c r="V2200" s="399"/>
      <c r="W2200" s="399"/>
      <c r="X2200" s="399"/>
    </row>
    <row r="2201">
      <c r="A2201" s="402">
        <f t="array" ref="A2201">INDIRECT("Tableau!$A$122")</f>
        <v>351</v>
      </c>
      <c r="B2201" s="398" t="s">
        <v>474</v>
      </c>
      <c r="C2201" s="399" t="str">
        <f t="array" ref="C2201">INDIRECT("Tableau!$AA$122")</f>
        <v/>
      </c>
      <c r="D2201" s="399" t="str">
        <f t="shared" si="13"/>
        <v>OUT</v>
      </c>
      <c r="E2201" s="401" t="str">
        <f t="array" ref="E2201">INDIRECT("Tableau!$AB$122")</f>
        <v/>
      </c>
      <c r="F2201" s="399"/>
      <c r="G2201" s="399"/>
      <c r="H2201" s="399"/>
      <c r="I2201" s="399"/>
      <c r="J2201" s="399"/>
      <c r="K2201" s="399"/>
      <c r="L2201" s="399"/>
      <c r="M2201" s="399"/>
      <c r="N2201" s="399"/>
      <c r="O2201" s="399"/>
      <c r="P2201" s="399"/>
      <c r="Q2201" s="399"/>
      <c r="R2201" s="399"/>
      <c r="S2201" s="399"/>
      <c r="T2201" s="399"/>
      <c r="U2201" s="399"/>
      <c r="V2201" s="399"/>
      <c r="W2201" s="399"/>
      <c r="X2201" s="399"/>
    </row>
    <row r="2202">
      <c r="A2202" s="402">
        <f t="array" ref="A2202">INDIRECT("Tableau!$A$123")</f>
        <v>352</v>
      </c>
      <c r="B2202" s="398" t="s">
        <v>474</v>
      </c>
      <c r="C2202" s="399" t="str">
        <f t="array" ref="C2202">INDIRECT("Tableau!$AA$123")</f>
        <v/>
      </c>
      <c r="D2202" s="399" t="str">
        <f t="shared" si="13"/>
        <v>OUT</v>
      </c>
      <c r="E2202" s="401" t="str">
        <f t="array" ref="E2202">INDIRECT("Tableau!$AB$123")</f>
        <v/>
      </c>
      <c r="F2202" s="399"/>
      <c r="G2202" s="399"/>
      <c r="H2202" s="399"/>
      <c r="I2202" s="399"/>
      <c r="J2202" s="399"/>
      <c r="K2202" s="399"/>
      <c r="L2202" s="399"/>
      <c r="M2202" s="399"/>
      <c r="N2202" s="399"/>
      <c r="O2202" s="399"/>
      <c r="P2202" s="399"/>
      <c r="Q2202" s="399"/>
      <c r="R2202" s="399"/>
      <c r="S2202" s="399"/>
      <c r="T2202" s="399"/>
      <c r="U2202" s="399"/>
      <c r="V2202" s="399"/>
      <c r="W2202" s="399"/>
      <c r="X2202" s="399"/>
    </row>
    <row r="2203">
      <c r="A2203" s="402">
        <f t="array" ref="A2203">INDIRECT("Tableau!$A$124")</f>
        <v>353</v>
      </c>
      <c r="B2203" s="398" t="s">
        <v>474</v>
      </c>
      <c r="C2203" s="399" t="str">
        <f t="array" ref="C2203">INDIRECT("Tableau!$AA$124")</f>
        <v/>
      </c>
      <c r="D2203" s="399" t="str">
        <f t="shared" si="13"/>
        <v>OUT</v>
      </c>
      <c r="E2203" s="401" t="str">
        <f t="array" ref="E2203">INDIRECT("Tableau!$AB$124")</f>
        <v/>
      </c>
      <c r="F2203" s="399"/>
      <c r="G2203" s="399"/>
      <c r="H2203" s="399"/>
      <c r="I2203" s="399"/>
      <c r="J2203" s="399"/>
      <c r="K2203" s="399"/>
      <c r="L2203" s="399"/>
      <c r="M2203" s="399"/>
      <c r="N2203" s="399"/>
      <c r="O2203" s="399"/>
      <c r="P2203" s="399"/>
      <c r="Q2203" s="399"/>
      <c r="R2203" s="399"/>
      <c r="S2203" s="399"/>
      <c r="T2203" s="399"/>
      <c r="U2203" s="399"/>
      <c r="V2203" s="399"/>
      <c r="W2203" s="399"/>
      <c r="X2203" s="399"/>
    </row>
    <row r="2204">
      <c r="A2204" s="397" t="str">
        <f t="array" ref="A2204">INDIRECT("Tableau!$A$125")</f>
        <v/>
      </c>
      <c r="B2204" s="398" t="s">
        <v>474</v>
      </c>
      <c r="C2204" s="399" t="str">
        <f t="array" ref="C2204">INDIRECT("Tableau!$AA$125")</f>
        <v/>
      </c>
      <c r="D2204" s="399" t="str">
        <f t="shared" si="13"/>
        <v>OUT</v>
      </c>
      <c r="E2204" s="401" t="str">
        <f t="array" ref="E2204">INDIRECT("Tableau!$AB$125")</f>
        <v/>
      </c>
      <c r="F2204" s="399"/>
      <c r="G2204" s="399"/>
      <c r="H2204" s="399"/>
      <c r="I2204" s="399"/>
      <c r="J2204" s="399"/>
      <c r="K2204" s="399"/>
      <c r="L2204" s="399"/>
      <c r="M2204" s="399"/>
      <c r="N2204" s="399"/>
      <c r="O2204" s="399"/>
      <c r="P2204" s="399"/>
      <c r="Q2204" s="399"/>
      <c r="R2204" s="399"/>
      <c r="S2204" s="399"/>
      <c r="T2204" s="399"/>
      <c r="U2204" s="399"/>
      <c r="V2204" s="399"/>
      <c r="W2204" s="399"/>
      <c r="X2204" s="399"/>
    </row>
    <row r="2205">
      <c r="A2205" s="402">
        <f t="array" ref="A2205">INDIRECT("Tableau!$A$126")</f>
        <v>354</v>
      </c>
      <c r="B2205" s="398" t="s">
        <v>474</v>
      </c>
      <c r="C2205" s="399" t="str">
        <f t="array" ref="C2205">INDIRECT("Tableau!$AA$126")</f>
        <v/>
      </c>
      <c r="D2205" s="399" t="str">
        <f t="shared" si="13"/>
        <v>OUT</v>
      </c>
      <c r="E2205" s="401" t="str">
        <f t="array" ref="E2205">INDIRECT("Tableau!$AB$126")</f>
        <v/>
      </c>
      <c r="F2205" s="399"/>
      <c r="G2205" s="399"/>
      <c r="H2205" s="399"/>
      <c r="I2205" s="399"/>
      <c r="J2205" s="399"/>
      <c r="K2205" s="399"/>
      <c r="L2205" s="399"/>
      <c r="M2205" s="399"/>
      <c r="N2205" s="399"/>
      <c r="O2205" s="399"/>
      <c r="P2205" s="399"/>
      <c r="Q2205" s="399"/>
      <c r="R2205" s="399"/>
      <c r="S2205" s="399"/>
      <c r="T2205" s="399"/>
      <c r="U2205" s="399"/>
      <c r="V2205" s="399"/>
      <c r="W2205" s="399"/>
      <c r="X2205" s="399"/>
    </row>
    <row r="2206">
      <c r="A2206" s="404">
        <f t="array" ref="A2206">INDIRECT("Tableau!$A$127")</f>
        <v>355</v>
      </c>
      <c r="B2206" s="398" t="s">
        <v>474</v>
      </c>
      <c r="C2206" s="399" t="str">
        <f t="array" ref="C2206">INDIRECT("Tableau!$AA$127")</f>
        <v/>
      </c>
      <c r="D2206" s="399" t="str">
        <f t="shared" si="13"/>
        <v>OUT</v>
      </c>
      <c r="E2206" s="401" t="str">
        <f t="array" ref="E2206">INDIRECT("Tableau!$AB$127")</f>
        <v/>
      </c>
      <c r="F2206" s="399"/>
      <c r="G2206" s="399"/>
      <c r="H2206" s="399"/>
      <c r="I2206" s="399"/>
      <c r="J2206" s="399"/>
      <c r="K2206" s="399"/>
      <c r="L2206" s="399"/>
      <c r="M2206" s="399"/>
      <c r="N2206" s="399"/>
      <c r="O2206" s="399"/>
      <c r="P2206" s="399"/>
      <c r="Q2206" s="399"/>
      <c r="R2206" s="399"/>
      <c r="S2206" s="399"/>
      <c r="T2206" s="399"/>
      <c r="U2206" s="399"/>
      <c r="V2206" s="399"/>
      <c r="W2206" s="399"/>
      <c r="X2206" s="399"/>
    </row>
    <row r="2207">
      <c r="A2207" s="404">
        <f t="array" ref="A2207">INDIRECT("Tableau!$A$128")</f>
        <v>356</v>
      </c>
      <c r="B2207" s="398" t="s">
        <v>474</v>
      </c>
      <c r="C2207" s="399" t="str">
        <f t="array" ref="C2207">INDIRECT("Tableau!$AA$128")</f>
        <v/>
      </c>
      <c r="D2207" s="399" t="str">
        <f t="shared" si="13"/>
        <v>OUT</v>
      </c>
      <c r="E2207" s="401" t="str">
        <f t="array" ref="E2207">INDIRECT("Tableau!$AB$128")</f>
        <v/>
      </c>
      <c r="F2207" s="399"/>
      <c r="G2207" s="399"/>
      <c r="H2207" s="399"/>
      <c r="I2207" s="399"/>
      <c r="J2207" s="399"/>
      <c r="K2207" s="399"/>
      <c r="L2207" s="399"/>
      <c r="M2207" s="399"/>
      <c r="N2207" s="399"/>
      <c r="O2207" s="399"/>
      <c r="P2207" s="399"/>
      <c r="Q2207" s="399"/>
      <c r="R2207" s="399"/>
      <c r="S2207" s="399"/>
      <c r="T2207" s="399"/>
      <c r="U2207" s="399"/>
      <c r="V2207" s="399"/>
      <c r="W2207" s="399"/>
      <c r="X2207" s="399"/>
    </row>
    <row r="2208">
      <c r="A2208" s="404">
        <f t="array" ref="A2208">INDIRECT("Tableau!$A$129")</f>
        <v>357</v>
      </c>
      <c r="B2208" s="398" t="s">
        <v>474</v>
      </c>
      <c r="C2208" s="399" t="str">
        <f t="array" ref="C2208">INDIRECT("Tableau!$AA$129")</f>
        <v/>
      </c>
      <c r="D2208" s="399" t="str">
        <f t="shared" si="13"/>
        <v>OUT</v>
      </c>
      <c r="E2208" s="401" t="str">
        <f t="array" ref="E2208">INDIRECT("Tableau!$AB$129")</f>
        <v/>
      </c>
      <c r="F2208" s="399"/>
      <c r="G2208" s="399"/>
      <c r="H2208" s="399"/>
      <c r="I2208" s="399"/>
      <c r="J2208" s="399"/>
      <c r="K2208" s="399"/>
      <c r="L2208" s="399"/>
      <c r="M2208" s="399"/>
      <c r="N2208" s="399"/>
      <c r="O2208" s="399"/>
      <c r="P2208" s="399"/>
      <c r="Q2208" s="399"/>
      <c r="R2208" s="399"/>
      <c r="S2208" s="399"/>
      <c r="T2208" s="399"/>
      <c r="U2208" s="399"/>
      <c r="V2208" s="399"/>
      <c r="W2208" s="399"/>
      <c r="X2208" s="399"/>
    </row>
    <row r="2209">
      <c r="A2209" s="405" t="str">
        <f t="array" ref="A2209">INDIRECT("Tableau!$A$130")</f>
        <v/>
      </c>
      <c r="B2209" s="398" t="s">
        <v>474</v>
      </c>
      <c r="C2209" s="399" t="str">
        <f t="array" ref="C2209">INDIRECT("Tableau!$AA$130")</f>
        <v/>
      </c>
      <c r="D2209" s="399" t="str">
        <f t="shared" si="13"/>
        <v>OUT</v>
      </c>
      <c r="E2209" s="401" t="str">
        <f t="array" ref="E2209">INDIRECT("Tableau!$AB$130")</f>
        <v/>
      </c>
      <c r="F2209" s="399"/>
      <c r="G2209" s="399"/>
      <c r="H2209" s="399"/>
      <c r="I2209" s="399"/>
      <c r="J2209" s="399"/>
      <c r="K2209" s="399"/>
      <c r="L2209" s="399"/>
      <c r="M2209" s="399"/>
      <c r="N2209" s="399"/>
      <c r="O2209" s="399"/>
      <c r="P2209" s="399"/>
      <c r="Q2209" s="399"/>
      <c r="R2209" s="399"/>
      <c r="S2209" s="399"/>
      <c r="T2209" s="399"/>
      <c r="U2209" s="399"/>
      <c r="V2209" s="399"/>
      <c r="W2209" s="399"/>
      <c r="X2209" s="399"/>
    </row>
    <row r="2210">
      <c r="A2210" s="405" t="str">
        <f t="array" ref="A2210">INDIRECT("Tableau!$A$131")</f>
        <v/>
      </c>
      <c r="B2210" s="398" t="s">
        <v>474</v>
      </c>
      <c r="C2210" s="399" t="str">
        <f t="array" ref="C2210">INDIRECT("Tableau!$AA$131")</f>
        <v/>
      </c>
      <c r="D2210" s="399" t="str">
        <f t="shared" si="13"/>
        <v>OUT</v>
      </c>
      <c r="E2210" s="401" t="str">
        <f t="array" ref="E2210">INDIRECT("Tableau!$AB$131")</f>
        <v/>
      </c>
      <c r="F2210" s="399"/>
      <c r="G2210" s="399"/>
      <c r="H2210" s="399"/>
      <c r="I2210" s="399"/>
      <c r="J2210" s="399"/>
      <c r="K2210" s="399"/>
      <c r="L2210" s="399"/>
      <c r="M2210" s="399"/>
      <c r="N2210" s="399"/>
      <c r="O2210" s="399"/>
      <c r="P2210" s="399"/>
      <c r="Q2210" s="399"/>
      <c r="R2210" s="399"/>
      <c r="S2210" s="399"/>
      <c r="T2210" s="399"/>
      <c r="U2210" s="399"/>
      <c r="V2210" s="399"/>
      <c r="W2210" s="399"/>
      <c r="X2210" s="399"/>
    </row>
    <row r="2211">
      <c r="A2211" s="405" t="str">
        <f t="array" ref="A2211">INDIRECT("Tableau!$A$132")</f>
        <v/>
      </c>
      <c r="B2211" s="398" t="s">
        <v>474</v>
      </c>
      <c r="C2211" s="399" t="str">
        <f t="array" ref="C2211">INDIRECT("Tableau!$AA$132")</f>
        <v/>
      </c>
      <c r="D2211" s="399" t="str">
        <f t="shared" si="13"/>
        <v>OUT</v>
      </c>
      <c r="E2211" s="401" t="str">
        <f t="array" ref="E2211">INDIRECT("Tableau!$AB$132")</f>
        <v/>
      </c>
      <c r="F2211" s="399"/>
      <c r="G2211" s="399"/>
      <c r="H2211" s="399"/>
      <c r="I2211" s="399"/>
      <c r="J2211" s="399"/>
      <c r="K2211" s="399"/>
      <c r="L2211" s="399"/>
      <c r="M2211" s="399"/>
      <c r="N2211" s="399"/>
      <c r="O2211" s="399"/>
      <c r="P2211" s="399"/>
      <c r="Q2211" s="399"/>
      <c r="R2211" s="399"/>
      <c r="S2211" s="399"/>
      <c r="T2211" s="399"/>
      <c r="U2211" s="399"/>
      <c r="V2211" s="399"/>
      <c r="W2211" s="399"/>
      <c r="X2211" s="399"/>
    </row>
    <row r="2212">
      <c r="A2212" s="405" t="str">
        <f t="array" ref="A2212">INDIRECT("Tableau!$A$133")</f>
        <v/>
      </c>
      <c r="B2212" s="398" t="s">
        <v>474</v>
      </c>
      <c r="C2212" s="399" t="str">
        <f t="array" ref="C2212">INDIRECT("Tableau!$AA$133")</f>
        <v/>
      </c>
      <c r="D2212" s="399" t="str">
        <f t="shared" si="13"/>
        <v>OUT</v>
      </c>
      <c r="E2212" s="401" t="str">
        <f t="array" ref="E2212">INDIRECT("Tableau!$AB$133")</f>
        <v/>
      </c>
      <c r="F2212" s="399"/>
      <c r="G2212" s="399"/>
      <c r="H2212" s="399"/>
      <c r="I2212" s="399"/>
      <c r="J2212" s="399"/>
      <c r="K2212" s="399"/>
      <c r="L2212" s="399"/>
      <c r="M2212" s="399"/>
      <c r="N2212" s="399"/>
      <c r="O2212" s="399"/>
      <c r="P2212" s="399"/>
      <c r="Q2212" s="399"/>
      <c r="R2212" s="399"/>
      <c r="S2212" s="399"/>
      <c r="T2212" s="399"/>
      <c r="U2212" s="399"/>
      <c r="V2212" s="399"/>
      <c r="W2212" s="399"/>
      <c r="X2212" s="399"/>
    </row>
    <row r="2213">
      <c r="A2213" s="405" t="str">
        <f t="array" ref="A2213">INDIRECT("Tableau!$A$134")</f>
        <v/>
      </c>
      <c r="B2213" s="398" t="s">
        <v>474</v>
      </c>
      <c r="C2213" s="399" t="str">
        <f t="array" ref="C2213">INDIRECT("Tableau!$AA$134")</f>
        <v/>
      </c>
      <c r="D2213" s="399" t="str">
        <f t="shared" si="13"/>
        <v>OUT</v>
      </c>
      <c r="E2213" s="401" t="str">
        <f t="array" ref="E2213">INDIRECT("Tableau!$AB$134")</f>
        <v/>
      </c>
      <c r="F2213" s="399"/>
      <c r="G2213" s="399"/>
      <c r="H2213" s="399"/>
      <c r="I2213" s="399"/>
      <c r="J2213" s="399"/>
      <c r="K2213" s="399"/>
      <c r="L2213" s="399"/>
      <c r="M2213" s="399"/>
      <c r="N2213" s="399"/>
      <c r="O2213" s="399"/>
      <c r="P2213" s="399"/>
      <c r="Q2213" s="399"/>
      <c r="R2213" s="399"/>
      <c r="S2213" s="399"/>
      <c r="T2213" s="399"/>
      <c r="U2213" s="399"/>
      <c r="V2213" s="399"/>
      <c r="W2213" s="399"/>
      <c r="X2213" s="399"/>
    </row>
    <row r="2214">
      <c r="A2214" s="402">
        <f t="array" ref="A2214">INDIRECT("Tableau!$A$135")</f>
        <v>401</v>
      </c>
      <c r="B2214" s="398" t="s">
        <v>474</v>
      </c>
      <c r="C2214" s="399" t="str">
        <f t="array" ref="C2214">INDIRECT("Tableau!$AA$135")</f>
        <v/>
      </c>
      <c r="D2214" s="399" t="str">
        <f t="shared" si="13"/>
        <v>OUT</v>
      </c>
      <c r="E2214" s="401" t="str">
        <f t="array" ref="E2214">INDIRECT("Tableau!$AB$135")</f>
        <v/>
      </c>
      <c r="F2214" s="399"/>
      <c r="G2214" s="399"/>
      <c r="H2214" s="399"/>
      <c r="I2214" s="399"/>
      <c r="J2214" s="399"/>
      <c r="K2214" s="399"/>
      <c r="L2214" s="399"/>
      <c r="M2214" s="399"/>
      <c r="N2214" s="399"/>
      <c r="O2214" s="399"/>
      <c r="P2214" s="399"/>
      <c r="Q2214" s="399"/>
      <c r="R2214" s="399"/>
      <c r="S2214" s="399"/>
      <c r="T2214" s="399"/>
      <c r="U2214" s="399"/>
      <c r="V2214" s="399"/>
      <c r="W2214" s="399"/>
      <c r="X2214" s="399"/>
    </row>
    <row r="2215">
      <c r="A2215" s="402">
        <f t="array" ref="A2215">INDIRECT("Tableau!$A$136")</f>
        <v>402</v>
      </c>
      <c r="B2215" s="398" t="s">
        <v>474</v>
      </c>
      <c r="C2215" s="399" t="str">
        <f t="array" ref="C2215">INDIRECT("Tableau!$AA$136")</f>
        <v/>
      </c>
      <c r="D2215" s="399" t="str">
        <f t="shared" si="13"/>
        <v>OUT</v>
      </c>
      <c r="E2215" s="401" t="str">
        <f t="array" ref="E2215">INDIRECT("Tableau!$AB$136")</f>
        <v/>
      </c>
      <c r="F2215" s="399"/>
      <c r="G2215" s="399"/>
      <c r="H2215" s="399"/>
      <c r="I2215" s="399"/>
      <c r="J2215" s="399"/>
      <c r="K2215" s="399"/>
      <c r="L2215" s="399"/>
      <c r="M2215" s="399"/>
      <c r="N2215" s="399"/>
      <c r="O2215" s="399"/>
      <c r="P2215" s="399"/>
      <c r="Q2215" s="399"/>
      <c r="R2215" s="399"/>
      <c r="S2215" s="399"/>
      <c r="T2215" s="399"/>
      <c r="U2215" s="399"/>
      <c r="V2215" s="399"/>
      <c r="W2215" s="399"/>
      <c r="X2215" s="399"/>
    </row>
    <row r="2216">
      <c r="A2216" s="402">
        <f t="array" ref="A2216">INDIRECT("Tableau!$A$137")</f>
        <v>403</v>
      </c>
      <c r="B2216" s="398" t="s">
        <v>474</v>
      </c>
      <c r="C2216" s="399" t="str">
        <f t="array" ref="C2216">INDIRECT("Tableau!$AA$137")</f>
        <v/>
      </c>
      <c r="D2216" s="399" t="str">
        <f t="shared" si="13"/>
        <v>OUT</v>
      </c>
      <c r="E2216" s="401" t="str">
        <f t="array" ref="E2216">INDIRECT("Tableau!$AB$137")</f>
        <v/>
      </c>
      <c r="F2216" s="399"/>
      <c r="G2216" s="399"/>
      <c r="H2216" s="399"/>
      <c r="I2216" s="399"/>
      <c r="J2216" s="399"/>
      <c r="K2216" s="399"/>
      <c r="L2216" s="399"/>
      <c r="M2216" s="399"/>
      <c r="N2216" s="399"/>
      <c r="O2216" s="399"/>
      <c r="P2216" s="399"/>
      <c r="Q2216" s="399"/>
      <c r="R2216" s="399"/>
      <c r="S2216" s="399"/>
      <c r="T2216" s="399"/>
      <c r="U2216" s="399"/>
      <c r="V2216" s="399"/>
      <c r="W2216" s="399"/>
      <c r="X2216" s="399"/>
    </row>
    <row r="2217">
      <c r="A2217" s="402">
        <f t="array" ref="A2217">INDIRECT("Tableau!$A$138")</f>
        <v>404</v>
      </c>
      <c r="B2217" s="398" t="s">
        <v>474</v>
      </c>
      <c r="C2217" s="399" t="str">
        <f t="array" ref="C2217">INDIRECT("Tableau!$AA$138")</f>
        <v/>
      </c>
      <c r="D2217" s="399" t="str">
        <f t="shared" si="13"/>
        <v>OUT</v>
      </c>
      <c r="E2217" s="401" t="str">
        <f t="array" ref="E2217">INDIRECT("Tableau!$AB$138")</f>
        <v/>
      </c>
      <c r="F2217" s="399"/>
      <c r="G2217" s="399"/>
      <c r="H2217" s="399"/>
      <c r="I2217" s="399"/>
      <c r="J2217" s="399"/>
      <c r="K2217" s="399"/>
      <c r="L2217" s="399"/>
      <c r="M2217" s="399"/>
      <c r="N2217" s="399"/>
      <c r="O2217" s="399"/>
      <c r="P2217" s="399"/>
      <c r="Q2217" s="399"/>
      <c r="R2217" s="399"/>
      <c r="S2217" s="399"/>
      <c r="T2217" s="399"/>
      <c r="U2217" s="399"/>
      <c r="V2217" s="399"/>
      <c r="W2217" s="399"/>
      <c r="X2217" s="399"/>
    </row>
    <row r="2218">
      <c r="A2218" s="402">
        <f t="array" ref="A2218">INDIRECT("Tableau!$A$139")</f>
        <v>405</v>
      </c>
      <c r="B2218" s="398" t="s">
        <v>474</v>
      </c>
      <c r="C2218" s="399" t="str">
        <f t="array" ref="C2218">INDIRECT("Tableau!$AA$139")</f>
        <v/>
      </c>
      <c r="D2218" s="399" t="str">
        <f t="shared" si="13"/>
        <v>OUT</v>
      </c>
      <c r="E2218" s="401" t="str">
        <f t="array" ref="E2218">INDIRECT("Tableau!$AB$139")</f>
        <v/>
      </c>
      <c r="F2218" s="399"/>
      <c r="G2218" s="399"/>
      <c r="H2218" s="399"/>
      <c r="I2218" s="399"/>
      <c r="J2218" s="399"/>
      <c r="K2218" s="399"/>
      <c r="L2218" s="399"/>
      <c r="M2218" s="399"/>
      <c r="N2218" s="399"/>
      <c r="O2218" s="399"/>
      <c r="P2218" s="399"/>
      <c r="Q2218" s="399"/>
      <c r="R2218" s="399"/>
      <c r="S2218" s="399"/>
      <c r="T2218" s="399"/>
      <c r="U2218" s="399"/>
      <c r="V2218" s="399"/>
      <c r="W2218" s="399"/>
      <c r="X2218" s="399"/>
    </row>
    <row r="2219">
      <c r="A2219" s="402">
        <f t="array" ref="A2219">INDIRECT("Tableau!$A$140")</f>
        <v>406</v>
      </c>
      <c r="B2219" s="398" t="s">
        <v>474</v>
      </c>
      <c r="C2219" s="399" t="str">
        <f t="array" ref="C2219">INDIRECT("Tableau!$AA$140")</f>
        <v/>
      </c>
      <c r="D2219" s="399" t="str">
        <f t="shared" si="13"/>
        <v>OUT</v>
      </c>
      <c r="E2219" s="401" t="str">
        <f t="array" ref="E2219">INDIRECT("Tableau!$AB$140")</f>
        <v/>
      </c>
      <c r="F2219" s="399"/>
      <c r="G2219" s="399"/>
      <c r="H2219" s="399"/>
      <c r="I2219" s="399"/>
      <c r="J2219" s="399"/>
      <c r="K2219" s="399"/>
      <c r="L2219" s="399"/>
      <c r="M2219" s="399"/>
      <c r="N2219" s="399"/>
      <c r="O2219" s="399"/>
      <c r="P2219" s="399"/>
      <c r="Q2219" s="399"/>
      <c r="R2219" s="399"/>
      <c r="S2219" s="399"/>
      <c r="T2219" s="399"/>
      <c r="U2219" s="399"/>
      <c r="V2219" s="399"/>
      <c r="W2219" s="399"/>
      <c r="X2219" s="399"/>
    </row>
    <row r="2220">
      <c r="A2220" s="404">
        <f t="array" ref="A2220">INDIRECT("Tableau!$A$141")</f>
        <v>407</v>
      </c>
      <c r="B2220" s="398" t="s">
        <v>474</v>
      </c>
      <c r="C2220" s="399" t="str">
        <f t="array" ref="C2220">INDIRECT("Tableau!$AA$141")</f>
        <v/>
      </c>
      <c r="D2220" s="399" t="str">
        <f t="shared" si="13"/>
        <v>OUT</v>
      </c>
      <c r="E2220" s="401" t="str">
        <f t="array" ref="E2220">INDIRECT("Tableau!$AB$141")</f>
        <v/>
      </c>
      <c r="F2220" s="399"/>
      <c r="G2220" s="399"/>
      <c r="H2220" s="399"/>
      <c r="I2220" s="399"/>
      <c r="J2220" s="399"/>
      <c r="K2220" s="399"/>
      <c r="L2220" s="399"/>
      <c r="M2220" s="399"/>
      <c r="N2220" s="399"/>
      <c r="O2220" s="399"/>
      <c r="P2220" s="399"/>
      <c r="Q2220" s="399"/>
      <c r="R2220" s="399"/>
      <c r="S2220" s="399"/>
      <c r="T2220" s="399"/>
      <c r="U2220" s="399"/>
      <c r="V2220" s="399"/>
      <c r="W2220" s="399"/>
      <c r="X2220" s="399"/>
    </row>
    <row r="2221">
      <c r="A2221" s="404">
        <f t="array" ref="A2221">INDIRECT("Tableau!$A$142")</f>
        <v>408</v>
      </c>
      <c r="B2221" s="398" t="s">
        <v>474</v>
      </c>
      <c r="C2221" s="399" t="str">
        <f t="array" ref="C2221">INDIRECT("Tableau!$AA$142")</f>
        <v/>
      </c>
      <c r="D2221" s="399" t="str">
        <f t="shared" si="13"/>
        <v>OUT</v>
      </c>
      <c r="E2221" s="401" t="str">
        <f t="array" ref="E2221">INDIRECT("Tableau!$AB$142")</f>
        <v/>
      </c>
      <c r="F2221" s="399"/>
      <c r="G2221" s="399"/>
      <c r="H2221" s="399"/>
      <c r="I2221" s="399"/>
      <c r="J2221" s="399"/>
      <c r="K2221" s="399"/>
      <c r="L2221" s="399"/>
      <c r="M2221" s="399"/>
      <c r="N2221" s="399"/>
      <c r="O2221" s="399"/>
      <c r="P2221" s="399"/>
      <c r="Q2221" s="399"/>
      <c r="R2221" s="399"/>
      <c r="S2221" s="399"/>
      <c r="T2221" s="399"/>
      <c r="U2221" s="399"/>
      <c r="V2221" s="399"/>
      <c r="W2221" s="399"/>
      <c r="X2221" s="399"/>
    </row>
    <row r="2222">
      <c r="A2222" s="404">
        <f t="array" ref="A2222">INDIRECT("Tableau!$A$143")</f>
        <v>409</v>
      </c>
      <c r="B2222" s="398" t="s">
        <v>474</v>
      </c>
      <c r="C2222" s="399" t="str">
        <f t="array" ref="C2222">INDIRECT("Tableau!$AA$143")</f>
        <v>DEMA</v>
      </c>
      <c r="D2222" s="399" t="str">
        <f t="shared" si="13"/>
        <v>OUT</v>
      </c>
      <c r="E2222" s="401" t="str">
        <f t="array" ref="E2222">INDIRECT("Tableau!$AB$143")</f>
        <v/>
      </c>
      <c r="F2222" s="399"/>
      <c r="G2222" s="399"/>
      <c r="H2222" s="399"/>
      <c r="I2222" s="399"/>
      <c r="J2222" s="399"/>
      <c r="K2222" s="399"/>
      <c r="L2222" s="399"/>
      <c r="M2222" s="399"/>
      <c r="N2222" s="399"/>
      <c r="O2222" s="399"/>
      <c r="P2222" s="399"/>
      <c r="Q2222" s="399"/>
      <c r="R2222" s="399"/>
      <c r="S2222" s="399"/>
      <c r="T2222" s="399"/>
      <c r="U2222" s="399"/>
      <c r="V2222" s="399"/>
      <c r="W2222" s="399"/>
      <c r="X2222" s="399"/>
    </row>
    <row r="2223">
      <c r="A2223" s="405">
        <f t="array" ref="A2223">INDIRECT("Tableau!$A$144")</f>
        <v>415</v>
      </c>
      <c r="B2223" s="398" t="s">
        <v>474</v>
      </c>
      <c r="C2223" s="399" t="str">
        <f t="array" ref="C2223">INDIRECT("Tableau!$AA$144")</f>
        <v/>
      </c>
      <c r="D2223" s="399" t="str">
        <f t="shared" si="13"/>
        <v>OUT</v>
      </c>
      <c r="E2223" s="401" t="str">
        <f t="array" ref="E2223">INDIRECT("Tableau!$AB$144")</f>
        <v/>
      </c>
      <c r="F2223" s="399"/>
      <c r="G2223" s="399"/>
      <c r="H2223" s="399"/>
      <c r="I2223" s="399"/>
      <c r="J2223" s="399"/>
      <c r="K2223" s="399"/>
      <c r="L2223" s="399"/>
      <c r="M2223" s="399"/>
      <c r="N2223" s="399"/>
      <c r="O2223" s="399"/>
      <c r="P2223" s="399"/>
      <c r="Q2223" s="399"/>
      <c r="R2223" s="399"/>
      <c r="S2223" s="399"/>
      <c r="T2223" s="399"/>
      <c r="U2223" s="399"/>
      <c r="V2223" s="399"/>
      <c r="W2223" s="399"/>
      <c r="X2223" s="399"/>
    </row>
    <row r="2224">
      <c r="A2224" s="405" t="str">
        <f t="array" ref="A2224">INDIRECT("Tableau!$A$145")</f>
        <v/>
      </c>
      <c r="B2224" s="398" t="s">
        <v>474</v>
      </c>
      <c r="C2224" s="399" t="str">
        <f t="array" ref="C2224">INDIRECT("Tableau!$AA$145")</f>
        <v/>
      </c>
      <c r="D2224" s="399" t="str">
        <f t="shared" si="13"/>
        <v>OUT</v>
      </c>
      <c r="E2224" s="401" t="str">
        <f t="array" ref="E2224">INDIRECT("Tableau!$AB$145")</f>
        <v/>
      </c>
      <c r="F2224" s="399"/>
      <c r="G2224" s="399"/>
      <c r="H2224" s="399"/>
      <c r="I2224" s="399"/>
      <c r="J2224" s="399"/>
      <c r="K2224" s="399"/>
      <c r="L2224" s="399"/>
      <c r="M2224" s="399"/>
      <c r="N2224" s="399"/>
      <c r="O2224" s="399"/>
      <c r="P2224" s="399"/>
      <c r="Q2224" s="399"/>
      <c r="R2224" s="399"/>
      <c r="S2224" s="399"/>
      <c r="T2224" s="399"/>
      <c r="U2224" s="399"/>
      <c r="V2224" s="399"/>
      <c r="W2224" s="399"/>
      <c r="X2224" s="399"/>
    </row>
    <row r="2225">
      <c r="A2225" s="405" t="str">
        <f t="array" ref="A2225">INDIRECT("Tableau!$A$146")</f>
        <v/>
      </c>
      <c r="B2225" s="398" t="s">
        <v>474</v>
      </c>
      <c r="C2225" s="399" t="str">
        <f t="array" ref="C2225">INDIRECT("Tableau!$AA$146")</f>
        <v/>
      </c>
      <c r="D2225" s="399" t="str">
        <f t="shared" si="13"/>
        <v>OUT</v>
      </c>
      <c r="E2225" s="401" t="str">
        <f t="array" ref="E2225">INDIRECT("Tableau!$AB$146")</f>
        <v/>
      </c>
      <c r="F2225" s="399"/>
      <c r="G2225" s="399"/>
      <c r="H2225" s="399"/>
      <c r="I2225" s="399"/>
      <c r="J2225" s="399"/>
      <c r="K2225" s="399"/>
      <c r="L2225" s="399"/>
      <c r="M2225" s="399"/>
      <c r="N2225" s="399"/>
      <c r="O2225" s="399"/>
      <c r="P2225" s="399"/>
      <c r="Q2225" s="399"/>
      <c r="R2225" s="399"/>
      <c r="S2225" s="399"/>
      <c r="T2225" s="399"/>
      <c r="U2225" s="399"/>
      <c r="V2225" s="399"/>
      <c r="W2225" s="399"/>
      <c r="X2225" s="399"/>
    </row>
    <row r="2226">
      <c r="A2226" s="405" t="str">
        <f t="array" ref="A2226">INDIRECT("Tableau!$A$147")</f>
        <v/>
      </c>
      <c r="B2226" s="398" t="s">
        <v>474</v>
      </c>
      <c r="C2226" s="399" t="str">
        <f t="array" ref="C2226">INDIRECT("Tableau!$AA$147")</f>
        <v/>
      </c>
      <c r="D2226" s="399" t="str">
        <f t="shared" si="13"/>
        <v>OUT</v>
      </c>
      <c r="E2226" s="401" t="str">
        <f t="array" ref="E2226">INDIRECT("Tableau!$AB$147")</f>
        <v/>
      </c>
      <c r="F2226" s="399"/>
      <c r="G2226" s="399"/>
      <c r="H2226" s="399"/>
      <c r="I2226" s="399"/>
      <c r="J2226" s="399"/>
      <c r="K2226" s="399"/>
      <c r="L2226" s="399"/>
      <c r="M2226" s="399"/>
      <c r="N2226" s="399"/>
      <c r="O2226" s="399"/>
      <c r="P2226" s="399"/>
      <c r="Q2226" s="399"/>
      <c r="R2226" s="399"/>
      <c r="S2226" s="399"/>
      <c r="T2226" s="399"/>
      <c r="U2226" s="399"/>
      <c r="V2226" s="399"/>
      <c r="W2226" s="399"/>
      <c r="X2226" s="399"/>
    </row>
    <row r="2227">
      <c r="A2227" s="405" t="str">
        <f t="array" ref="A2227">INDIRECT("Tableau!$A$148")</f>
        <v/>
      </c>
      <c r="B2227" s="398" t="s">
        <v>474</v>
      </c>
      <c r="C2227" s="399" t="str">
        <f t="array" ref="C2227">INDIRECT("Tableau!$AA$148")</f>
        <v/>
      </c>
      <c r="D2227" s="399" t="str">
        <f t="shared" si="13"/>
        <v>OUT</v>
      </c>
      <c r="E2227" s="401" t="str">
        <f t="array" ref="E2227">INDIRECT("Tableau!$AB$148")</f>
        <v/>
      </c>
      <c r="F2227" s="399"/>
      <c r="G2227" s="399"/>
      <c r="H2227" s="399"/>
      <c r="I2227" s="399"/>
      <c r="J2227" s="399"/>
      <c r="K2227" s="399"/>
      <c r="L2227" s="399"/>
      <c r="M2227" s="399"/>
      <c r="N2227" s="399"/>
      <c r="O2227" s="399"/>
      <c r="P2227" s="399"/>
      <c r="Q2227" s="399"/>
      <c r="R2227" s="399"/>
      <c r="S2227" s="399"/>
      <c r="T2227" s="399"/>
      <c r="U2227" s="399"/>
      <c r="V2227" s="399"/>
      <c r="W2227" s="399"/>
      <c r="X2227" s="399"/>
    </row>
    <row r="2228">
      <c r="A2228" s="405" t="str">
        <f t="array" ref="A2228">INDIRECT("Tableau!$A$149")</f>
        <v/>
      </c>
      <c r="B2228" s="398" t="s">
        <v>474</v>
      </c>
      <c r="C2228" s="399" t="str">
        <f t="array" ref="C2228">INDIRECT("Tableau!$AA$149")</f>
        <v/>
      </c>
      <c r="D2228" s="399" t="str">
        <f t="shared" si="13"/>
        <v>OUT</v>
      </c>
      <c r="E2228" s="401" t="str">
        <f t="array" ref="E2228">INDIRECT("Tableau!$AB$149")</f>
        <v/>
      </c>
      <c r="F2228" s="399"/>
      <c r="G2228" s="399"/>
      <c r="H2228" s="399"/>
      <c r="I2228" s="399"/>
      <c r="J2228" s="399"/>
      <c r="K2228" s="399"/>
      <c r="L2228" s="399"/>
      <c r="M2228" s="399"/>
      <c r="N2228" s="399"/>
      <c r="O2228" s="399"/>
      <c r="P2228" s="399"/>
      <c r="Q2228" s="399"/>
      <c r="R2228" s="399"/>
      <c r="S2228" s="399"/>
      <c r="T2228" s="399"/>
      <c r="U2228" s="399"/>
      <c r="V2228" s="399"/>
      <c r="W2228" s="399"/>
      <c r="X2228" s="399"/>
    </row>
    <row r="2229">
      <c r="A2229" s="405" t="str">
        <f t="array" ref="A2229">INDIRECT("Tableau!$A$150")</f>
        <v/>
      </c>
      <c r="B2229" s="398" t="s">
        <v>474</v>
      </c>
      <c r="C2229" s="399" t="str">
        <f t="array" ref="C2229">INDIRECT("Tableau!$AA$150")</f>
        <v/>
      </c>
      <c r="D2229" s="399" t="str">
        <f t="shared" si="13"/>
        <v>OUT</v>
      </c>
      <c r="E2229" s="401" t="str">
        <f t="array" ref="E2229">INDIRECT("Tableau!$AB$150")</f>
        <v/>
      </c>
      <c r="F2229" s="399"/>
      <c r="G2229" s="399"/>
      <c r="H2229" s="399"/>
      <c r="I2229" s="399"/>
      <c r="J2229" s="399"/>
      <c r="K2229" s="399"/>
      <c r="L2229" s="399"/>
      <c r="M2229" s="399"/>
      <c r="N2229" s="399"/>
      <c r="O2229" s="399"/>
      <c r="P2229" s="399"/>
      <c r="Q2229" s="399"/>
      <c r="R2229" s="399"/>
      <c r="S2229" s="399"/>
      <c r="T2229" s="399"/>
      <c r="U2229" s="399"/>
      <c r="V2229" s="399"/>
      <c r="W2229" s="399"/>
      <c r="X2229" s="399"/>
    </row>
    <row r="2230">
      <c r="A2230" s="405" t="str">
        <f t="array" ref="A2230">INDIRECT("Tableau!$A$151")</f>
        <v/>
      </c>
      <c r="B2230" s="398" t="s">
        <v>474</v>
      </c>
      <c r="C2230" s="399" t="str">
        <f t="array" ref="C2230">INDIRECT("Tableau!$AA$151")</f>
        <v/>
      </c>
      <c r="D2230" s="399" t="str">
        <f t="shared" si="13"/>
        <v>OUT</v>
      </c>
      <c r="E2230" s="401" t="str">
        <f t="array" ref="E2230">INDIRECT("Tableau!$AB$151")</f>
        <v/>
      </c>
      <c r="F2230" s="399"/>
      <c r="G2230" s="399"/>
      <c r="H2230" s="399"/>
      <c r="I2230" s="399"/>
      <c r="J2230" s="399"/>
      <c r="K2230" s="399"/>
      <c r="L2230" s="399"/>
      <c r="M2230" s="399"/>
      <c r="N2230" s="399"/>
      <c r="O2230" s="399"/>
      <c r="P2230" s="399"/>
      <c r="Q2230" s="399"/>
      <c r="R2230" s="399"/>
      <c r="S2230" s="399"/>
      <c r="T2230" s="399"/>
      <c r="U2230" s="399"/>
      <c r="V2230" s="399"/>
      <c r="W2230" s="399"/>
      <c r="X2230" s="399"/>
    </row>
    <row r="2231">
      <c r="A2231" s="405" t="str">
        <f t="array" ref="A2231">INDIRECT("Tableau!$A$152")</f>
        <v/>
      </c>
      <c r="B2231" s="398" t="s">
        <v>474</v>
      </c>
      <c r="C2231" s="399" t="str">
        <f t="array" ref="C2231">INDIRECT("Tableau!$AA$152")</f>
        <v/>
      </c>
      <c r="D2231" s="399" t="str">
        <f t="shared" si="13"/>
        <v>OUT</v>
      </c>
      <c r="E2231" s="401" t="str">
        <f t="array" ref="E2231">INDIRECT("Tableau!$AB$152")</f>
        <v/>
      </c>
      <c r="F2231" s="399"/>
      <c r="G2231" s="399"/>
      <c r="H2231" s="399"/>
      <c r="I2231" s="399"/>
      <c r="J2231" s="399"/>
      <c r="K2231" s="399"/>
      <c r="L2231" s="399"/>
      <c r="M2231" s="399"/>
      <c r="N2231" s="399"/>
      <c r="O2231" s="399"/>
      <c r="P2231" s="399"/>
      <c r="Q2231" s="399"/>
      <c r="R2231" s="399"/>
      <c r="S2231" s="399"/>
      <c r="T2231" s="399"/>
      <c r="U2231" s="399"/>
      <c r="V2231" s="399"/>
      <c r="W2231" s="399"/>
      <c r="X2231" s="399"/>
    </row>
    <row r="2232">
      <c r="A2232" s="405" t="str">
        <f t="array" ref="A2232">INDIRECT("Tableau!$A$153")</f>
        <v/>
      </c>
      <c r="B2232" s="398" t="s">
        <v>474</v>
      </c>
      <c r="C2232" s="399" t="str">
        <f t="array" ref="C2232">INDIRECT("Tableau!$AA$153")</f>
        <v/>
      </c>
      <c r="D2232" s="399" t="str">
        <f t="shared" si="13"/>
        <v>OUT</v>
      </c>
      <c r="E2232" s="401" t="str">
        <f t="array" ref="E2232">INDIRECT("Tableau!$AB$153")</f>
        <v/>
      </c>
      <c r="F2232" s="399"/>
      <c r="G2232" s="399"/>
      <c r="H2232" s="399"/>
      <c r="I2232" s="399"/>
      <c r="J2232" s="399"/>
      <c r="K2232" s="399"/>
      <c r="L2232" s="399"/>
      <c r="M2232" s="399"/>
      <c r="N2232" s="399"/>
      <c r="O2232" s="399"/>
      <c r="P2232" s="399"/>
      <c r="Q2232" s="399"/>
      <c r="R2232" s="399"/>
      <c r="S2232" s="399"/>
      <c r="T2232" s="399"/>
      <c r="U2232" s="399"/>
      <c r="V2232" s="399"/>
      <c r="W2232" s="399"/>
      <c r="X2232" s="399"/>
    </row>
    <row r="2233">
      <c r="A2233" s="402">
        <f t="array" ref="A2233">INDIRECT("Tableau!$A$154")</f>
        <v>501</v>
      </c>
      <c r="B2233" s="398" t="s">
        <v>474</v>
      </c>
      <c r="C2233" s="399" t="str">
        <f t="array" ref="C2233">INDIRECT("Tableau!$AA$154")</f>
        <v>DPS</v>
      </c>
      <c r="D2233" s="399" t="str">
        <f t="shared" si="13"/>
        <v>OUT</v>
      </c>
      <c r="E2233" s="401" t="str">
        <f t="array" ref="E2233">INDIRECT("Tableau!$AB$154")</f>
        <v/>
      </c>
      <c r="F2233" s="399"/>
      <c r="G2233" s="399"/>
      <c r="H2233" s="399"/>
      <c r="I2233" s="399"/>
      <c r="J2233" s="399"/>
      <c r="K2233" s="399"/>
      <c r="L2233" s="399"/>
      <c r="M2233" s="399"/>
      <c r="N2233" s="399"/>
      <c r="O2233" s="399"/>
      <c r="P2233" s="399"/>
      <c r="Q2233" s="399"/>
      <c r="R2233" s="399"/>
      <c r="S2233" s="399"/>
      <c r="T2233" s="399"/>
      <c r="U2233" s="399"/>
      <c r="V2233" s="399"/>
      <c r="W2233" s="399"/>
      <c r="X2233" s="399"/>
    </row>
    <row r="2234">
      <c r="A2234" s="402">
        <f t="array" ref="A2234">INDIRECT("Tableau!$A$155")</f>
        <v>502</v>
      </c>
      <c r="B2234" s="398" t="s">
        <v>474</v>
      </c>
      <c r="C2234" s="399" t="str">
        <f t="array" ref="C2234">INDIRECT("Tableau!$AA$155")</f>
        <v>Carbelle</v>
      </c>
      <c r="D2234" s="399" t="str">
        <f t="shared" si="13"/>
        <v>OUT</v>
      </c>
      <c r="E2234" s="401" t="str">
        <f t="array" ref="E2234">INDIRECT("Tableau!$AB$155")</f>
        <v/>
      </c>
      <c r="F2234" s="399"/>
      <c r="G2234" s="399"/>
      <c r="H2234" s="399"/>
      <c r="I2234" s="399"/>
      <c r="J2234" s="399"/>
      <c r="K2234" s="399"/>
      <c r="L2234" s="399"/>
      <c r="M2234" s="399"/>
      <c r="N2234" s="399"/>
      <c r="O2234" s="399"/>
      <c r="P2234" s="399"/>
      <c r="Q2234" s="399"/>
      <c r="R2234" s="399"/>
      <c r="S2234" s="399"/>
      <c r="T2234" s="399"/>
      <c r="U2234" s="399"/>
      <c r="V2234" s="399"/>
      <c r="W2234" s="399"/>
      <c r="X2234" s="399"/>
    </row>
    <row r="2235">
      <c r="A2235" s="397" t="str">
        <f t="array" ref="A2235">INDIRECT("Tableau!$A$156")</f>
        <v/>
      </c>
      <c r="B2235" s="398" t="s">
        <v>474</v>
      </c>
      <c r="C2235" s="399" t="str">
        <f t="array" ref="C2235">INDIRECT("Tableau!$AA$156")</f>
        <v>Carbelle</v>
      </c>
      <c r="D2235" s="399" t="str">
        <f t="shared" si="13"/>
        <v>OUT</v>
      </c>
      <c r="E2235" s="401" t="str">
        <f t="array" ref="E2235">INDIRECT("Tableau!$AB$156")</f>
        <v/>
      </c>
      <c r="F2235" s="399"/>
      <c r="G2235" s="399"/>
      <c r="H2235" s="399"/>
      <c r="I2235" s="399"/>
      <c r="J2235" s="399"/>
      <c r="K2235" s="399"/>
      <c r="L2235" s="399"/>
      <c r="M2235" s="399"/>
      <c r="N2235" s="399"/>
      <c r="O2235" s="399"/>
      <c r="P2235" s="399"/>
      <c r="Q2235" s="399"/>
      <c r="R2235" s="399"/>
      <c r="S2235" s="399"/>
      <c r="T2235" s="399"/>
      <c r="U2235" s="399"/>
      <c r="V2235" s="399"/>
      <c r="W2235" s="399"/>
      <c r="X2235" s="399"/>
    </row>
    <row r="2236">
      <c r="A2236" s="397" t="str">
        <f t="array" ref="A2236">INDIRECT("Tableau!$A$157")</f>
        <v/>
      </c>
      <c r="B2236" s="398" t="s">
        <v>474</v>
      </c>
      <c r="C2236" s="399" t="str">
        <f t="array" ref="C2236">INDIRECT("Tableau!$AA$157")</f>
        <v>Carbelle</v>
      </c>
      <c r="D2236" s="399" t="str">
        <f t="shared" si="13"/>
        <v>OUT</v>
      </c>
      <c r="E2236" s="401" t="str">
        <f t="array" ref="E2236">INDIRECT("Tableau!$AB$157")</f>
        <v/>
      </c>
      <c r="F2236" s="399"/>
      <c r="G2236" s="399"/>
      <c r="H2236" s="399"/>
      <c r="I2236" s="399"/>
      <c r="J2236" s="399"/>
      <c r="K2236" s="399"/>
      <c r="L2236" s="399"/>
      <c r="M2236" s="399"/>
      <c r="N2236" s="399"/>
      <c r="O2236" s="399"/>
      <c r="P2236" s="399"/>
      <c r="Q2236" s="399"/>
      <c r="R2236" s="399"/>
      <c r="S2236" s="399"/>
      <c r="T2236" s="399"/>
      <c r="U2236" s="399"/>
      <c r="V2236" s="399"/>
      <c r="W2236" s="399"/>
      <c r="X2236" s="399"/>
    </row>
    <row r="2237">
      <c r="A2237" s="402">
        <f t="array" ref="A2237">INDIRECT("Tableau!$A$158")</f>
        <v>505</v>
      </c>
      <c r="B2237" s="398" t="s">
        <v>474</v>
      </c>
      <c r="C2237" s="399" t="str">
        <f t="array" ref="C2237">INDIRECT("Tableau!$AA$158")</f>
        <v>Carbelle</v>
      </c>
      <c r="D2237" s="399" t="str">
        <f t="shared" si="13"/>
        <v>OUT</v>
      </c>
      <c r="E2237" s="401" t="str">
        <f t="array" ref="E2237">INDIRECT("Tableau!$AB$158")</f>
        <v/>
      </c>
      <c r="F2237" s="399"/>
      <c r="G2237" s="399"/>
      <c r="H2237" s="399"/>
      <c r="I2237" s="399"/>
      <c r="J2237" s="399"/>
      <c r="K2237" s="399"/>
      <c r="L2237" s="399"/>
      <c r="M2237" s="399"/>
      <c r="N2237" s="399"/>
      <c r="O2237" s="399"/>
      <c r="P2237" s="399"/>
      <c r="Q2237" s="399"/>
      <c r="R2237" s="399"/>
      <c r="S2237" s="399"/>
      <c r="T2237" s="399"/>
      <c r="U2237" s="399"/>
      <c r="V2237" s="399"/>
      <c r="W2237" s="399"/>
      <c r="X2237" s="399"/>
    </row>
    <row r="2238">
      <c r="A2238" s="402">
        <f t="array" ref="A2238">INDIRECT("Tableau!$A$159")</f>
        <v>506</v>
      </c>
      <c r="B2238" s="398" t="s">
        <v>474</v>
      </c>
      <c r="C2238" s="399" t="str">
        <f t="array" ref="C2238">INDIRECT("Tableau!$AA$159")</f>
        <v>DPS</v>
      </c>
      <c r="D2238" s="399" t="str">
        <f t="shared" si="13"/>
        <v>OUT</v>
      </c>
      <c r="E2238" s="401" t="str">
        <f t="array" ref="E2238">INDIRECT("Tableau!$AB$159")</f>
        <v/>
      </c>
      <c r="F2238" s="399"/>
      <c r="G2238" s="399"/>
      <c r="H2238" s="399"/>
      <c r="I2238" s="399"/>
      <c r="J2238" s="399"/>
      <c r="K2238" s="399"/>
      <c r="L2238" s="399"/>
      <c r="M2238" s="399"/>
      <c r="N2238" s="399"/>
      <c r="O2238" s="399"/>
      <c r="P2238" s="399"/>
      <c r="Q2238" s="399"/>
      <c r="R2238" s="399"/>
      <c r="S2238" s="399"/>
      <c r="T2238" s="399"/>
      <c r="U2238" s="399"/>
      <c r="V2238" s="399"/>
      <c r="W2238" s="399"/>
      <c r="X2238" s="399"/>
    </row>
    <row r="2239">
      <c r="A2239" s="402">
        <f t="array" ref="A2239">INDIRECT("Tableau!$A$160")</f>
        <v>507</v>
      </c>
      <c r="B2239" s="398" t="s">
        <v>474</v>
      </c>
      <c r="C2239" s="399" t="str">
        <f t="array" ref="C2239">INDIRECT("Tableau!$AA$160")</f>
        <v/>
      </c>
      <c r="D2239" s="399" t="str">
        <f t="shared" si="13"/>
        <v>OUT</v>
      </c>
      <c r="E2239" s="401" t="str">
        <f t="array" ref="E2239">INDIRECT("Tableau!$AB$160")</f>
        <v/>
      </c>
      <c r="F2239" s="399"/>
      <c r="G2239" s="399"/>
      <c r="H2239" s="399"/>
      <c r="I2239" s="399"/>
      <c r="J2239" s="399"/>
      <c r="K2239" s="399"/>
      <c r="L2239" s="399"/>
      <c r="M2239" s="399"/>
      <c r="N2239" s="399"/>
      <c r="O2239" s="399"/>
      <c r="P2239" s="399"/>
      <c r="Q2239" s="399"/>
      <c r="R2239" s="399"/>
      <c r="S2239" s="399"/>
      <c r="T2239" s="399"/>
      <c r="U2239" s="399"/>
      <c r="V2239" s="399"/>
      <c r="W2239" s="399"/>
      <c r="X2239" s="399"/>
    </row>
    <row r="2240">
      <c r="A2240" s="402">
        <f t="array" ref="A2240">INDIRECT("Tableau!$A$161")</f>
        <v>508</v>
      </c>
      <c r="B2240" s="398" t="s">
        <v>474</v>
      </c>
      <c r="C2240" s="399" t="str">
        <f t="array" ref="C2240">INDIRECT("Tableau!$AA$161")</f>
        <v>DPS</v>
      </c>
      <c r="D2240" s="399" t="str">
        <f t="shared" si="13"/>
        <v>OUT</v>
      </c>
      <c r="E2240" s="401" t="str">
        <f t="array" ref="E2240">INDIRECT("Tableau!$AB$161")</f>
        <v/>
      </c>
      <c r="F2240" s="399"/>
      <c r="G2240" s="399"/>
      <c r="H2240" s="399"/>
      <c r="I2240" s="399"/>
      <c r="J2240" s="399"/>
      <c r="K2240" s="399"/>
      <c r="L2240" s="399"/>
      <c r="M2240" s="399"/>
      <c r="N2240" s="399"/>
      <c r="O2240" s="399"/>
      <c r="P2240" s="399"/>
      <c r="Q2240" s="399"/>
      <c r="R2240" s="399"/>
      <c r="S2240" s="399"/>
      <c r="T2240" s="399"/>
      <c r="U2240" s="399"/>
      <c r="V2240" s="399"/>
      <c r="W2240" s="399"/>
      <c r="X2240" s="399"/>
    </row>
    <row r="2241">
      <c r="A2241" s="402">
        <f t="array" ref="A2241">INDIRECT("Tableau!$A$162")</f>
        <v>509</v>
      </c>
      <c r="B2241" s="398" t="s">
        <v>474</v>
      </c>
      <c r="C2241" s="399" t="str">
        <f t="array" ref="C2241">INDIRECT("Tableau!$AA$162")</f>
        <v/>
      </c>
      <c r="D2241" s="399" t="str">
        <f t="shared" si="13"/>
        <v>OUT</v>
      </c>
      <c r="E2241" s="401" t="str">
        <f t="array" ref="E2241">INDIRECT("Tableau!$AB$162")</f>
        <v/>
      </c>
      <c r="F2241" s="399"/>
      <c r="G2241" s="399"/>
      <c r="H2241" s="399"/>
      <c r="I2241" s="399"/>
      <c r="J2241" s="399"/>
      <c r="K2241" s="399"/>
      <c r="L2241" s="399"/>
      <c r="M2241" s="399"/>
      <c r="N2241" s="399"/>
      <c r="O2241" s="399"/>
      <c r="P2241" s="399"/>
      <c r="Q2241" s="399"/>
      <c r="R2241" s="399"/>
      <c r="S2241" s="399"/>
      <c r="T2241" s="399"/>
      <c r="U2241" s="399"/>
      <c r="V2241" s="399"/>
      <c r="W2241" s="399"/>
      <c r="X2241" s="399"/>
    </row>
    <row r="2242">
      <c r="A2242" s="397">
        <f t="array" ref="A2242">INDIRECT("Tableau!$A$163")</f>
        <v>510</v>
      </c>
      <c r="B2242" s="398" t="s">
        <v>474</v>
      </c>
      <c r="C2242" s="399" t="str">
        <f t="array" ref="C2242">INDIRECT("Tableau!$AA$163")</f>
        <v/>
      </c>
      <c r="D2242" s="399" t="str">
        <f t="shared" si="13"/>
        <v>OUT</v>
      </c>
      <c r="E2242" s="401" t="str">
        <f t="array" ref="E2242">INDIRECT("Tableau!$AB$163")</f>
        <v/>
      </c>
      <c r="F2242" s="399"/>
      <c r="G2242" s="399"/>
      <c r="H2242" s="399"/>
      <c r="I2242" s="399"/>
      <c r="J2242" s="399"/>
      <c r="K2242" s="399"/>
      <c r="L2242" s="399"/>
      <c r="M2242" s="399"/>
      <c r="N2242" s="399"/>
      <c r="O2242" s="399"/>
      <c r="P2242" s="399"/>
      <c r="Q2242" s="399"/>
      <c r="R2242" s="399"/>
      <c r="S2242" s="399"/>
      <c r="T2242" s="399"/>
      <c r="U2242" s="399"/>
      <c r="V2242" s="399"/>
      <c r="W2242" s="399"/>
      <c r="X2242" s="399"/>
    </row>
    <row r="2243">
      <c r="A2243" s="397" t="str">
        <f t="array" ref="A2243">INDIRECT("Tableau!$A$164")</f>
        <v/>
      </c>
      <c r="B2243" s="398" t="s">
        <v>474</v>
      </c>
      <c r="C2243" s="399" t="str">
        <f t="array" ref="C2243">INDIRECT("Tableau!$AA$164")</f>
        <v/>
      </c>
      <c r="D2243" s="399" t="str">
        <f t="shared" si="13"/>
        <v>OUT</v>
      </c>
      <c r="E2243" s="401" t="str">
        <f t="array" ref="E2243">INDIRECT("Tableau!$AB$164")</f>
        <v/>
      </c>
      <c r="F2243" s="399"/>
      <c r="G2243" s="399"/>
      <c r="H2243" s="399"/>
      <c r="I2243" s="399"/>
      <c r="J2243" s="399"/>
      <c r="K2243" s="399"/>
      <c r="L2243" s="399"/>
      <c r="M2243" s="399"/>
      <c r="N2243" s="399"/>
      <c r="O2243" s="399"/>
      <c r="P2243" s="399"/>
      <c r="Q2243" s="399"/>
      <c r="R2243" s="399"/>
      <c r="S2243" s="399"/>
      <c r="T2243" s="399"/>
      <c r="U2243" s="399"/>
      <c r="V2243" s="399"/>
      <c r="W2243" s="399"/>
      <c r="X2243" s="399"/>
    </row>
    <row r="2244">
      <c r="A2244" s="397" t="str">
        <f t="array" ref="A2244">INDIRECT("Tableau!$A$165")</f>
        <v/>
      </c>
      <c r="B2244" s="398" t="s">
        <v>474</v>
      </c>
      <c r="C2244" s="399" t="str">
        <f t="array" ref="C2244">INDIRECT("Tableau!$AA$165")</f>
        <v/>
      </c>
      <c r="D2244" s="399" t="str">
        <f t="shared" si="13"/>
        <v>OUT</v>
      </c>
      <c r="E2244" s="401" t="str">
        <f t="array" ref="E2244">INDIRECT("Tableau!$AB$165")</f>
        <v/>
      </c>
      <c r="F2244" s="399"/>
      <c r="G2244" s="399"/>
      <c r="H2244" s="399"/>
      <c r="I2244" s="399"/>
      <c r="J2244" s="399"/>
      <c r="K2244" s="399"/>
      <c r="L2244" s="399"/>
      <c r="M2244" s="399"/>
      <c r="N2244" s="399"/>
      <c r="O2244" s="399"/>
      <c r="P2244" s="399"/>
      <c r="Q2244" s="399"/>
      <c r="R2244" s="399"/>
      <c r="S2244" s="399"/>
      <c r="T2244" s="399"/>
      <c r="U2244" s="399"/>
      <c r="V2244" s="399"/>
      <c r="W2244" s="399"/>
      <c r="X2244" s="399"/>
    </row>
    <row r="2245">
      <c r="A2245" s="402">
        <f t="array" ref="A2245">INDIRECT("Tableau!$A$166")</f>
        <v>527</v>
      </c>
      <c r="B2245" s="398" t="s">
        <v>474</v>
      </c>
      <c r="C2245" s="399" t="str">
        <f t="array" ref="C2245">INDIRECT("Tableau!$AA$166")</f>
        <v/>
      </c>
      <c r="D2245" s="399" t="str">
        <f t="shared" si="13"/>
        <v>OUT</v>
      </c>
      <c r="E2245" s="401" t="str">
        <f t="array" ref="E2245">INDIRECT("Tableau!$AB$166")</f>
        <v/>
      </c>
      <c r="F2245" s="399"/>
      <c r="G2245" s="399"/>
      <c r="H2245" s="399"/>
      <c r="I2245" s="399"/>
      <c r="J2245" s="399"/>
      <c r="K2245" s="399"/>
      <c r="L2245" s="399"/>
      <c r="M2245" s="399"/>
      <c r="N2245" s="399"/>
      <c r="O2245" s="399"/>
      <c r="P2245" s="399"/>
      <c r="Q2245" s="399"/>
      <c r="R2245" s="399"/>
      <c r="S2245" s="399"/>
      <c r="T2245" s="399"/>
      <c r="U2245" s="399"/>
      <c r="V2245" s="399"/>
      <c r="W2245" s="399"/>
      <c r="X2245" s="399"/>
    </row>
    <row r="2246">
      <c r="A2246" s="402">
        <f t="array" ref="A2246">INDIRECT("Tableau!$A$167")</f>
        <v>512</v>
      </c>
      <c r="B2246" s="398" t="s">
        <v>474</v>
      </c>
      <c r="C2246" s="399" t="str">
        <f t="array" ref="C2246">INDIRECT("Tableau!$AA$167")</f>
        <v/>
      </c>
      <c r="D2246" s="399" t="str">
        <f t="shared" si="13"/>
        <v>OUT</v>
      </c>
      <c r="E2246" s="401" t="str">
        <f t="array" ref="E2246">INDIRECT("Tableau!$AB$167")</f>
        <v/>
      </c>
      <c r="F2246" s="399"/>
      <c r="G2246" s="399"/>
      <c r="H2246" s="399"/>
      <c r="I2246" s="399"/>
      <c r="J2246" s="399"/>
      <c r="K2246" s="399"/>
      <c r="L2246" s="399"/>
      <c r="M2246" s="399"/>
      <c r="N2246" s="399"/>
      <c r="O2246" s="399"/>
      <c r="P2246" s="399"/>
      <c r="Q2246" s="399"/>
      <c r="R2246" s="399"/>
      <c r="S2246" s="399"/>
      <c r="T2246" s="399"/>
      <c r="U2246" s="399"/>
      <c r="V2246" s="399"/>
      <c r="W2246" s="399"/>
      <c r="X2246" s="399"/>
    </row>
    <row r="2247">
      <c r="A2247" s="402">
        <f t="array" ref="A2247">INDIRECT("Tableau!$A$168")</f>
        <v>513</v>
      </c>
      <c r="B2247" s="398" t="s">
        <v>474</v>
      </c>
      <c r="C2247" s="399" t="str">
        <f t="array" ref="C2247">INDIRECT("Tableau!$AA$168")</f>
        <v/>
      </c>
      <c r="D2247" s="399" t="str">
        <f t="shared" si="13"/>
        <v>OUT</v>
      </c>
      <c r="E2247" s="401" t="str">
        <f t="array" ref="E2247">INDIRECT("Tableau!$AB$168")</f>
        <v/>
      </c>
      <c r="F2247" s="399"/>
      <c r="G2247" s="399"/>
      <c r="H2247" s="399"/>
      <c r="I2247" s="399"/>
      <c r="J2247" s="399"/>
      <c r="K2247" s="399"/>
      <c r="L2247" s="399"/>
      <c r="M2247" s="399"/>
      <c r="N2247" s="399"/>
      <c r="O2247" s="399"/>
      <c r="P2247" s="399"/>
      <c r="Q2247" s="399"/>
      <c r="R2247" s="399"/>
      <c r="S2247" s="399"/>
      <c r="T2247" s="399"/>
      <c r="U2247" s="399"/>
      <c r="V2247" s="399"/>
      <c r="W2247" s="399"/>
      <c r="X2247" s="399"/>
    </row>
    <row r="2248">
      <c r="A2248" s="402">
        <f t="array" ref="A2248">INDIRECT("Tableau!$A$169")</f>
        <v>514</v>
      </c>
      <c r="B2248" s="398" t="s">
        <v>474</v>
      </c>
      <c r="C2248" s="399" t="str">
        <f t="array" ref="C2248">INDIRECT("Tableau!$AA$169")</f>
        <v/>
      </c>
      <c r="D2248" s="399" t="str">
        <f t="shared" si="13"/>
        <v>OUT</v>
      </c>
      <c r="E2248" s="401" t="str">
        <f t="array" ref="E2248">INDIRECT("Tableau!$AB$169")</f>
        <v/>
      </c>
      <c r="F2248" s="399"/>
      <c r="G2248" s="399"/>
      <c r="H2248" s="399"/>
      <c r="I2248" s="399"/>
      <c r="J2248" s="399"/>
      <c r="K2248" s="399"/>
      <c r="L2248" s="399"/>
      <c r="M2248" s="399"/>
      <c r="N2248" s="399"/>
      <c r="O2248" s="399"/>
      <c r="P2248" s="399"/>
      <c r="Q2248" s="399"/>
      <c r="R2248" s="399"/>
      <c r="S2248" s="399"/>
      <c r="T2248" s="399"/>
      <c r="U2248" s="399"/>
      <c r="V2248" s="399"/>
      <c r="W2248" s="399"/>
      <c r="X2248" s="399"/>
    </row>
    <row r="2249">
      <c r="A2249" s="402">
        <f t="array" ref="A2249">INDIRECT("Tableau!$A$170")</f>
        <v>515</v>
      </c>
      <c r="B2249" s="398" t="s">
        <v>474</v>
      </c>
      <c r="C2249" s="399" t="str">
        <f t="array" ref="C2249">INDIRECT("Tableau!$AA$170")</f>
        <v/>
      </c>
      <c r="D2249" s="399" t="str">
        <f t="shared" si="13"/>
        <v>OUT</v>
      </c>
      <c r="E2249" s="401" t="str">
        <f t="array" ref="E2249">INDIRECT("Tableau!$AB$170")</f>
        <v/>
      </c>
      <c r="F2249" s="399"/>
      <c r="G2249" s="399"/>
      <c r="H2249" s="399"/>
      <c r="I2249" s="399"/>
      <c r="J2249" s="399"/>
      <c r="K2249" s="399"/>
      <c r="L2249" s="399"/>
      <c r="M2249" s="399"/>
      <c r="N2249" s="399"/>
      <c r="O2249" s="399"/>
      <c r="P2249" s="399"/>
      <c r="Q2249" s="399"/>
      <c r="R2249" s="399"/>
      <c r="S2249" s="399"/>
      <c r="T2249" s="399"/>
      <c r="U2249" s="399"/>
      <c r="V2249" s="399"/>
      <c r="W2249" s="399"/>
      <c r="X2249" s="399"/>
    </row>
    <row r="2250">
      <c r="A2250" s="402">
        <f t="array" ref="A2250">INDIRECT("Tableau!$A$171")</f>
        <v>517</v>
      </c>
      <c r="B2250" s="398" t="s">
        <v>474</v>
      </c>
      <c r="C2250" s="399" t="str">
        <f t="array" ref="C2250">INDIRECT("Tableau!$AA$171")</f>
        <v/>
      </c>
      <c r="D2250" s="399" t="str">
        <f t="shared" si="13"/>
        <v>OUT</v>
      </c>
      <c r="E2250" s="401" t="str">
        <f t="array" ref="E2250">INDIRECT("Tableau!$AB$171")</f>
        <v/>
      </c>
      <c r="F2250" s="399"/>
      <c r="G2250" s="399"/>
      <c r="H2250" s="399"/>
      <c r="I2250" s="399"/>
      <c r="J2250" s="399"/>
      <c r="K2250" s="399"/>
      <c r="L2250" s="399"/>
      <c r="M2250" s="399"/>
      <c r="N2250" s="399"/>
      <c r="O2250" s="399"/>
      <c r="P2250" s="399"/>
      <c r="Q2250" s="399"/>
      <c r="R2250" s="399"/>
      <c r="S2250" s="399"/>
      <c r="T2250" s="399"/>
      <c r="U2250" s="399"/>
      <c r="V2250" s="399"/>
      <c r="W2250" s="399"/>
      <c r="X2250" s="399"/>
    </row>
    <row r="2251">
      <c r="A2251" s="402">
        <f t="array" ref="A2251">INDIRECT("Tableau!$A$172")</f>
        <v>518</v>
      </c>
      <c r="B2251" s="398" t="s">
        <v>474</v>
      </c>
      <c r="C2251" s="399" t="str">
        <f t="array" ref="C2251">INDIRECT("Tableau!$AA$172")</f>
        <v/>
      </c>
      <c r="D2251" s="399" t="str">
        <f t="shared" si="13"/>
        <v>OUT</v>
      </c>
      <c r="E2251" s="401" t="str">
        <f t="array" ref="E2251">INDIRECT("Tableau!$AB$172")</f>
        <v/>
      </c>
      <c r="F2251" s="399"/>
      <c r="G2251" s="399"/>
      <c r="H2251" s="399"/>
      <c r="I2251" s="399"/>
      <c r="J2251" s="399"/>
      <c r="K2251" s="399"/>
      <c r="L2251" s="399"/>
      <c r="M2251" s="399"/>
      <c r="N2251" s="399"/>
      <c r="O2251" s="399"/>
      <c r="P2251" s="399"/>
      <c r="Q2251" s="399"/>
      <c r="R2251" s="399"/>
      <c r="S2251" s="399"/>
      <c r="T2251" s="399"/>
      <c r="U2251" s="399"/>
      <c r="V2251" s="399"/>
      <c r="W2251" s="399"/>
      <c r="X2251" s="399"/>
    </row>
    <row r="2252">
      <c r="A2252" s="397" t="str">
        <f t="array" ref="A2252">INDIRECT("Tableau!$A$173")</f>
        <v/>
      </c>
      <c r="B2252" s="398" t="s">
        <v>474</v>
      </c>
      <c r="C2252" s="399" t="str">
        <f t="array" ref="C2252">INDIRECT("Tableau!$AA$173")</f>
        <v/>
      </c>
      <c r="D2252" s="399" t="str">
        <f t="shared" si="13"/>
        <v>OUT</v>
      </c>
      <c r="E2252" s="401" t="str">
        <f t="array" ref="E2252">INDIRECT("Tableau!$AB$173")</f>
        <v/>
      </c>
      <c r="F2252" s="399"/>
      <c r="G2252" s="399"/>
      <c r="H2252" s="399"/>
      <c r="I2252" s="399"/>
      <c r="J2252" s="399"/>
      <c r="K2252" s="399"/>
      <c r="L2252" s="399"/>
      <c r="M2252" s="399"/>
      <c r="N2252" s="399"/>
      <c r="O2252" s="399"/>
      <c r="P2252" s="399"/>
      <c r="Q2252" s="399"/>
      <c r="R2252" s="399"/>
      <c r="S2252" s="399"/>
      <c r="T2252" s="399"/>
      <c r="U2252" s="399"/>
      <c r="V2252" s="399"/>
      <c r="W2252" s="399"/>
      <c r="X2252" s="399"/>
    </row>
    <row r="2253">
      <c r="A2253" s="402">
        <f t="array" ref="A2253">INDIRECT("Tableau!$A$174")</f>
        <v>520</v>
      </c>
      <c r="B2253" s="398" t="s">
        <v>474</v>
      </c>
      <c r="C2253" s="399" t="str">
        <f t="array" ref="C2253">INDIRECT("Tableau!$AA$174")</f>
        <v/>
      </c>
      <c r="D2253" s="399" t="str">
        <f t="shared" si="13"/>
        <v>OUT</v>
      </c>
      <c r="E2253" s="401" t="str">
        <f t="array" ref="E2253">INDIRECT("Tableau!$AB$174")</f>
        <v/>
      </c>
      <c r="F2253" s="399"/>
      <c r="G2253" s="399"/>
      <c r="H2253" s="399"/>
      <c r="I2253" s="399"/>
      <c r="J2253" s="399"/>
      <c r="K2253" s="399"/>
      <c r="L2253" s="399"/>
      <c r="M2253" s="399"/>
      <c r="N2253" s="399"/>
      <c r="O2253" s="399"/>
      <c r="P2253" s="399"/>
      <c r="Q2253" s="399"/>
      <c r="R2253" s="399"/>
      <c r="S2253" s="399"/>
      <c r="T2253" s="399"/>
      <c r="U2253" s="399"/>
      <c r="V2253" s="399"/>
      <c r="W2253" s="399"/>
      <c r="X2253" s="399"/>
    </row>
    <row r="2254">
      <c r="A2254" s="402">
        <f t="array" ref="A2254">INDIRECT("Tableau!$A$175")</f>
        <v>521</v>
      </c>
      <c r="B2254" s="398" t="s">
        <v>474</v>
      </c>
      <c r="C2254" s="399" t="str">
        <f t="array" ref="C2254">INDIRECT("Tableau!$AA$175")</f>
        <v/>
      </c>
      <c r="D2254" s="399" t="str">
        <f t="shared" si="13"/>
        <v>OUT</v>
      </c>
      <c r="E2254" s="401" t="str">
        <f t="array" ref="E2254">INDIRECT("Tableau!$AB$175")</f>
        <v/>
      </c>
      <c r="F2254" s="399"/>
      <c r="G2254" s="399"/>
      <c r="H2254" s="399"/>
      <c r="I2254" s="399"/>
      <c r="J2254" s="399"/>
      <c r="K2254" s="399"/>
      <c r="L2254" s="399"/>
      <c r="M2254" s="399"/>
      <c r="N2254" s="399"/>
      <c r="O2254" s="399"/>
      <c r="P2254" s="399"/>
      <c r="Q2254" s="399"/>
      <c r="R2254" s="399"/>
      <c r="S2254" s="399"/>
      <c r="T2254" s="399"/>
      <c r="U2254" s="399"/>
      <c r="V2254" s="399"/>
      <c r="W2254" s="399"/>
      <c r="X2254" s="399"/>
    </row>
    <row r="2255">
      <c r="A2255" s="402">
        <f t="array" ref="A2255">INDIRECT("Tableau!$A$176")</f>
        <v>525</v>
      </c>
      <c r="B2255" s="398" t="s">
        <v>474</v>
      </c>
      <c r="C2255" s="399" t="str">
        <f t="array" ref="C2255">INDIRECT("Tableau!$AA$176")</f>
        <v>DEMA</v>
      </c>
      <c r="D2255" s="399" t="str">
        <f t="shared" si="13"/>
        <v>OUT</v>
      </c>
      <c r="E2255" s="401" t="str">
        <f t="array" ref="E2255">INDIRECT("Tableau!$AB$176")</f>
        <v/>
      </c>
      <c r="F2255" s="399"/>
      <c r="G2255" s="399"/>
      <c r="H2255" s="399"/>
      <c r="I2255" s="399"/>
      <c r="J2255" s="399"/>
      <c r="K2255" s="399"/>
      <c r="L2255" s="399"/>
      <c r="M2255" s="399"/>
      <c r="N2255" s="399"/>
      <c r="O2255" s="399"/>
      <c r="P2255" s="399"/>
      <c r="Q2255" s="399"/>
      <c r="R2255" s="399"/>
      <c r="S2255" s="399"/>
      <c r="T2255" s="399"/>
      <c r="U2255" s="399"/>
      <c r="V2255" s="399"/>
      <c r="W2255" s="399"/>
      <c r="X2255" s="399"/>
    </row>
    <row r="2256">
      <c r="A2256" s="402">
        <f t="array" ref="A2256">INDIRECT("Tableau!$A$177")</f>
        <v>530</v>
      </c>
      <c r="B2256" s="398" t="s">
        <v>474</v>
      </c>
      <c r="C2256" s="399" t="str">
        <f t="array" ref="C2256">INDIRECT("Tableau!$AA$177")</f>
        <v/>
      </c>
      <c r="D2256" s="399" t="str">
        <f t="shared" si="13"/>
        <v>OUT</v>
      </c>
      <c r="E2256" s="401" t="str">
        <f t="array" ref="E2256">INDIRECT("Tableau!$AB$177")</f>
        <v/>
      </c>
      <c r="F2256" s="399"/>
      <c r="G2256" s="399"/>
      <c r="H2256" s="399"/>
      <c r="I2256" s="399"/>
      <c r="J2256" s="399"/>
      <c r="K2256" s="399"/>
      <c r="L2256" s="399"/>
      <c r="M2256" s="399"/>
      <c r="N2256" s="399"/>
      <c r="O2256" s="399"/>
      <c r="P2256" s="399"/>
      <c r="Q2256" s="399"/>
      <c r="R2256" s="399"/>
      <c r="S2256" s="399"/>
      <c r="T2256" s="399"/>
      <c r="U2256" s="399"/>
      <c r="V2256" s="399"/>
      <c r="W2256" s="399"/>
      <c r="X2256" s="399"/>
    </row>
    <row r="2257">
      <c r="A2257" s="397" t="str">
        <f t="array" ref="A2257">INDIRECT("Tableau!$A$178")</f>
        <v/>
      </c>
      <c r="B2257" s="398" t="s">
        <v>474</v>
      </c>
      <c r="C2257" s="399" t="str">
        <f t="array" ref="C2257">INDIRECT("Tableau!$AA$178")</f>
        <v/>
      </c>
      <c r="D2257" s="399" t="str">
        <f t="shared" si="13"/>
        <v>OUT</v>
      </c>
      <c r="E2257" s="401" t="str">
        <f t="array" ref="E2257">INDIRECT("Tableau!$AB$178")</f>
        <v/>
      </c>
      <c r="F2257" s="399"/>
      <c r="G2257" s="399"/>
      <c r="H2257" s="399"/>
      <c r="I2257" s="399"/>
      <c r="J2257" s="399"/>
      <c r="K2257" s="399"/>
      <c r="L2257" s="399"/>
      <c r="M2257" s="399"/>
      <c r="N2257" s="399"/>
      <c r="O2257" s="399"/>
      <c r="P2257" s="399"/>
      <c r="Q2257" s="399"/>
      <c r="R2257" s="399"/>
      <c r="S2257" s="399"/>
      <c r="T2257" s="399"/>
      <c r="U2257" s="399"/>
      <c r="V2257" s="399"/>
      <c r="W2257" s="399"/>
      <c r="X2257" s="399"/>
    </row>
    <row r="2258">
      <c r="A2258" s="405" t="str">
        <f t="array" ref="A2258">INDIRECT("Tableau!$A$179")</f>
        <v/>
      </c>
      <c r="B2258" s="398" t="s">
        <v>474</v>
      </c>
      <c r="C2258" s="399" t="str">
        <f t="array" ref="C2258">INDIRECT("Tableau!$AA$179")</f>
        <v/>
      </c>
      <c r="D2258" s="399" t="str">
        <f t="shared" si="13"/>
        <v>OUT</v>
      </c>
      <c r="E2258" s="401" t="str">
        <f t="array" ref="E2258">INDIRECT("Tableau!$AB$179")</f>
        <v/>
      </c>
      <c r="F2258" s="399"/>
      <c r="G2258" s="399"/>
      <c r="H2258" s="399"/>
      <c r="I2258" s="399"/>
      <c r="J2258" s="399"/>
      <c r="K2258" s="399"/>
      <c r="L2258" s="399"/>
      <c r="M2258" s="399"/>
      <c r="N2258" s="399"/>
      <c r="O2258" s="399"/>
      <c r="P2258" s="399"/>
      <c r="Q2258" s="399"/>
      <c r="R2258" s="399"/>
      <c r="S2258" s="399"/>
      <c r="T2258" s="399"/>
      <c r="U2258" s="399"/>
      <c r="V2258" s="399"/>
      <c r="W2258" s="399"/>
      <c r="X2258" s="399"/>
    </row>
    <row r="2259">
      <c r="A2259" s="405" t="str">
        <f t="array" ref="A2259">INDIRECT("Tableau!$A$180")</f>
        <v/>
      </c>
      <c r="B2259" s="398" t="s">
        <v>474</v>
      </c>
      <c r="C2259" s="399" t="str">
        <f t="array" ref="C2259">INDIRECT("Tableau!$AA$180")</f>
        <v/>
      </c>
      <c r="D2259" s="399" t="str">
        <f t="shared" si="13"/>
        <v>OUT</v>
      </c>
      <c r="E2259" s="401" t="str">
        <f t="array" ref="E2259">INDIRECT("Tableau!$AB$180")</f>
        <v/>
      </c>
      <c r="F2259" s="399"/>
      <c r="G2259" s="399"/>
      <c r="H2259" s="399"/>
      <c r="I2259" s="399"/>
      <c r="J2259" s="399"/>
      <c r="K2259" s="399"/>
      <c r="L2259" s="399"/>
      <c r="M2259" s="399"/>
      <c r="N2259" s="399"/>
      <c r="O2259" s="399"/>
      <c r="P2259" s="399"/>
      <c r="Q2259" s="399"/>
      <c r="R2259" s="399"/>
      <c r="S2259" s="399"/>
      <c r="T2259" s="399"/>
      <c r="U2259" s="399"/>
      <c r="V2259" s="399"/>
      <c r="W2259" s="399"/>
      <c r="X2259" s="399"/>
    </row>
    <row r="2260">
      <c r="A2260" s="405" t="str">
        <f t="array" ref="A2260">INDIRECT("Tableau!$A$181")</f>
        <v/>
      </c>
      <c r="B2260" s="398" t="s">
        <v>474</v>
      </c>
      <c r="C2260" s="399" t="str">
        <f t="array" ref="C2260">INDIRECT("Tableau!$AA$181")</f>
        <v/>
      </c>
      <c r="D2260" s="399" t="str">
        <f t="shared" si="13"/>
        <v>OUT</v>
      </c>
      <c r="E2260" s="401" t="str">
        <f t="array" ref="E2260">INDIRECT("Tableau!$AB$181")</f>
        <v/>
      </c>
      <c r="F2260" s="399"/>
      <c r="G2260" s="399"/>
      <c r="H2260" s="399"/>
      <c r="I2260" s="399"/>
      <c r="J2260" s="399"/>
      <c r="K2260" s="399"/>
      <c r="L2260" s="399"/>
      <c r="M2260" s="399"/>
      <c r="N2260" s="399"/>
      <c r="O2260" s="399"/>
      <c r="P2260" s="399"/>
      <c r="Q2260" s="399"/>
      <c r="R2260" s="399"/>
      <c r="S2260" s="399"/>
      <c r="T2260" s="399"/>
      <c r="U2260" s="399"/>
      <c r="V2260" s="399"/>
      <c r="W2260" s="399"/>
      <c r="X2260" s="399"/>
    </row>
    <row r="2261">
      <c r="A2261" s="405" t="str">
        <f t="array" ref="A2261">INDIRECT("Tableau!$A$182")</f>
        <v/>
      </c>
      <c r="B2261" s="398" t="s">
        <v>474</v>
      </c>
      <c r="C2261" s="399" t="str">
        <f t="array" ref="C2261">INDIRECT("Tableau!$AA$182")</f>
        <v/>
      </c>
      <c r="D2261" s="399" t="str">
        <f t="shared" si="13"/>
        <v>OUT</v>
      </c>
      <c r="E2261" s="401" t="str">
        <f t="array" ref="E2261">INDIRECT("Tableau!$AB$182")</f>
        <v/>
      </c>
      <c r="F2261" s="399"/>
      <c r="G2261" s="399"/>
      <c r="H2261" s="399"/>
      <c r="I2261" s="399"/>
      <c r="J2261" s="399"/>
      <c r="K2261" s="399"/>
      <c r="L2261" s="399"/>
      <c r="M2261" s="399"/>
      <c r="N2261" s="399"/>
      <c r="O2261" s="399"/>
      <c r="P2261" s="399"/>
      <c r="Q2261" s="399"/>
      <c r="R2261" s="399"/>
      <c r="S2261" s="399"/>
      <c r="T2261" s="399"/>
      <c r="U2261" s="399"/>
      <c r="V2261" s="399"/>
      <c r="W2261" s="399"/>
      <c r="X2261" s="399"/>
    </row>
    <row r="2262">
      <c r="A2262" s="405" t="str">
        <f t="array" ref="A2262">INDIRECT("Tableau!$A$183")</f>
        <v/>
      </c>
      <c r="B2262" s="398" t="s">
        <v>474</v>
      </c>
      <c r="C2262" s="399" t="str">
        <f t="array" ref="C2262">INDIRECT("Tableau!$AA$183")</f>
        <v/>
      </c>
      <c r="D2262" s="399" t="str">
        <f t="shared" si="13"/>
        <v>OUT</v>
      </c>
      <c r="E2262" s="401" t="str">
        <f t="array" ref="E2262">INDIRECT("Tableau!$AB$183")</f>
        <v/>
      </c>
      <c r="F2262" s="399"/>
      <c r="G2262" s="399"/>
      <c r="H2262" s="399"/>
      <c r="I2262" s="399"/>
      <c r="J2262" s="399"/>
      <c r="K2262" s="399"/>
      <c r="L2262" s="399"/>
      <c r="M2262" s="399"/>
      <c r="N2262" s="399"/>
      <c r="O2262" s="399"/>
      <c r="P2262" s="399"/>
      <c r="Q2262" s="399"/>
      <c r="R2262" s="399"/>
      <c r="S2262" s="399"/>
      <c r="T2262" s="399"/>
      <c r="U2262" s="399"/>
      <c r="V2262" s="399"/>
      <c r="W2262" s="399"/>
      <c r="X2262" s="399"/>
    </row>
    <row r="2263">
      <c r="A2263" s="405" t="str">
        <f t="array" ref="A2263">INDIRECT("Tableau!$A$184")</f>
        <v/>
      </c>
      <c r="B2263" s="398" t="s">
        <v>474</v>
      </c>
      <c r="C2263" s="399" t="str">
        <f t="array" ref="C2263">INDIRECT("Tableau!$AA$184")</f>
        <v/>
      </c>
      <c r="D2263" s="399" t="str">
        <f t="shared" si="13"/>
        <v>OUT</v>
      </c>
      <c r="E2263" s="401" t="str">
        <f t="array" ref="E2263">INDIRECT("Tableau!$AB$184")</f>
        <v/>
      </c>
      <c r="F2263" s="399"/>
      <c r="G2263" s="399"/>
      <c r="H2263" s="399"/>
      <c r="I2263" s="399"/>
      <c r="J2263" s="399"/>
      <c r="K2263" s="399"/>
      <c r="L2263" s="399"/>
      <c r="M2263" s="399"/>
      <c r="N2263" s="399"/>
      <c r="O2263" s="399"/>
      <c r="P2263" s="399"/>
      <c r="Q2263" s="399"/>
      <c r="R2263" s="399"/>
      <c r="S2263" s="399"/>
      <c r="T2263" s="399"/>
      <c r="U2263" s="399"/>
      <c r="V2263" s="399"/>
      <c r="W2263" s="399"/>
      <c r="X2263" s="399"/>
    </row>
    <row r="2264">
      <c r="A2264" s="405" t="str">
        <f t="array" ref="A2264">INDIRECT("Tableau!$A$185")</f>
        <v/>
      </c>
      <c r="B2264" s="398" t="s">
        <v>474</v>
      </c>
      <c r="C2264" s="399" t="str">
        <f t="array" ref="C2264">INDIRECT("Tableau!$AA$185")</f>
        <v/>
      </c>
      <c r="D2264" s="399" t="str">
        <f t="shared" si="13"/>
        <v>OUT</v>
      </c>
      <c r="E2264" s="401" t="str">
        <f t="array" ref="E2264">INDIRECT("Tableau!$AB$185")</f>
        <v/>
      </c>
      <c r="F2264" s="399"/>
      <c r="G2264" s="399"/>
      <c r="H2264" s="399"/>
      <c r="I2264" s="399"/>
      <c r="J2264" s="399"/>
      <c r="K2264" s="399"/>
      <c r="L2264" s="399"/>
      <c r="M2264" s="399"/>
      <c r="N2264" s="399"/>
      <c r="O2264" s="399"/>
      <c r="P2264" s="399"/>
      <c r="Q2264" s="399"/>
      <c r="R2264" s="399"/>
      <c r="S2264" s="399"/>
      <c r="T2264" s="399"/>
      <c r="U2264" s="399"/>
      <c r="V2264" s="399"/>
      <c r="W2264" s="399"/>
      <c r="X2264" s="399"/>
    </row>
    <row r="2265">
      <c r="A2265" s="405" t="str">
        <f t="array" ref="A2265">INDIRECT("Tableau!$A$186")</f>
        <v/>
      </c>
      <c r="B2265" s="398" t="s">
        <v>474</v>
      </c>
      <c r="C2265" s="399" t="str">
        <f t="array" ref="C2265">INDIRECT("Tableau!$AA$186")</f>
        <v/>
      </c>
      <c r="D2265" s="399" t="str">
        <f t="shared" si="13"/>
        <v>OUT</v>
      </c>
      <c r="E2265" s="401" t="str">
        <f t="array" ref="E2265">INDIRECT("Tableau!$AB$186")</f>
        <v/>
      </c>
      <c r="F2265" s="399"/>
      <c r="G2265" s="399"/>
      <c r="H2265" s="399"/>
      <c r="I2265" s="399"/>
      <c r="J2265" s="399"/>
      <c r="K2265" s="399"/>
      <c r="L2265" s="399"/>
      <c r="M2265" s="399"/>
      <c r="N2265" s="399"/>
      <c r="O2265" s="399"/>
      <c r="P2265" s="399"/>
      <c r="Q2265" s="399"/>
      <c r="R2265" s="399"/>
      <c r="S2265" s="399"/>
      <c r="T2265" s="399"/>
      <c r="U2265" s="399"/>
      <c r="V2265" s="399"/>
      <c r="W2265" s="399"/>
      <c r="X2265" s="399"/>
    </row>
    <row r="2266">
      <c r="A2266" s="405" t="str">
        <f t="array" ref="A2266">INDIRECT("Tableau!$A$187")</f>
        <v/>
      </c>
      <c r="B2266" s="398" t="s">
        <v>474</v>
      </c>
      <c r="C2266" s="399" t="str">
        <f t="array" ref="C2266">INDIRECT("Tableau!$AA$187")</f>
        <v/>
      </c>
      <c r="D2266" s="399" t="str">
        <f t="shared" si="13"/>
        <v>OUT</v>
      </c>
      <c r="E2266" s="401" t="str">
        <f t="array" ref="E2266">INDIRECT("Tableau!$AB$187")</f>
        <v/>
      </c>
      <c r="F2266" s="399"/>
      <c r="G2266" s="399"/>
      <c r="H2266" s="399"/>
      <c r="I2266" s="399"/>
      <c r="J2266" s="399"/>
      <c r="K2266" s="399"/>
      <c r="L2266" s="399"/>
      <c r="M2266" s="399"/>
      <c r="N2266" s="399"/>
      <c r="O2266" s="399"/>
      <c r="P2266" s="399"/>
      <c r="Q2266" s="399"/>
      <c r="R2266" s="399"/>
      <c r="S2266" s="399"/>
      <c r="T2266" s="399"/>
      <c r="U2266" s="399"/>
      <c r="V2266" s="399"/>
      <c r="W2266" s="399"/>
      <c r="X2266" s="399"/>
    </row>
    <row r="2267">
      <c r="A2267" s="405" t="str">
        <f t="array" ref="A2267">INDIRECT("Tableau!$A$188")</f>
        <v/>
      </c>
      <c r="B2267" s="398" t="s">
        <v>474</v>
      </c>
      <c r="C2267" s="399" t="str">
        <f t="array" ref="C2267">INDIRECT("Tableau!$AA$188")</f>
        <v/>
      </c>
      <c r="D2267" s="399" t="str">
        <f t="shared" si="13"/>
        <v>OUT</v>
      </c>
      <c r="E2267" s="401" t="str">
        <f t="array" ref="E2267">INDIRECT("Tableau!$AB$188")</f>
        <v/>
      </c>
      <c r="F2267" s="399"/>
      <c r="G2267" s="399"/>
      <c r="H2267" s="399"/>
      <c r="I2267" s="399"/>
      <c r="J2267" s="399"/>
      <c r="K2267" s="399"/>
      <c r="L2267" s="399"/>
      <c r="M2267" s="399"/>
      <c r="N2267" s="399"/>
      <c r="O2267" s="399"/>
      <c r="P2267" s="399"/>
      <c r="Q2267" s="399"/>
      <c r="R2267" s="399"/>
      <c r="S2267" s="399"/>
      <c r="T2267" s="399"/>
      <c r="U2267" s="399"/>
      <c r="V2267" s="399"/>
      <c r="W2267" s="399"/>
      <c r="X2267" s="399"/>
    </row>
    <row r="2268">
      <c r="A2268" s="405" t="str">
        <f t="array" ref="A2268">INDIRECT("Tableau!$A$189")</f>
        <v/>
      </c>
      <c r="B2268" s="398" t="s">
        <v>474</v>
      </c>
      <c r="C2268" s="399" t="str">
        <f t="array" ref="C2268">INDIRECT("Tableau!$AA$189")</f>
        <v/>
      </c>
      <c r="D2268" s="399" t="str">
        <f t="shared" si="13"/>
        <v>OUT</v>
      </c>
      <c r="E2268" s="401" t="str">
        <f t="array" ref="E2268">INDIRECT("Tableau!$AB$189")</f>
        <v/>
      </c>
      <c r="F2268" s="399"/>
      <c r="G2268" s="399"/>
      <c r="H2268" s="399"/>
      <c r="I2268" s="399"/>
      <c r="J2268" s="399"/>
      <c r="K2268" s="399"/>
      <c r="L2268" s="399"/>
      <c r="M2268" s="399"/>
      <c r="N2268" s="399"/>
      <c r="O2268" s="399"/>
      <c r="P2268" s="399"/>
      <c r="Q2268" s="399"/>
      <c r="R2268" s="399"/>
      <c r="S2268" s="399"/>
      <c r="T2268" s="399"/>
      <c r="U2268" s="399"/>
      <c r="V2268" s="399"/>
      <c r="W2268" s="399"/>
      <c r="X2268" s="399"/>
    </row>
    <row r="2269">
      <c r="A2269" s="405" t="str">
        <f t="array" ref="A2269">INDIRECT("Tableau!$A$190")</f>
        <v/>
      </c>
      <c r="B2269" s="398" t="s">
        <v>474</v>
      </c>
      <c r="C2269" s="399" t="str">
        <f t="array" ref="C2269">INDIRECT("Tableau!$AA$190")</f>
        <v/>
      </c>
      <c r="D2269" s="399" t="str">
        <f t="shared" si="13"/>
        <v>OUT</v>
      </c>
      <c r="E2269" s="401" t="str">
        <f t="array" ref="E2269">INDIRECT("Tableau!$AB$190")</f>
        <v/>
      </c>
      <c r="F2269" s="399"/>
      <c r="G2269" s="399"/>
      <c r="H2269" s="399"/>
      <c r="I2269" s="399"/>
      <c r="J2269" s="399"/>
      <c r="K2269" s="399"/>
      <c r="L2269" s="399"/>
      <c r="M2269" s="399"/>
      <c r="N2269" s="399"/>
      <c r="O2269" s="399"/>
      <c r="P2269" s="399"/>
      <c r="Q2269" s="399"/>
      <c r="R2269" s="399"/>
      <c r="S2269" s="399"/>
      <c r="T2269" s="399"/>
      <c r="U2269" s="399"/>
      <c r="V2269" s="399"/>
      <c r="W2269" s="399"/>
      <c r="X2269" s="399"/>
    </row>
    <row r="2270">
      <c r="A2270" s="397" t="str">
        <f t="array" ref="A2270">INDIRECT("Tableau!$A$2")</f>
        <v/>
      </c>
      <c r="B2270" s="398" t="s">
        <v>475</v>
      </c>
      <c r="C2270" s="400" t="str">
        <f t="array" ref="C2270">INDIRECT("Tableau!$AC$2")</f>
        <v/>
      </c>
      <c r="D2270" s="400" t="str">
        <f t="shared" ref="D2270:D2458" si="14">INDIRECT("Tableau!$AD$1")</f>
        <v>IN</v>
      </c>
      <c r="E2270" s="403" t="str">
        <f t="array" ref="E2270">INDIRECT("Tableau!$AD$2")</f>
        <v/>
      </c>
    </row>
    <row r="2271">
      <c r="A2271" s="402">
        <f t="array" ref="A2271">INDIRECT("Tableau!$A$3")</f>
        <v>102</v>
      </c>
      <c r="B2271" s="398" t="s">
        <v>475</v>
      </c>
      <c r="C2271" s="400" t="str">
        <f t="array" ref="C2271">INDIRECT("Tableau!$AC$3")</f>
        <v>DEMA</v>
      </c>
      <c r="D2271" s="400" t="str">
        <f t="shared" si="14"/>
        <v>IN</v>
      </c>
      <c r="E2271" s="403" t="str">
        <f t="array" ref="E2271">INDIRECT("Tableau!$AD$3")</f>
        <v/>
      </c>
    </row>
    <row r="2272">
      <c r="A2272" s="397" t="str">
        <f t="array" ref="A2272">INDIRECT("Tableau!$A$4")</f>
        <v/>
      </c>
      <c r="B2272" s="398" t="s">
        <v>475</v>
      </c>
      <c r="C2272" s="400" t="str">
        <f t="array" ref="C2272">INDIRECT("Tableau!$AC$4")</f>
        <v/>
      </c>
      <c r="D2272" s="400" t="str">
        <f t="shared" si="14"/>
        <v>IN</v>
      </c>
      <c r="E2272" s="403" t="str">
        <f t="array" ref="E2272">INDIRECT("Tableau!$AD$4")</f>
        <v/>
      </c>
    </row>
    <row r="2273">
      <c r="A2273" s="402">
        <f t="array" ref="A2273">INDIRECT("Tableau!$A$5")</f>
        <v>104</v>
      </c>
      <c r="B2273" s="398" t="s">
        <v>475</v>
      </c>
      <c r="C2273" s="400" t="str">
        <f t="array" ref="C2273">INDIRECT("Tableau!$AC$5")</f>
        <v/>
      </c>
      <c r="D2273" s="400" t="str">
        <f t="shared" si="14"/>
        <v>IN</v>
      </c>
      <c r="E2273" s="403" t="str">
        <f t="array" ref="E2273">INDIRECT("Tableau!$AD$5")</f>
        <v/>
      </c>
    </row>
    <row r="2274">
      <c r="A2274" s="402">
        <f t="array" ref="A2274">INDIRECT("Tableau!$A$6")</f>
        <v>105</v>
      </c>
      <c r="B2274" s="398" t="s">
        <v>475</v>
      </c>
      <c r="C2274" s="400" t="str">
        <f t="array" ref="C2274">INDIRECT("Tableau!$AC$6")</f>
        <v>DEMA</v>
      </c>
      <c r="D2274" s="400" t="str">
        <f t="shared" si="14"/>
        <v>IN</v>
      </c>
      <c r="E2274" s="403" t="str">
        <f t="array" ref="E2274">INDIRECT("Tableau!$AD$6")</f>
        <v/>
      </c>
    </row>
    <row r="2275">
      <c r="A2275" s="402">
        <f t="array" ref="A2275">INDIRECT("Tableau!$A$7")</f>
        <v>106</v>
      </c>
      <c r="B2275" s="398" t="s">
        <v>475</v>
      </c>
      <c r="C2275" s="400" t="str">
        <f t="array" ref="C2275">INDIRECT("Tableau!$AC$7")</f>
        <v/>
      </c>
      <c r="D2275" s="400" t="str">
        <f t="shared" si="14"/>
        <v>IN</v>
      </c>
      <c r="E2275" s="403" t="str">
        <f t="array" ref="E2275">INDIRECT("Tableau!$AD$7")</f>
        <v/>
      </c>
    </row>
    <row r="2276">
      <c r="A2276" s="402">
        <f t="array" ref="A2276">INDIRECT("Tableau!$A$8")</f>
        <v>107</v>
      </c>
      <c r="B2276" s="398" t="s">
        <v>475</v>
      </c>
      <c r="C2276" s="400" t="str">
        <f t="array" ref="C2276">INDIRECT("Tableau!$AC$8")</f>
        <v/>
      </c>
      <c r="D2276" s="400" t="str">
        <f t="shared" si="14"/>
        <v>IN</v>
      </c>
      <c r="E2276" s="403" t="str">
        <f t="array" ref="E2276">INDIRECT("Tableau!$AD$8")</f>
        <v/>
      </c>
    </row>
    <row r="2277">
      <c r="A2277" s="397">
        <f t="array" ref="A2277">INDIRECT("Tableau!$A$9")</f>
        <v>108</v>
      </c>
      <c r="B2277" s="398" t="s">
        <v>475</v>
      </c>
      <c r="C2277" s="400" t="str">
        <f t="array" ref="C2277">INDIRECT("Tableau!$AC$9")</f>
        <v>Schmidt cuisines- Wavre </v>
      </c>
      <c r="D2277" s="400" t="str">
        <f t="shared" si="14"/>
        <v>IN</v>
      </c>
      <c r="E2277" s="403" t="str">
        <f t="array" ref="E2277">INDIRECT("Tableau!$AD$9")</f>
        <v/>
      </c>
    </row>
    <row r="2278">
      <c r="A2278" s="402">
        <f t="array" ref="A2278">INDIRECT("Tableau!$A$10")</f>
        <v>109</v>
      </c>
      <c r="B2278" s="398" t="s">
        <v>475</v>
      </c>
      <c r="C2278" s="400" t="str">
        <f t="array" ref="C2278">INDIRECT("Tableau!$AC$10")</f>
        <v/>
      </c>
      <c r="D2278" s="400" t="str">
        <f t="shared" si="14"/>
        <v>IN</v>
      </c>
      <c r="E2278" s="403" t="str">
        <f t="array" ref="E2278">INDIRECT("Tableau!$AD$10")</f>
        <v/>
      </c>
    </row>
    <row r="2279">
      <c r="A2279" s="402">
        <f t="array" ref="A2279">INDIRECT("Tableau!$A$11")</f>
        <v>110</v>
      </c>
      <c r="B2279" s="398" t="s">
        <v>475</v>
      </c>
      <c r="C2279" s="400" t="str">
        <f t="array" ref="C2279">INDIRECT("Tableau!$AC$11")</f>
        <v/>
      </c>
      <c r="D2279" s="400" t="str">
        <f t="shared" si="14"/>
        <v>IN</v>
      </c>
      <c r="E2279" s="403" t="str">
        <f t="array" ref="E2279">INDIRECT("Tableau!$AD$11")</f>
        <v/>
      </c>
    </row>
    <row r="2280">
      <c r="A2280" s="402">
        <f t="array" ref="A2280">INDIRECT("Tableau!$A$12")</f>
        <v>111</v>
      </c>
      <c r="B2280" s="398" t="s">
        <v>475</v>
      </c>
      <c r="C2280" s="400" t="str">
        <f t="array" ref="C2280">INDIRECT("Tableau!$AC$12")</f>
        <v>Schmidt cuisines- Wavre </v>
      </c>
      <c r="D2280" s="400" t="str">
        <f t="shared" si="14"/>
        <v>IN</v>
      </c>
      <c r="E2280" s="403" t="str">
        <f t="array" ref="E2280">INDIRECT("Tableau!$AD$12")</f>
        <v/>
      </c>
    </row>
    <row r="2281">
      <c r="A2281" s="402">
        <f t="array" ref="A2281">INDIRECT("Tableau!$A$13")</f>
        <v>112</v>
      </c>
      <c r="B2281" s="398" t="s">
        <v>475</v>
      </c>
      <c r="C2281" s="400" t="str">
        <f t="array" ref="C2281">INDIRECT("Tableau!$AC$13")</f>
        <v/>
      </c>
      <c r="D2281" s="400" t="str">
        <f t="shared" si="14"/>
        <v>IN</v>
      </c>
      <c r="E2281" s="403" t="str">
        <f t="array" ref="E2281">INDIRECT("Tableau!$AD$13")</f>
        <v/>
      </c>
    </row>
    <row r="2282">
      <c r="A2282" s="402">
        <f t="array" ref="A2282">INDIRECT("Tableau!$A$14")</f>
        <v>113</v>
      </c>
      <c r="B2282" s="398" t="s">
        <v>475</v>
      </c>
      <c r="C2282" s="400" t="str">
        <f t="array" ref="C2282">INDIRECT("Tableau!$AC$14")</f>
        <v/>
      </c>
      <c r="D2282" s="400" t="str">
        <f t="shared" si="14"/>
        <v>IN</v>
      </c>
      <c r="E2282" s="403" t="str">
        <f t="array" ref="E2282">INDIRECT("Tableau!$AD$14")</f>
        <v/>
      </c>
    </row>
    <row r="2283">
      <c r="A2283" s="397">
        <f t="array" ref="A2283">INDIRECT("Tableau!$A$15")</f>
        <v>114</v>
      </c>
      <c r="B2283" s="398" t="s">
        <v>475</v>
      </c>
      <c r="C2283" s="400" t="str">
        <f t="array" ref="C2283">INDIRECT("Tableau!$AC$15")</f>
        <v/>
      </c>
      <c r="D2283" s="400" t="str">
        <f t="shared" si="14"/>
        <v>IN</v>
      </c>
      <c r="E2283" s="403" t="str">
        <f t="array" ref="E2283">INDIRECT("Tableau!$AD$15")</f>
        <v/>
      </c>
    </row>
    <row r="2284">
      <c r="A2284" s="397" t="str">
        <f t="array" ref="A2284">INDIRECT("Tableau!$A$16")</f>
        <v/>
      </c>
      <c r="B2284" s="398" t="s">
        <v>475</v>
      </c>
      <c r="C2284" s="400" t="str">
        <f t="array" ref="C2284">INDIRECT("Tableau!$AC$16")</f>
        <v/>
      </c>
      <c r="D2284" s="400" t="str">
        <f t="shared" si="14"/>
        <v>IN</v>
      </c>
      <c r="E2284" s="403" t="str">
        <f t="array" ref="E2284">INDIRECT("Tableau!$AD$16")</f>
        <v/>
      </c>
    </row>
    <row r="2285">
      <c r="A2285" s="397" t="str">
        <f t="array" ref="A2285">INDIRECT("Tableau!$A$17")</f>
        <v/>
      </c>
      <c r="B2285" s="398" t="s">
        <v>475</v>
      </c>
      <c r="C2285" s="400" t="str">
        <f t="array" ref="C2285">INDIRECT("Tableau!$AC$17")</f>
        <v/>
      </c>
      <c r="D2285" s="400" t="str">
        <f t="shared" si="14"/>
        <v>IN</v>
      </c>
      <c r="E2285" s="403" t="str">
        <f t="array" ref="E2285">INDIRECT("Tableau!$AD$17")</f>
        <v/>
      </c>
    </row>
    <row r="2286">
      <c r="A2286" s="397" t="str">
        <f t="array" ref="A2286">INDIRECT("Tableau!$A$18")</f>
        <v/>
      </c>
      <c r="B2286" s="398" t="s">
        <v>475</v>
      </c>
      <c r="C2286" s="400" t="str">
        <f t="array" ref="C2286">INDIRECT("Tableau!$AC$18")</f>
        <v/>
      </c>
      <c r="D2286" s="400" t="str">
        <f t="shared" si="14"/>
        <v>IN</v>
      </c>
      <c r="E2286" s="403" t="str">
        <f t="array" ref="E2286">INDIRECT("Tableau!$AD$18")</f>
        <v/>
      </c>
    </row>
    <row r="2287">
      <c r="A2287" s="397" t="str">
        <f t="array" ref="A2287">INDIRECT("Tableau!$A$19")</f>
        <v/>
      </c>
      <c r="B2287" s="398" t="s">
        <v>475</v>
      </c>
      <c r="C2287" s="400" t="str">
        <f t="array" ref="C2287">INDIRECT("Tableau!$AC$19")</f>
        <v/>
      </c>
      <c r="D2287" s="400" t="str">
        <f t="shared" si="14"/>
        <v>IN</v>
      </c>
      <c r="E2287" s="403" t="str">
        <f t="array" ref="E2287">INDIRECT("Tableau!$AD$19")</f>
        <v/>
      </c>
    </row>
    <row r="2288">
      <c r="A2288" s="397" t="str">
        <f t="array" ref="A2288">INDIRECT("Tableau!$A$20")</f>
        <v/>
      </c>
      <c r="B2288" s="398" t="s">
        <v>475</v>
      </c>
      <c r="C2288" s="400" t="str">
        <f t="array" ref="C2288">INDIRECT("Tableau!$AC$20")</f>
        <v/>
      </c>
      <c r="D2288" s="400" t="str">
        <f t="shared" si="14"/>
        <v>IN</v>
      </c>
      <c r="E2288" s="403" t="str">
        <f t="array" ref="E2288">INDIRECT("Tableau!$AD$20")</f>
        <v/>
      </c>
    </row>
    <row r="2289">
      <c r="A2289" s="397" t="str">
        <f t="array" ref="A2289">INDIRECT("Tableau!$A$21")</f>
        <v/>
      </c>
      <c r="B2289" s="398" t="s">
        <v>475</v>
      </c>
      <c r="C2289" s="400" t="str">
        <f t="array" ref="C2289">INDIRECT("Tableau!$AC$21")</f>
        <v/>
      </c>
      <c r="D2289" s="400" t="str">
        <f t="shared" si="14"/>
        <v>IN</v>
      </c>
      <c r="E2289" s="403" t="str">
        <f t="array" ref="E2289">INDIRECT("Tableau!$AD$21")</f>
        <v/>
      </c>
    </row>
    <row r="2290">
      <c r="A2290" s="397" t="str">
        <f t="array" ref="A2290">INDIRECT("Tableau!$A$22")</f>
        <v/>
      </c>
      <c r="B2290" s="398" t="s">
        <v>475</v>
      </c>
      <c r="C2290" s="400" t="str">
        <f t="array" ref="C2290">INDIRECT("Tableau!$AC$22")</f>
        <v/>
      </c>
      <c r="D2290" s="400" t="str">
        <f t="shared" si="14"/>
        <v>IN</v>
      </c>
      <c r="E2290" s="403" t="str">
        <f t="array" ref="E2290">INDIRECT("Tableau!$AD$22")</f>
        <v/>
      </c>
    </row>
    <row r="2291">
      <c r="A2291" s="397" t="str">
        <f t="array" ref="A2291">INDIRECT("Tableau!$A$23")</f>
        <v/>
      </c>
      <c r="B2291" s="398" t="s">
        <v>475</v>
      </c>
      <c r="C2291" s="400" t="str">
        <f t="array" ref="C2291">INDIRECT("Tableau!$AC$23")</f>
        <v/>
      </c>
      <c r="D2291" s="400" t="str">
        <f t="shared" si="14"/>
        <v>IN</v>
      </c>
      <c r="E2291" s="403" t="str">
        <f t="array" ref="E2291">INDIRECT("Tableau!$AD$23")</f>
        <v/>
      </c>
    </row>
    <row r="2292">
      <c r="A2292" s="397" t="str">
        <f t="array" ref="A2292">INDIRECT("Tableau!$A$24")</f>
        <v/>
      </c>
      <c r="B2292" s="398" t="s">
        <v>475</v>
      </c>
      <c r="C2292" s="400" t="str">
        <f t="array" ref="C2292">INDIRECT("Tableau!$AC$24")</f>
        <v/>
      </c>
      <c r="D2292" s="400" t="str">
        <f t="shared" si="14"/>
        <v>IN</v>
      </c>
      <c r="E2292" s="403" t="str">
        <f t="array" ref="E2292">INDIRECT("Tableau!$AD$24")</f>
        <v/>
      </c>
    </row>
    <row r="2293">
      <c r="A2293" s="397" t="str">
        <f t="array" ref="A2293">INDIRECT("Tableau!$A$25")</f>
        <v/>
      </c>
      <c r="B2293" s="398" t="s">
        <v>475</v>
      </c>
      <c r="C2293" s="400" t="str">
        <f t="array" ref="C2293">INDIRECT("Tableau!$AC$25")</f>
        <v/>
      </c>
      <c r="D2293" s="400" t="str">
        <f t="shared" si="14"/>
        <v>IN</v>
      </c>
      <c r="E2293" s="403" t="str">
        <f t="array" ref="E2293">INDIRECT("Tableau!$AD$25")</f>
        <v/>
      </c>
    </row>
    <row r="2294">
      <c r="A2294" s="402">
        <f t="array" ref="A2294">INDIRECT("Tableau!$A$26")</f>
        <v>201</v>
      </c>
      <c r="B2294" s="398" t="s">
        <v>475</v>
      </c>
      <c r="C2294" s="400" t="str">
        <f t="array" ref="C2294">INDIRECT("Tableau!$AC$26")</f>
        <v/>
      </c>
      <c r="D2294" s="400" t="str">
        <f t="shared" si="14"/>
        <v>IN</v>
      </c>
      <c r="E2294" s="403" t="str">
        <f t="array" ref="E2294">INDIRECT("Tableau!$AD$26")</f>
        <v/>
      </c>
    </row>
    <row r="2295">
      <c r="A2295" s="402">
        <f t="array" ref="A2295">INDIRECT("Tableau!$A$27")</f>
        <v>202</v>
      </c>
      <c r="B2295" s="398" t="s">
        <v>475</v>
      </c>
      <c r="C2295" s="400" t="str">
        <f t="array" ref="C2295">INDIRECT("Tableau!$AC$27")</f>
        <v/>
      </c>
      <c r="D2295" s="400" t="str">
        <f t="shared" si="14"/>
        <v>IN</v>
      </c>
      <c r="E2295" s="403" t="str">
        <f t="array" ref="E2295">INDIRECT("Tableau!$AD$27")</f>
        <v/>
      </c>
    </row>
    <row r="2296">
      <c r="A2296" s="402">
        <f t="array" ref="A2296">INDIRECT("Tableau!$A$28")</f>
        <v>203</v>
      </c>
      <c r="B2296" s="398" t="s">
        <v>475</v>
      </c>
      <c r="C2296" s="400" t="str">
        <f t="array" ref="C2296">INDIRECT("Tableau!$AC$28")</f>
        <v/>
      </c>
      <c r="D2296" s="400" t="str">
        <f t="shared" si="14"/>
        <v>IN</v>
      </c>
      <c r="E2296" s="403" t="str">
        <f t="array" ref="E2296">INDIRECT("Tableau!$AD$28")</f>
        <v/>
      </c>
    </row>
    <row r="2297">
      <c r="A2297" s="402">
        <f t="array" ref="A2297">INDIRECT("Tableau!$A$29")</f>
        <v>204</v>
      </c>
      <c r="B2297" s="398" t="s">
        <v>475</v>
      </c>
      <c r="C2297" s="400" t="str">
        <f t="array" ref="C2297">INDIRECT("Tableau!$AC$29")</f>
        <v/>
      </c>
      <c r="D2297" s="400" t="str">
        <f t="shared" si="14"/>
        <v>IN</v>
      </c>
      <c r="E2297" s="403" t="str">
        <f t="array" ref="E2297">INDIRECT("Tableau!$AD$29")</f>
        <v/>
      </c>
    </row>
    <row r="2298">
      <c r="A2298" s="402">
        <f t="array" ref="A2298">INDIRECT("Tableau!$A$30")</f>
        <v>205</v>
      </c>
      <c r="B2298" s="398" t="s">
        <v>475</v>
      </c>
      <c r="C2298" s="400" t="str">
        <f t="array" ref="C2298">INDIRECT("Tableau!$AC$30")</f>
        <v/>
      </c>
      <c r="D2298" s="400" t="str">
        <f t="shared" si="14"/>
        <v>IN</v>
      </c>
      <c r="E2298" s="403" t="str">
        <f t="array" ref="E2298">INDIRECT("Tableau!$AD$30")</f>
        <v/>
      </c>
    </row>
    <row r="2299">
      <c r="A2299" s="402">
        <f t="array" ref="A2299">INDIRECT("Tableau!$A$31")</f>
        <v>206</v>
      </c>
      <c r="B2299" s="398" t="s">
        <v>475</v>
      </c>
      <c r="C2299" s="400" t="str">
        <f t="array" ref="C2299">INDIRECT("Tableau!$AC$31")</f>
        <v/>
      </c>
      <c r="D2299" s="400" t="str">
        <f t="shared" si="14"/>
        <v>IN</v>
      </c>
      <c r="E2299" s="403" t="str">
        <f t="array" ref="E2299">INDIRECT("Tableau!$AD$31")</f>
        <v/>
      </c>
    </row>
    <row r="2300">
      <c r="A2300" s="402">
        <f t="array" ref="A2300">INDIRECT("Tableau!$A$32")</f>
        <v>207</v>
      </c>
      <c r="B2300" s="398" t="s">
        <v>475</v>
      </c>
      <c r="C2300" s="400" t="str">
        <f t="array" ref="C2300">INDIRECT("Tableau!$AC$32")</f>
        <v/>
      </c>
      <c r="D2300" s="400" t="str">
        <f t="shared" si="14"/>
        <v>IN</v>
      </c>
      <c r="E2300" s="403" t="str">
        <f t="array" ref="E2300">INDIRECT("Tableau!$AD$32")</f>
        <v/>
      </c>
    </row>
    <row r="2301">
      <c r="A2301" s="402">
        <f t="array" ref="A2301">INDIRECT("Tableau!$A$33")</f>
        <v>208</v>
      </c>
      <c r="B2301" s="398" t="s">
        <v>475</v>
      </c>
      <c r="C2301" s="400" t="str">
        <f t="array" ref="C2301">INDIRECT("Tableau!$AC$33")</f>
        <v/>
      </c>
      <c r="D2301" s="400" t="str">
        <f t="shared" si="14"/>
        <v>IN</v>
      </c>
      <c r="E2301" s="403" t="str">
        <f t="array" ref="E2301">INDIRECT("Tableau!$AD$33")</f>
        <v/>
      </c>
    </row>
    <row r="2302">
      <c r="A2302" s="402">
        <f t="array" ref="A2302">INDIRECT("Tableau!$A$34")</f>
        <v>209</v>
      </c>
      <c r="B2302" s="398" t="s">
        <v>475</v>
      </c>
      <c r="C2302" s="400" t="str">
        <f t="array" ref="C2302">INDIRECT("Tableau!$AC$34")</f>
        <v/>
      </c>
      <c r="D2302" s="400" t="str">
        <f t="shared" si="14"/>
        <v>IN</v>
      </c>
      <c r="E2302" s="403" t="str">
        <f t="array" ref="E2302">INDIRECT("Tableau!$AD$34")</f>
        <v/>
      </c>
    </row>
    <row r="2303">
      <c r="A2303" s="402">
        <f t="array" ref="A2303">INDIRECT("Tableau!$A$35")</f>
        <v>210</v>
      </c>
      <c r="B2303" s="398" t="s">
        <v>475</v>
      </c>
      <c r="C2303" s="400" t="str">
        <f t="array" ref="C2303">INDIRECT("Tableau!$AC$35")</f>
        <v>Grottes de Han</v>
      </c>
      <c r="D2303" s="400" t="str">
        <f t="shared" si="14"/>
        <v>IN</v>
      </c>
      <c r="E2303" s="403" t="str">
        <f t="array" ref="E2303">INDIRECT("Tableau!$AD$35")</f>
        <v/>
      </c>
    </row>
    <row r="2304">
      <c r="A2304" s="402">
        <f t="array" ref="A2304">INDIRECT("Tableau!$A$36")</f>
        <v>211</v>
      </c>
      <c r="B2304" s="398" t="s">
        <v>475</v>
      </c>
      <c r="C2304" s="400" t="str">
        <f t="array" ref="C2304">INDIRECT("Tableau!$AC$36")</f>
        <v/>
      </c>
      <c r="D2304" s="400" t="str">
        <f t="shared" si="14"/>
        <v>IN</v>
      </c>
      <c r="E2304" s="403" t="str">
        <f t="array" ref="E2304">INDIRECT("Tableau!$AD$36")</f>
        <v/>
      </c>
    </row>
    <row r="2305">
      <c r="A2305" s="402">
        <f t="array" ref="A2305">INDIRECT("Tableau!$A$37")</f>
        <v>212</v>
      </c>
      <c r="B2305" s="398" t="s">
        <v>475</v>
      </c>
      <c r="C2305" s="400" t="str">
        <f t="array" ref="C2305">INDIRECT("Tableau!$AC$37")</f>
        <v/>
      </c>
      <c r="D2305" s="400" t="str">
        <f t="shared" si="14"/>
        <v>IN</v>
      </c>
      <c r="E2305" s="403" t="str">
        <f t="array" ref="E2305">INDIRECT("Tableau!$AD$37")</f>
        <v/>
      </c>
    </row>
    <row r="2306">
      <c r="A2306" s="402">
        <f t="array" ref="A2306">INDIRECT("Tableau!$A$38")</f>
        <v>213</v>
      </c>
      <c r="B2306" s="398" t="s">
        <v>475</v>
      </c>
      <c r="C2306" s="400" t="str">
        <f t="array" ref="C2306">INDIRECT("Tableau!$AC$38")</f>
        <v/>
      </c>
      <c r="D2306" s="400" t="str">
        <f t="shared" si="14"/>
        <v>IN</v>
      </c>
      <c r="E2306" s="403" t="str">
        <f t="array" ref="E2306">INDIRECT("Tableau!$AD$38")</f>
        <v/>
      </c>
    </row>
    <row r="2307">
      <c r="A2307" s="402">
        <f t="array" ref="A2307">INDIRECT("Tableau!$A$39")</f>
        <v>214</v>
      </c>
      <c r="B2307" s="398" t="s">
        <v>475</v>
      </c>
      <c r="C2307" s="400" t="str">
        <f t="array" ref="C2307">INDIRECT("Tableau!$AC$39")</f>
        <v/>
      </c>
      <c r="D2307" s="400" t="str">
        <f t="shared" si="14"/>
        <v>IN</v>
      </c>
      <c r="E2307" s="403" t="str">
        <f t="array" ref="E2307">INDIRECT("Tableau!$AD$39")</f>
        <v/>
      </c>
    </row>
    <row r="2308">
      <c r="A2308" s="402">
        <f t="array" ref="A2308">INDIRECT("Tableau!$A$40")</f>
        <v>215</v>
      </c>
      <c r="B2308" s="398" t="s">
        <v>475</v>
      </c>
      <c r="C2308" s="400" t="str">
        <f t="array" ref="C2308">INDIRECT("Tableau!$AC$40")</f>
        <v/>
      </c>
      <c r="D2308" s="400" t="str">
        <f t="shared" si="14"/>
        <v>IN</v>
      </c>
      <c r="E2308" s="403" t="str">
        <f t="array" ref="E2308">INDIRECT("Tableau!$AD$40")</f>
        <v/>
      </c>
    </row>
    <row r="2309">
      <c r="A2309" s="402">
        <f t="array" ref="A2309">INDIRECT("Tableau!$A$41")</f>
        <v>216</v>
      </c>
      <c r="B2309" s="398" t="s">
        <v>475</v>
      </c>
      <c r="C2309" s="400" t="str">
        <f t="array" ref="C2309">INDIRECT("Tableau!$AC$41")</f>
        <v/>
      </c>
      <c r="D2309" s="400" t="str">
        <f t="shared" si="14"/>
        <v>IN</v>
      </c>
      <c r="E2309" s="403" t="str">
        <f t="array" ref="E2309">INDIRECT("Tableau!$AD$41")</f>
        <v/>
      </c>
    </row>
    <row r="2310">
      <c r="A2310" s="402">
        <f t="array" ref="A2310">INDIRECT("Tableau!$A$42")</f>
        <v>227</v>
      </c>
      <c r="B2310" s="398" t="s">
        <v>475</v>
      </c>
      <c r="C2310" s="400" t="str">
        <f t="array" ref="C2310">INDIRECT("Tableau!$AC$42")</f>
        <v/>
      </c>
      <c r="D2310" s="400" t="str">
        <f t="shared" si="14"/>
        <v>IN</v>
      </c>
      <c r="E2310" s="403" t="str">
        <f t="array" ref="E2310">INDIRECT("Tableau!$AD$42")</f>
        <v/>
      </c>
    </row>
    <row r="2311">
      <c r="A2311" s="402">
        <f t="array" ref="A2311">INDIRECT("Tableau!$A$43")</f>
        <v>217</v>
      </c>
      <c r="B2311" s="398" t="s">
        <v>475</v>
      </c>
      <c r="C2311" s="400" t="str">
        <f t="array" ref="C2311">INDIRECT("Tableau!$AC$43")</f>
        <v/>
      </c>
      <c r="D2311" s="400" t="str">
        <f t="shared" si="14"/>
        <v>IN</v>
      </c>
      <c r="E2311" s="403" t="str">
        <f t="array" ref="E2311">INDIRECT("Tableau!$AD$43")</f>
        <v/>
      </c>
    </row>
    <row r="2312">
      <c r="A2312" s="402">
        <f t="array" ref="A2312">INDIRECT("Tableau!$A$44")</f>
        <v>218</v>
      </c>
      <c r="B2312" s="398" t="s">
        <v>475</v>
      </c>
      <c r="C2312" s="400" t="str">
        <f t="array" ref="C2312">INDIRECT("Tableau!$AC$44")</f>
        <v/>
      </c>
      <c r="D2312" s="400" t="str">
        <f t="shared" si="14"/>
        <v>IN</v>
      </c>
      <c r="E2312" s="403" t="str">
        <f t="array" ref="E2312">INDIRECT("Tableau!$AD$44")</f>
        <v/>
      </c>
    </row>
    <row r="2313">
      <c r="A2313" s="397" t="str">
        <f t="array" ref="A2313">INDIRECT("Tableau!$A$45")</f>
        <v/>
      </c>
      <c r="B2313" s="398" t="s">
        <v>475</v>
      </c>
      <c r="C2313" s="400" t="str">
        <f t="array" ref="C2313">INDIRECT("Tableau!$AC$45")</f>
        <v/>
      </c>
      <c r="D2313" s="400" t="str">
        <f t="shared" si="14"/>
        <v>IN</v>
      </c>
      <c r="E2313" s="403" t="str">
        <f t="array" ref="E2313">INDIRECT("Tableau!$AD$45")</f>
        <v/>
      </c>
    </row>
    <row r="2314">
      <c r="A2314" s="402">
        <f t="array" ref="A2314">INDIRECT("Tableau!$A$46")</f>
        <v>220</v>
      </c>
      <c r="B2314" s="398" t="s">
        <v>475</v>
      </c>
      <c r="C2314" s="400" t="str">
        <f t="array" ref="C2314">INDIRECT("Tableau!$AC$46")</f>
        <v/>
      </c>
      <c r="D2314" s="400" t="str">
        <f t="shared" si="14"/>
        <v>IN</v>
      </c>
      <c r="E2314" s="403" t="str">
        <f t="array" ref="E2314">INDIRECT("Tableau!$AD$46")</f>
        <v/>
      </c>
    </row>
    <row r="2315">
      <c r="A2315" s="402">
        <f t="array" ref="A2315">INDIRECT("Tableau!$A$47")</f>
        <v>221</v>
      </c>
      <c r="B2315" s="398" t="s">
        <v>475</v>
      </c>
      <c r="C2315" s="400" t="str">
        <f t="array" ref="C2315">INDIRECT("Tableau!$AC$47")</f>
        <v/>
      </c>
      <c r="D2315" s="400" t="str">
        <f t="shared" si="14"/>
        <v>IN</v>
      </c>
      <c r="E2315" s="403" t="str">
        <f t="array" ref="E2315">INDIRECT("Tableau!$AD$47")</f>
        <v/>
      </c>
    </row>
    <row r="2316">
      <c r="A2316" s="402">
        <f t="array" ref="A2316">INDIRECT("Tableau!$A$48")</f>
        <v>226</v>
      </c>
      <c r="B2316" s="398" t="s">
        <v>475</v>
      </c>
      <c r="C2316" s="400" t="str">
        <f t="array" ref="C2316">INDIRECT("Tableau!$AC$48")</f>
        <v/>
      </c>
      <c r="D2316" s="400" t="str">
        <f t="shared" si="14"/>
        <v>IN</v>
      </c>
      <c r="E2316" s="403" t="str">
        <f t="array" ref="E2316">INDIRECT("Tableau!$AD$48")</f>
        <v/>
      </c>
    </row>
    <row r="2317">
      <c r="A2317" s="402">
        <f t="array" ref="A2317">INDIRECT("Tableau!$A$49")</f>
        <v>222</v>
      </c>
      <c r="B2317" s="398" t="s">
        <v>475</v>
      </c>
      <c r="C2317" s="400" t="str">
        <f t="array" ref="C2317">INDIRECT("Tableau!$AC$49")</f>
        <v/>
      </c>
      <c r="D2317" s="400" t="str">
        <f t="shared" si="14"/>
        <v>IN</v>
      </c>
      <c r="E2317" s="403" t="str">
        <f t="array" ref="E2317">INDIRECT("Tableau!$AD$49")</f>
        <v/>
      </c>
    </row>
    <row r="2318">
      <c r="A2318" s="402">
        <f t="array" ref="A2318">INDIRECT("Tableau!$A$50")</f>
        <v>224</v>
      </c>
      <c r="B2318" s="398" t="s">
        <v>475</v>
      </c>
      <c r="C2318" s="400" t="str">
        <f t="array" ref="C2318">INDIRECT("Tableau!$AC$50")</f>
        <v/>
      </c>
      <c r="D2318" s="400" t="str">
        <f t="shared" si="14"/>
        <v>IN</v>
      </c>
      <c r="E2318" s="403" t="str">
        <f t="array" ref="E2318">INDIRECT("Tableau!$AD$50")</f>
        <v/>
      </c>
    </row>
    <row r="2319">
      <c r="A2319" s="397">
        <f t="array" ref="A2319">INDIRECT("Tableau!$A$51")</f>
        <v>223</v>
      </c>
      <c r="B2319" s="398" t="s">
        <v>475</v>
      </c>
      <c r="C2319" s="400" t="str">
        <f t="array" ref="C2319">INDIRECT("Tableau!$AC$51")</f>
        <v/>
      </c>
      <c r="D2319" s="400" t="str">
        <f t="shared" si="14"/>
        <v>IN</v>
      </c>
      <c r="E2319" s="403" t="str">
        <f t="array" ref="E2319">INDIRECT("Tableau!$AD$51")</f>
        <v/>
      </c>
    </row>
    <row r="2320">
      <c r="A2320" s="402">
        <f t="array" ref="A2320">INDIRECT("Tableau!$A$52")</f>
        <v>225</v>
      </c>
      <c r="B2320" s="398" t="s">
        <v>475</v>
      </c>
      <c r="C2320" s="400" t="str">
        <f t="array" ref="C2320">INDIRECT("Tableau!$AC$52")</f>
        <v>DEMA</v>
      </c>
      <c r="D2320" s="400" t="str">
        <f t="shared" si="14"/>
        <v>IN</v>
      </c>
      <c r="E2320" s="403" t="str">
        <f t="array" ref="E2320">INDIRECT("Tableau!$AD$52")</f>
        <v/>
      </c>
    </row>
    <row r="2321">
      <c r="A2321" s="402">
        <f t="array" ref="A2321">INDIRECT("Tableau!$A$53")</f>
        <v>230</v>
      </c>
      <c r="B2321" s="398" t="s">
        <v>475</v>
      </c>
      <c r="C2321" s="400" t="str">
        <f t="array" ref="C2321">INDIRECT("Tableau!$AC$53")</f>
        <v>Grottes de Han</v>
      </c>
      <c r="D2321" s="400" t="str">
        <f t="shared" si="14"/>
        <v>IN</v>
      </c>
      <c r="E2321" s="403" t="str">
        <f t="array" ref="E2321">INDIRECT("Tableau!$AD$53")</f>
        <v/>
      </c>
    </row>
    <row r="2322">
      <c r="A2322" s="397">
        <f t="array" ref="A2322">INDIRECT("Tableau!$A$54")</f>
        <v>231</v>
      </c>
      <c r="B2322" s="398" t="s">
        <v>475</v>
      </c>
      <c r="C2322" s="400" t="str">
        <f t="array" ref="C2322">INDIRECT("Tableau!$AC$54")</f>
        <v/>
      </c>
      <c r="D2322" s="400" t="str">
        <f t="shared" si="14"/>
        <v>IN</v>
      </c>
      <c r="E2322" s="403" t="str">
        <f t="array" ref="E2322">INDIRECT("Tableau!$AD$54")</f>
        <v/>
      </c>
    </row>
    <row r="2323">
      <c r="A2323" s="397" t="str">
        <f t="array" ref="A2323">INDIRECT("Tableau!$A$55")</f>
        <v/>
      </c>
      <c r="B2323" s="398" t="s">
        <v>475</v>
      </c>
      <c r="C2323" s="400" t="str">
        <f t="array" ref="C2323">INDIRECT("Tableau!$AC$55")</f>
        <v/>
      </c>
      <c r="D2323" s="400" t="str">
        <f t="shared" si="14"/>
        <v>IN</v>
      </c>
      <c r="E2323" s="403" t="str">
        <f t="array" ref="E2323">INDIRECT("Tableau!$AD$55")</f>
        <v/>
      </c>
    </row>
    <row r="2324">
      <c r="A2324" s="397" t="str">
        <f t="array" ref="A2324">INDIRECT("Tableau!$A$56")</f>
        <v/>
      </c>
      <c r="B2324" s="398" t="s">
        <v>475</v>
      </c>
      <c r="C2324" s="400" t="str">
        <f t="array" ref="C2324">INDIRECT("Tableau!$AC$56")</f>
        <v/>
      </c>
      <c r="D2324" s="400" t="str">
        <f t="shared" si="14"/>
        <v>IN</v>
      </c>
      <c r="E2324" s="403" t="str">
        <f t="array" ref="E2324">INDIRECT("Tableau!$AD$56")</f>
        <v/>
      </c>
    </row>
    <row r="2325">
      <c r="A2325" s="397" t="str">
        <f t="array" ref="A2325">INDIRECT("Tableau!$A$57")</f>
        <v/>
      </c>
      <c r="B2325" s="398" t="s">
        <v>475</v>
      </c>
      <c r="C2325" s="400" t="str">
        <f t="array" ref="C2325">INDIRECT("Tableau!$AC$57")</f>
        <v/>
      </c>
      <c r="D2325" s="400" t="str">
        <f t="shared" si="14"/>
        <v>IN</v>
      </c>
      <c r="E2325" s="403" t="str">
        <f t="array" ref="E2325">INDIRECT("Tableau!$AD$57")</f>
        <v/>
      </c>
    </row>
    <row r="2326">
      <c r="A2326" s="397" t="str">
        <f t="array" ref="A2326">INDIRECT("Tableau!$A$58")</f>
        <v/>
      </c>
      <c r="B2326" s="398" t="s">
        <v>475</v>
      </c>
      <c r="C2326" s="400" t="str">
        <f t="array" ref="C2326">INDIRECT("Tableau!$AC$58")</f>
        <v/>
      </c>
      <c r="D2326" s="400" t="str">
        <f t="shared" si="14"/>
        <v>IN</v>
      </c>
      <c r="E2326" s="403" t="str">
        <f t="array" ref="E2326">INDIRECT("Tableau!$AD$58")</f>
        <v/>
      </c>
    </row>
    <row r="2327">
      <c r="A2327" s="397" t="str">
        <f t="array" ref="A2327">INDIRECT("Tableau!$A$59")</f>
        <v/>
      </c>
      <c r="B2327" s="398" t="s">
        <v>475</v>
      </c>
      <c r="C2327" s="400" t="str">
        <f t="array" ref="C2327">INDIRECT("Tableau!$AC$59")</f>
        <v/>
      </c>
      <c r="D2327" s="400" t="str">
        <f t="shared" si="14"/>
        <v>IN</v>
      </c>
      <c r="E2327" s="403" t="str">
        <f t="array" ref="E2327">INDIRECT("Tableau!$AD$59")</f>
        <v/>
      </c>
    </row>
    <row r="2328">
      <c r="A2328" s="397" t="str">
        <f t="array" ref="A2328">INDIRECT("Tableau!$A$60")</f>
        <v/>
      </c>
      <c r="B2328" s="398" t="s">
        <v>475</v>
      </c>
      <c r="C2328" s="400" t="str">
        <f t="array" ref="C2328">INDIRECT("Tableau!$AC$60")</f>
        <v/>
      </c>
      <c r="D2328" s="400" t="str">
        <f t="shared" si="14"/>
        <v>IN</v>
      </c>
      <c r="E2328" s="403" t="str">
        <f t="array" ref="E2328">INDIRECT("Tableau!$AD$60")</f>
        <v/>
      </c>
    </row>
    <row r="2329">
      <c r="A2329" s="397" t="str">
        <f t="array" ref="A2329">INDIRECT("Tableau!$A$61")</f>
        <v/>
      </c>
      <c r="B2329" s="398" t="s">
        <v>475</v>
      </c>
      <c r="C2329" s="400" t="str">
        <f t="array" ref="C2329">INDIRECT("Tableau!$AC$61")</f>
        <v/>
      </c>
      <c r="D2329" s="400" t="str">
        <f t="shared" si="14"/>
        <v>IN</v>
      </c>
      <c r="E2329" s="403" t="str">
        <f t="array" ref="E2329">INDIRECT("Tableau!$AD$61")</f>
        <v/>
      </c>
    </row>
    <row r="2330">
      <c r="A2330" s="397" t="str">
        <f t="array" ref="A2330">INDIRECT("Tableau!$A$62")</f>
        <v/>
      </c>
      <c r="B2330" s="398" t="s">
        <v>475</v>
      </c>
      <c r="C2330" s="400" t="str">
        <f t="array" ref="C2330">INDIRECT("Tableau!$AC$62")</f>
        <v/>
      </c>
      <c r="D2330" s="400" t="str">
        <f t="shared" si="14"/>
        <v>IN</v>
      </c>
      <c r="E2330" s="403" t="str">
        <f t="array" ref="E2330">INDIRECT("Tableau!$AD$62")</f>
        <v/>
      </c>
    </row>
    <row r="2331">
      <c r="A2331" s="397" t="str">
        <f t="array" ref="A2331">INDIRECT("Tableau!$A$63")</f>
        <v/>
      </c>
      <c r="B2331" s="398" t="s">
        <v>475</v>
      </c>
      <c r="C2331" s="400" t="str">
        <f t="array" ref="C2331">INDIRECT("Tableau!$AC$63")</f>
        <v/>
      </c>
      <c r="D2331" s="400" t="str">
        <f t="shared" si="14"/>
        <v>IN</v>
      </c>
      <c r="E2331" s="403" t="str">
        <f t="array" ref="E2331">INDIRECT("Tableau!$AD$63")</f>
        <v/>
      </c>
    </row>
    <row r="2332">
      <c r="A2332" s="397" t="str">
        <f t="array" ref="A2332">INDIRECT("Tableau!$A$64")</f>
        <v/>
      </c>
      <c r="B2332" s="398" t="s">
        <v>475</v>
      </c>
      <c r="C2332" s="400" t="str">
        <f t="array" ref="C2332">INDIRECT("Tableau!$AC$64")</f>
        <v/>
      </c>
      <c r="D2332" s="400" t="str">
        <f t="shared" si="14"/>
        <v>IN</v>
      </c>
      <c r="E2332" s="403" t="str">
        <f t="array" ref="E2332">INDIRECT("Tableau!$AD$64")</f>
        <v/>
      </c>
    </row>
    <row r="2333">
      <c r="A2333" s="402">
        <f t="array" ref="A2333">INDIRECT("Tableau!$A$65")</f>
        <v>301</v>
      </c>
      <c r="B2333" s="398" t="s">
        <v>475</v>
      </c>
      <c r="C2333" s="400" t="str">
        <f t="array" ref="C2333">INDIRECT("Tableau!$AC$65")</f>
        <v/>
      </c>
      <c r="D2333" s="400" t="str">
        <f t="shared" si="14"/>
        <v>IN</v>
      </c>
      <c r="E2333" s="403" t="str">
        <f t="array" ref="E2333">INDIRECT("Tableau!$AD$65")</f>
        <v/>
      </c>
    </row>
    <row r="2334">
      <c r="A2334" s="397" t="str">
        <f t="array" ref="A2334">INDIRECT("Tableau!$A$66")</f>
        <v/>
      </c>
      <c r="B2334" s="398" t="s">
        <v>475</v>
      </c>
      <c r="C2334" s="400" t="str">
        <f t="array" ref="C2334">INDIRECT("Tableau!$AC$66")</f>
        <v/>
      </c>
      <c r="D2334" s="400" t="str">
        <f t="shared" si="14"/>
        <v>IN</v>
      </c>
      <c r="E2334" s="403" t="str">
        <f t="array" ref="E2334">INDIRECT("Tableau!$AD$66")</f>
        <v/>
      </c>
    </row>
    <row r="2335">
      <c r="A2335" s="402">
        <f t="array" ref="A2335">INDIRECT("Tableau!$A$67")</f>
        <v>303</v>
      </c>
      <c r="B2335" s="398" t="s">
        <v>475</v>
      </c>
      <c r="C2335" s="400" t="str">
        <f t="array" ref="C2335">INDIRECT("Tableau!$AC$67")</f>
        <v/>
      </c>
      <c r="D2335" s="400" t="str">
        <f t="shared" si="14"/>
        <v>IN</v>
      </c>
      <c r="E2335" s="403" t="str">
        <f t="array" ref="E2335">INDIRECT("Tableau!$AD$67")</f>
        <v/>
      </c>
    </row>
    <row r="2336">
      <c r="A2336" s="402">
        <f t="array" ref="A2336">INDIRECT("Tableau!$A$68")</f>
        <v>304</v>
      </c>
      <c r="B2336" s="398" t="s">
        <v>475</v>
      </c>
      <c r="C2336" s="400" t="str">
        <f t="array" ref="C2336">INDIRECT("Tableau!$AC$68")</f>
        <v/>
      </c>
      <c r="D2336" s="400" t="str">
        <f t="shared" si="14"/>
        <v>IN</v>
      </c>
      <c r="E2336" s="403" t="str">
        <f t="array" ref="E2336">INDIRECT("Tableau!$AD$68")</f>
        <v/>
      </c>
    </row>
    <row r="2337">
      <c r="A2337" s="402">
        <f t="array" ref="A2337">INDIRECT("Tableau!$A$69")</f>
        <v>305</v>
      </c>
      <c r="B2337" s="398" t="s">
        <v>475</v>
      </c>
      <c r="C2337" s="400" t="str">
        <f t="array" ref="C2337">INDIRECT("Tableau!$AC$69")</f>
        <v/>
      </c>
      <c r="D2337" s="400" t="str">
        <f t="shared" si="14"/>
        <v>IN</v>
      </c>
      <c r="E2337" s="403" t="str">
        <f t="array" ref="E2337">INDIRECT("Tableau!$AD$69")</f>
        <v/>
      </c>
    </row>
    <row r="2338">
      <c r="A2338" s="402">
        <f t="array" ref="A2338">INDIRECT("Tableau!$A$70")</f>
        <v>306</v>
      </c>
      <c r="B2338" s="398" t="s">
        <v>475</v>
      </c>
      <c r="C2338" s="400" t="str">
        <f t="array" ref="C2338">INDIRECT("Tableau!$AC$70")</f>
        <v/>
      </c>
      <c r="D2338" s="400" t="str">
        <f t="shared" si="14"/>
        <v>IN</v>
      </c>
      <c r="E2338" s="403" t="str">
        <f t="array" ref="E2338">INDIRECT("Tableau!$AD$70")</f>
        <v/>
      </c>
    </row>
    <row r="2339">
      <c r="A2339" s="402">
        <f t="array" ref="A2339">INDIRECT("Tableau!$A$71")</f>
        <v>307</v>
      </c>
      <c r="B2339" s="398" t="s">
        <v>475</v>
      </c>
      <c r="C2339" s="400" t="str">
        <f t="array" ref="C2339">INDIRECT("Tableau!$AC$71")</f>
        <v/>
      </c>
      <c r="D2339" s="400" t="str">
        <f t="shared" si="14"/>
        <v>IN</v>
      </c>
      <c r="E2339" s="403" t="str">
        <f t="array" ref="E2339">INDIRECT("Tableau!$AD$71")</f>
        <v/>
      </c>
    </row>
    <row r="2340">
      <c r="A2340" s="397">
        <f t="array" ref="A2340">INDIRECT("Tableau!$A$72")</f>
        <v>367</v>
      </c>
      <c r="B2340" s="398" t="s">
        <v>475</v>
      </c>
      <c r="C2340" s="400" t="str">
        <f t="array" ref="C2340">INDIRECT("Tableau!$AC$72")</f>
        <v/>
      </c>
      <c r="D2340" s="400" t="str">
        <f t="shared" si="14"/>
        <v>IN</v>
      </c>
      <c r="E2340" s="403" t="str">
        <f t="array" ref="E2340">INDIRECT("Tableau!$AD$72")</f>
        <v/>
      </c>
    </row>
    <row r="2341">
      <c r="A2341" s="402">
        <f t="array" ref="A2341">INDIRECT("Tableau!$A$73")</f>
        <v>308</v>
      </c>
      <c r="B2341" s="398" t="s">
        <v>475</v>
      </c>
      <c r="C2341" s="400" t="str">
        <f t="array" ref="C2341">INDIRECT("Tableau!$AC$73")</f>
        <v/>
      </c>
      <c r="D2341" s="400" t="str">
        <f t="shared" si="14"/>
        <v>IN</v>
      </c>
      <c r="E2341" s="403" t="str">
        <f t="array" ref="E2341">INDIRECT("Tableau!$AD$73")</f>
        <v/>
      </c>
    </row>
    <row r="2342">
      <c r="A2342" s="397">
        <f t="array" ref="A2342">INDIRECT("Tableau!$A$74")</f>
        <v>319</v>
      </c>
      <c r="B2342" s="398" t="s">
        <v>475</v>
      </c>
      <c r="C2342" s="400" t="str">
        <f t="array" ref="C2342">INDIRECT("Tableau!$AC$74")</f>
        <v/>
      </c>
      <c r="D2342" s="400" t="str">
        <f t="shared" si="14"/>
        <v>IN</v>
      </c>
      <c r="E2342" s="403" t="str">
        <f t="array" ref="E2342">INDIRECT("Tableau!$AD$74")</f>
        <v/>
      </c>
    </row>
    <row r="2343">
      <c r="A2343" s="402">
        <f t="array" ref="A2343">INDIRECT("Tableau!$A$75")</f>
        <v>309</v>
      </c>
      <c r="B2343" s="398" t="s">
        <v>475</v>
      </c>
      <c r="C2343" s="400" t="str">
        <f t="array" ref="C2343">INDIRECT("Tableau!$AC$75")</f>
        <v/>
      </c>
      <c r="D2343" s="400" t="str">
        <f t="shared" si="14"/>
        <v>IN</v>
      </c>
      <c r="E2343" s="403" t="str">
        <f t="array" ref="E2343">INDIRECT("Tableau!$AD$75")</f>
        <v/>
      </c>
    </row>
    <row r="2344">
      <c r="A2344" s="402">
        <f t="array" ref="A2344">INDIRECT("Tableau!$A$76")</f>
        <v>310</v>
      </c>
      <c r="B2344" s="398" t="s">
        <v>475</v>
      </c>
      <c r="C2344" s="400" t="str">
        <f t="array" ref="C2344">INDIRECT("Tableau!$AC$76")</f>
        <v/>
      </c>
      <c r="D2344" s="400" t="str">
        <f t="shared" si="14"/>
        <v>IN</v>
      </c>
      <c r="E2344" s="403" t="str">
        <f t="array" ref="E2344">INDIRECT("Tableau!$AD$76")</f>
        <v/>
      </c>
    </row>
    <row r="2345">
      <c r="A2345" s="402">
        <f t="array" ref="A2345">INDIRECT("Tableau!$A$77")</f>
        <v>311</v>
      </c>
      <c r="B2345" s="398" t="s">
        <v>475</v>
      </c>
      <c r="C2345" s="400" t="str">
        <f t="array" ref="C2345">INDIRECT("Tableau!$AC$77")</f>
        <v/>
      </c>
      <c r="D2345" s="400" t="str">
        <f t="shared" si="14"/>
        <v>IN</v>
      </c>
      <c r="E2345" s="403" t="str">
        <f t="array" ref="E2345">INDIRECT("Tableau!$AD$77")</f>
        <v/>
      </c>
    </row>
    <row r="2346">
      <c r="A2346" s="402">
        <f t="array" ref="A2346">INDIRECT("Tableau!$A$78")</f>
        <v>312</v>
      </c>
      <c r="B2346" s="398" t="s">
        <v>475</v>
      </c>
      <c r="C2346" s="400" t="str">
        <f t="array" ref="C2346">INDIRECT("Tableau!$AC$78")</f>
        <v/>
      </c>
      <c r="D2346" s="400" t="str">
        <f t="shared" si="14"/>
        <v>IN</v>
      </c>
      <c r="E2346" s="403" t="str">
        <f t="array" ref="E2346">INDIRECT("Tableau!$AD$78")</f>
        <v/>
      </c>
    </row>
    <row r="2347">
      <c r="A2347" s="402">
        <f t="array" ref="A2347">INDIRECT("Tableau!$A$79")</f>
        <v>313</v>
      </c>
      <c r="B2347" s="398" t="s">
        <v>475</v>
      </c>
      <c r="C2347" s="400" t="str">
        <f t="array" ref="C2347">INDIRECT("Tableau!$AC$79")</f>
        <v/>
      </c>
      <c r="D2347" s="400" t="str">
        <f t="shared" si="14"/>
        <v>IN</v>
      </c>
      <c r="E2347" s="403" t="str">
        <f t="array" ref="E2347">INDIRECT("Tableau!$AD$79")</f>
        <v/>
      </c>
    </row>
    <row r="2348">
      <c r="A2348" s="402">
        <f t="array" ref="A2348">INDIRECT("Tableau!$A$80")</f>
        <v>314</v>
      </c>
      <c r="B2348" s="398" t="s">
        <v>475</v>
      </c>
      <c r="C2348" s="400" t="str">
        <f t="array" ref="C2348">INDIRECT("Tableau!$AC$80")</f>
        <v/>
      </c>
      <c r="D2348" s="400" t="str">
        <f t="shared" si="14"/>
        <v>IN</v>
      </c>
      <c r="E2348" s="403" t="str">
        <f t="array" ref="E2348">INDIRECT("Tableau!$AD$80")</f>
        <v/>
      </c>
    </row>
    <row r="2349">
      <c r="A2349" s="402">
        <f t="array" ref="A2349">INDIRECT("Tableau!$A$81")</f>
        <v>315</v>
      </c>
      <c r="B2349" s="398" t="s">
        <v>475</v>
      </c>
      <c r="C2349" s="400" t="str">
        <f t="array" ref="C2349">INDIRECT("Tableau!$AC$81")</f>
        <v/>
      </c>
      <c r="D2349" s="400" t="str">
        <f t="shared" si="14"/>
        <v>IN</v>
      </c>
      <c r="E2349" s="403" t="str">
        <f t="array" ref="E2349">INDIRECT("Tableau!$AD$81")</f>
        <v/>
      </c>
    </row>
    <row r="2350">
      <c r="A2350" s="402">
        <f t="array" ref="A2350">INDIRECT("Tableau!$A$82")</f>
        <v>316</v>
      </c>
      <c r="B2350" s="398" t="s">
        <v>475</v>
      </c>
      <c r="C2350" s="400" t="str">
        <f t="array" ref="C2350">INDIRECT("Tableau!$AC$82")</f>
        <v/>
      </c>
      <c r="D2350" s="400" t="str">
        <f t="shared" si="14"/>
        <v>IN</v>
      </c>
      <c r="E2350" s="403" t="str">
        <f t="array" ref="E2350">INDIRECT("Tableau!$AD$82")</f>
        <v/>
      </c>
    </row>
    <row r="2351">
      <c r="A2351" s="402">
        <f t="array" ref="A2351">INDIRECT("Tableau!$A$83")</f>
        <v>317</v>
      </c>
      <c r="B2351" s="398" t="s">
        <v>475</v>
      </c>
      <c r="C2351" s="400" t="str">
        <f t="array" ref="C2351">INDIRECT("Tableau!$AC$83")</f>
        <v/>
      </c>
      <c r="D2351" s="400" t="str">
        <f t="shared" si="14"/>
        <v>IN</v>
      </c>
      <c r="E2351" s="403" t="str">
        <f t="array" ref="E2351">INDIRECT("Tableau!$AD$83")</f>
        <v/>
      </c>
    </row>
    <row r="2352">
      <c r="A2352" s="402">
        <f t="array" ref="A2352">INDIRECT("Tableau!$A$84")</f>
        <v>318</v>
      </c>
      <c r="B2352" s="398" t="s">
        <v>475</v>
      </c>
      <c r="C2352" s="400" t="str">
        <f t="array" ref="C2352">INDIRECT("Tableau!$AC$84")</f>
        <v/>
      </c>
      <c r="D2352" s="400" t="str">
        <f t="shared" si="14"/>
        <v>IN</v>
      </c>
      <c r="E2352" s="403" t="str">
        <f t="array" ref="E2352">INDIRECT("Tableau!$AD$84")</f>
        <v/>
      </c>
    </row>
    <row r="2353">
      <c r="A2353" s="402">
        <f t="array" ref="A2353">INDIRECT("Tableau!$A$85")</f>
        <v>320</v>
      </c>
      <c r="B2353" s="398" t="s">
        <v>475</v>
      </c>
      <c r="C2353" s="400" t="str">
        <f t="array" ref="C2353">INDIRECT("Tableau!$AC$85")</f>
        <v/>
      </c>
      <c r="D2353" s="400" t="str">
        <f t="shared" si="14"/>
        <v>IN</v>
      </c>
      <c r="E2353" s="403" t="str">
        <f t="array" ref="E2353">INDIRECT("Tableau!$AD$85")</f>
        <v/>
      </c>
    </row>
    <row r="2354">
      <c r="A2354" s="402">
        <f t="array" ref="A2354">INDIRECT("Tableau!$A$86")</f>
        <v>321</v>
      </c>
      <c r="B2354" s="398" t="s">
        <v>475</v>
      </c>
      <c r="C2354" s="400" t="str">
        <f t="array" ref="C2354">INDIRECT("Tableau!$AC$86")</f>
        <v/>
      </c>
      <c r="D2354" s="400" t="str">
        <f t="shared" si="14"/>
        <v>IN</v>
      </c>
      <c r="E2354" s="403" t="str">
        <f t="array" ref="E2354">INDIRECT("Tableau!$AD$86")</f>
        <v/>
      </c>
    </row>
    <row r="2355">
      <c r="A2355" s="397" t="str">
        <f t="array" ref="A2355">INDIRECT("Tableau!$A$87")</f>
        <v/>
      </c>
      <c r="B2355" s="398" t="s">
        <v>475</v>
      </c>
      <c r="C2355" s="400" t="str">
        <f t="array" ref="C2355">INDIRECT("Tableau!$AC$87")</f>
        <v/>
      </c>
      <c r="D2355" s="400" t="str">
        <f t="shared" si="14"/>
        <v>IN</v>
      </c>
      <c r="E2355" s="403" t="str">
        <f t="array" ref="E2355">INDIRECT("Tableau!$AD$87")</f>
        <v/>
      </c>
    </row>
    <row r="2356">
      <c r="A2356" s="402">
        <f t="array" ref="A2356">INDIRECT("Tableau!$A$88")</f>
        <v>323</v>
      </c>
      <c r="B2356" s="398" t="s">
        <v>475</v>
      </c>
      <c r="C2356" s="400" t="str">
        <f t="array" ref="C2356">INDIRECT("Tableau!$AC$88")</f>
        <v/>
      </c>
      <c r="D2356" s="400" t="str">
        <f t="shared" si="14"/>
        <v>IN</v>
      </c>
      <c r="E2356" s="403" t="str">
        <f t="array" ref="E2356">INDIRECT("Tableau!$AD$88")</f>
        <v/>
      </c>
    </row>
    <row r="2357">
      <c r="A2357" s="402">
        <f t="array" ref="A2357">INDIRECT("Tableau!$A$89")</f>
        <v>324</v>
      </c>
      <c r="B2357" s="398" t="s">
        <v>475</v>
      </c>
      <c r="C2357" s="400" t="str">
        <f t="array" ref="C2357">INDIRECT("Tableau!$AC$89")</f>
        <v/>
      </c>
      <c r="D2357" s="400" t="str">
        <f t="shared" si="14"/>
        <v>IN</v>
      </c>
      <c r="E2357" s="403" t="str">
        <f t="array" ref="E2357">INDIRECT("Tableau!$AD$89")</f>
        <v/>
      </c>
    </row>
    <row r="2358">
      <c r="A2358" s="402">
        <f t="array" ref="A2358">INDIRECT("Tableau!$A$90")</f>
        <v>325</v>
      </c>
      <c r="B2358" s="398" t="s">
        <v>475</v>
      </c>
      <c r="C2358" s="400" t="str">
        <f t="array" ref="C2358">INDIRECT("Tableau!$AC$90")</f>
        <v/>
      </c>
      <c r="D2358" s="400" t="str">
        <f t="shared" si="14"/>
        <v>IN</v>
      </c>
      <c r="E2358" s="403" t="str">
        <f t="array" ref="E2358">INDIRECT("Tableau!$AD$90")</f>
        <v/>
      </c>
    </row>
    <row r="2359">
      <c r="A2359" s="402">
        <f t="array" ref="A2359">INDIRECT("Tableau!$A$91")</f>
        <v>326</v>
      </c>
      <c r="B2359" s="398" t="s">
        <v>475</v>
      </c>
      <c r="C2359" s="400" t="str">
        <f t="array" ref="C2359">INDIRECT("Tableau!$AC$91")</f>
        <v/>
      </c>
      <c r="D2359" s="400" t="str">
        <f t="shared" si="14"/>
        <v>IN</v>
      </c>
      <c r="E2359" s="403" t="str">
        <f t="array" ref="E2359">INDIRECT("Tableau!$AD$91")</f>
        <v/>
      </c>
    </row>
    <row r="2360">
      <c r="A2360" s="402">
        <f t="array" ref="A2360">INDIRECT("Tableau!$A$92")</f>
        <v>327</v>
      </c>
      <c r="B2360" s="398" t="s">
        <v>475</v>
      </c>
      <c r="C2360" s="400" t="str">
        <f t="array" ref="C2360">INDIRECT("Tableau!$AC$92")</f>
        <v>Grottes de Han</v>
      </c>
      <c r="D2360" s="400" t="str">
        <f t="shared" si="14"/>
        <v>IN</v>
      </c>
      <c r="E2360" s="403" t="str">
        <f t="array" ref="E2360">INDIRECT("Tableau!$AD$92")</f>
        <v/>
      </c>
    </row>
    <row r="2361">
      <c r="A2361" s="402">
        <f t="array" ref="A2361">INDIRECT("Tableau!$A$93")</f>
        <v>328</v>
      </c>
      <c r="B2361" s="398" t="s">
        <v>475</v>
      </c>
      <c r="C2361" s="400" t="str">
        <f t="array" ref="C2361">INDIRECT("Tableau!$AC$93")</f>
        <v/>
      </c>
      <c r="D2361" s="400" t="str">
        <f t="shared" si="14"/>
        <v>IN</v>
      </c>
      <c r="E2361" s="403" t="str">
        <f t="array" ref="E2361">INDIRECT("Tableau!$AD$93")</f>
        <v/>
      </c>
    </row>
    <row r="2362">
      <c r="A2362" s="402">
        <f t="array" ref="A2362">INDIRECT("Tableau!$A$94")</f>
        <v>329</v>
      </c>
      <c r="B2362" s="398" t="s">
        <v>475</v>
      </c>
      <c r="C2362" s="400" t="str">
        <f t="array" ref="C2362">INDIRECT("Tableau!$AC$94")</f>
        <v/>
      </c>
      <c r="D2362" s="400" t="str">
        <f t="shared" si="14"/>
        <v>IN</v>
      </c>
      <c r="E2362" s="403" t="str">
        <f t="array" ref="E2362">INDIRECT("Tableau!$AD$94")</f>
        <v/>
      </c>
    </row>
    <row r="2363">
      <c r="A2363" s="402">
        <f t="array" ref="A2363">INDIRECT("Tableau!$A$95")</f>
        <v>330</v>
      </c>
      <c r="B2363" s="398" t="s">
        <v>475</v>
      </c>
      <c r="C2363" s="400" t="str">
        <f t="array" ref="C2363">INDIRECT("Tableau!$AC$95")</f>
        <v/>
      </c>
      <c r="D2363" s="400" t="str">
        <f t="shared" si="14"/>
        <v>IN</v>
      </c>
      <c r="E2363" s="403" t="str">
        <f t="array" ref="E2363">INDIRECT("Tableau!$AD$95")</f>
        <v/>
      </c>
    </row>
    <row r="2364">
      <c r="A2364" s="402">
        <f t="array" ref="A2364">INDIRECT("Tableau!$A$96")</f>
        <v>331</v>
      </c>
      <c r="B2364" s="398" t="s">
        <v>475</v>
      </c>
      <c r="C2364" s="400" t="str">
        <f t="array" ref="C2364">INDIRECT("Tableau!$AC$96")</f>
        <v>DEMA</v>
      </c>
      <c r="D2364" s="400" t="str">
        <f t="shared" si="14"/>
        <v>IN</v>
      </c>
      <c r="E2364" s="403" t="str">
        <f t="array" ref="E2364">INDIRECT("Tableau!$AD$96")</f>
        <v/>
      </c>
    </row>
    <row r="2365">
      <c r="A2365" s="402">
        <f t="array" ref="A2365">INDIRECT("Tableau!$A$97")</f>
        <v>332</v>
      </c>
      <c r="B2365" s="398" t="s">
        <v>475</v>
      </c>
      <c r="C2365" s="400" t="str">
        <f t="array" ref="C2365">INDIRECT("Tableau!$AC$97")</f>
        <v/>
      </c>
      <c r="D2365" s="400" t="str">
        <f t="shared" si="14"/>
        <v>IN</v>
      </c>
      <c r="E2365" s="403" t="str">
        <f t="array" ref="E2365">INDIRECT("Tableau!$AD$97")</f>
        <v/>
      </c>
    </row>
    <row r="2366">
      <c r="A2366" s="402">
        <f t="array" ref="A2366">INDIRECT("Tableau!$A$98")</f>
        <v>333</v>
      </c>
      <c r="B2366" s="398" t="s">
        <v>475</v>
      </c>
      <c r="C2366" s="400" t="str">
        <f t="array" ref="C2366">INDIRECT("Tableau!$AC$98")</f>
        <v/>
      </c>
      <c r="D2366" s="400" t="str">
        <f t="shared" si="14"/>
        <v>IN</v>
      </c>
      <c r="E2366" s="403" t="str">
        <f t="array" ref="E2366">INDIRECT("Tableau!$AD$98")</f>
        <v/>
      </c>
    </row>
    <row r="2367">
      <c r="A2367" s="402">
        <f t="array" ref="A2367">INDIRECT("Tableau!$A$99")</f>
        <v>334</v>
      </c>
      <c r="B2367" s="398" t="s">
        <v>475</v>
      </c>
      <c r="C2367" s="400" t="str">
        <f t="array" ref="C2367">INDIRECT("Tableau!$AC$99")</f>
        <v/>
      </c>
      <c r="D2367" s="400" t="str">
        <f t="shared" si="14"/>
        <v>IN</v>
      </c>
      <c r="E2367" s="403" t="str">
        <f t="array" ref="E2367">INDIRECT("Tableau!$AD$99")</f>
        <v/>
      </c>
    </row>
    <row r="2368">
      <c r="A2368" s="402">
        <f t="array" ref="A2368">INDIRECT("Tableau!$A$100")</f>
        <v>335</v>
      </c>
      <c r="B2368" s="398" t="s">
        <v>475</v>
      </c>
      <c r="C2368" s="400" t="str">
        <f t="array" ref="C2368">INDIRECT("Tableau!$AC$100")</f>
        <v>DEMA</v>
      </c>
      <c r="D2368" s="400" t="str">
        <f t="shared" si="14"/>
        <v>IN</v>
      </c>
      <c r="E2368" s="403" t="str">
        <f t="array" ref="E2368">INDIRECT("Tableau!$AD$100")</f>
        <v/>
      </c>
    </row>
    <row r="2369">
      <c r="A2369" s="402">
        <f t="array" ref="A2369">INDIRECT("Tableau!$A$101")</f>
        <v>336</v>
      </c>
      <c r="B2369" s="398" t="s">
        <v>475</v>
      </c>
      <c r="C2369" s="400" t="str">
        <f t="array" ref="C2369">INDIRECT("Tableau!$AC$101")</f>
        <v/>
      </c>
      <c r="D2369" s="400" t="str">
        <f t="shared" si="14"/>
        <v>IN</v>
      </c>
      <c r="E2369" s="403" t="str">
        <f t="array" ref="E2369">INDIRECT("Tableau!$AD$101")</f>
        <v/>
      </c>
    </row>
    <row r="2370">
      <c r="A2370" s="402">
        <f t="array" ref="A2370">INDIRECT("Tableau!$A$102")</f>
        <v>337</v>
      </c>
      <c r="B2370" s="398" t="s">
        <v>475</v>
      </c>
      <c r="C2370" s="400" t="str">
        <f t="array" ref="C2370">INDIRECT("Tableau!$AC$102")</f>
        <v>Immo Toma </v>
      </c>
      <c r="D2370" s="400" t="str">
        <f t="shared" si="14"/>
        <v>IN</v>
      </c>
      <c r="E2370" s="403" t="str">
        <f t="array" ref="E2370">INDIRECT("Tableau!$AD$102")</f>
        <v/>
      </c>
    </row>
    <row r="2371">
      <c r="A2371" s="402">
        <f t="array" ref="A2371">INDIRECT("Tableau!$A$103")</f>
        <v>338</v>
      </c>
      <c r="B2371" s="398" t="s">
        <v>475</v>
      </c>
      <c r="C2371" s="400" t="str">
        <f t="array" ref="C2371">INDIRECT("Tableau!$AC$103")</f>
        <v/>
      </c>
      <c r="D2371" s="400" t="str">
        <f t="shared" si="14"/>
        <v>IN</v>
      </c>
      <c r="E2371" s="403" t="str">
        <f t="array" ref="E2371">INDIRECT("Tableau!$AD$103")</f>
        <v/>
      </c>
    </row>
    <row r="2372">
      <c r="A2372" s="402">
        <f t="array" ref="A2372">INDIRECT("Tableau!$A$104")</f>
        <v>339</v>
      </c>
      <c r="B2372" s="398" t="s">
        <v>475</v>
      </c>
      <c r="C2372" s="400" t="str">
        <f t="array" ref="C2372">INDIRECT("Tableau!$AC$104")</f>
        <v>Immo Toma </v>
      </c>
      <c r="D2372" s="400" t="str">
        <f t="shared" si="14"/>
        <v>IN</v>
      </c>
      <c r="E2372" s="403" t="str">
        <f t="array" ref="E2372">INDIRECT("Tableau!$AD$104")</f>
        <v/>
      </c>
    </row>
    <row r="2373">
      <c r="A2373" s="402">
        <f t="array" ref="A2373">INDIRECT("Tableau!$A$105")</f>
        <v>340</v>
      </c>
      <c r="B2373" s="398" t="s">
        <v>475</v>
      </c>
      <c r="C2373" s="400" t="str">
        <f t="array" ref="C2373">INDIRECT("Tableau!$AC$105")</f>
        <v/>
      </c>
      <c r="D2373" s="400" t="str">
        <f t="shared" si="14"/>
        <v>IN</v>
      </c>
      <c r="E2373" s="403" t="str">
        <f t="array" ref="E2373">INDIRECT("Tableau!$AD$105")</f>
        <v/>
      </c>
    </row>
    <row r="2374">
      <c r="A2374" s="402">
        <f t="array" ref="A2374">INDIRECT("Tableau!$A$106")</f>
        <v>341</v>
      </c>
      <c r="B2374" s="398" t="s">
        <v>475</v>
      </c>
      <c r="C2374" s="400" t="str">
        <f t="array" ref="C2374">INDIRECT("Tableau!$AC$106")</f>
        <v>DPS</v>
      </c>
      <c r="D2374" s="400" t="str">
        <f t="shared" si="14"/>
        <v>IN</v>
      </c>
      <c r="E2374" s="403" t="str">
        <f t="array" ref="E2374">INDIRECT("Tableau!$AD$106")</f>
        <v/>
      </c>
    </row>
    <row r="2375">
      <c r="A2375" s="402">
        <f t="array" ref="A2375">INDIRECT("Tableau!$A$107")</f>
        <v>365</v>
      </c>
      <c r="B2375" s="398" t="s">
        <v>475</v>
      </c>
      <c r="C2375" s="400" t="str">
        <f t="array" ref="C2375">INDIRECT("Tableau!$AC$107")</f>
        <v/>
      </c>
      <c r="D2375" s="400" t="str">
        <f t="shared" si="14"/>
        <v>IN</v>
      </c>
      <c r="E2375" s="403" t="str">
        <f t="array" ref="E2375">INDIRECT("Tableau!$AD$107")</f>
        <v/>
      </c>
    </row>
    <row r="2376">
      <c r="A2376" s="402">
        <f t="array" ref="A2376">INDIRECT("Tableau!$A$108")</f>
        <v>342</v>
      </c>
      <c r="B2376" s="398" t="s">
        <v>475</v>
      </c>
      <c r="C2376" s="400" t="str">
        <f t="array" ref="C2376">INDIRECT("Tableau!$AC$108")</f>
        <v>Concours Arville</v>
      </c>
      <c r="D2376" s="400" t="str">
        <f t="shared" si="14"/>
        <v>IN</v>
      </c>
      <c r="E2376" s="403" t="str">
        <f t="array" ref="E2376">INDIRECT("Tableau!$AD$108")</f>
        <v/>
      </c>
    </row>
    <row r="2377">
      <c r="A2377" s="402">
        <f t="array" ref="A2377">INDIRECT("Tableau!$A$109")</f>
        <v>343</v>
      </c>
      <c r="B2377" s="398" t="s">
        <v>475</v>
      </c>
      <c r="C2377" s="400" t="str">
        <f t="array" ref="C2377">INDIRECT("Tableau!$AC$109")</f>
        <v>Concours Arville</v>
      </c>
      <c r="D2377" s="400" t="str">
        <f t="shared" si="14"/>
        <v>IN</v>
      </c>
      <c r="E2377" s="403" t="str">
        <f t="array" ref="E2377">INDIRECT("Tableau!$AD$109")</f>
        <v/>
      </c>
    </row>
    <row r="2378">
      <c r="A2378" s="402">
        <f t="array" ref="A2378">INDIRECT("Tableau!$A$110")</f>
        <v>344</v>
      </c>
      <c r="B2378" s="398" t="s">
        <v>475</v>
      </c>
      <c r="C2378" s="400" t="str">
        <f t="array" ref="C2378">INDIRECT("Tableau!$AC$110")</f>
        <v/>
      </c>
      <c r="D2378" s="400" t="str">
        <f t="shared" si="14"/>
        <v>IN</v>
      </c>
      <c r="E2378" s="403" t="str">
        <f t="array" ref="E2378">INDIRECT("Tableau!$AD$110")</f>
        <v/>
      </c>
    </row>
    <row r="2379">
      <c r="A2379" s="402">
        <f t="array" ref="A2379">INDIRECT("Tableau!$A$111")</f>
        <v>363</v>
      </c>
      <c r="B2379" s="398" t="s">
        <v>475</v>
      </c>
      <c r="C2379" s="400" t="str">
        <f t="array" ref="C2379">INDIRECT("Tableau!$AC$111")</f>
        <v>Grottes de Han</v>
      </c>
      <c r="D2379" s="400" t="str">
        <f t="shared" si="14"/>
        <v>IN</v>
      </c>
      <c r="E2379" s="403" t="str">
        <f t="array" ref="E2379">INDIRECT("Tableau!$AD$111")</f>
        <v/>
      </c>
    </row>
    <row r="2380">
      <c r="A2380" s="402">
        <f t="array" ref="A2380">INDIRECT("Tableau!$A$112")</f>
        <v>345</v>
      </c>
      <c r="B2380" s="398" t="s">
        <v>475</v>
      </c>
      <c r="C2380" s="400" t="str">
        <f t="array" ref="C2380">INDIRECT("Tableau!$AC$112")</f>
        <v/>
      </c>
      <c r="D2380" s="400" t="str">
        <f t="shared" si="14"/>
        <v>IN</v>
      </c>
      <c r="E2380" s="403" t="str">
        <f t="array" ref="E2380">INDIRECT("Tableau!$AD$112")</f>
        <v/>
      </c>
    </row>
    <row r="2381">
      <c r="A2381" s="402">
        <f t="array" ref="A2381">INDIRECT("Tableau!$A$113")</f>
        <v>346</v>
      </c>
      <c r="B2381" s="398" t="s">
        <v>475</v>
      </c>
      <c r="C2381" s="400" t="str">
        <f t="array" ref="C2381">INDIRECT("Tableau!$AC$113")</f>
        <v>Immo Toma </v>
      </c>
      <c r="D2381" s="400" t="str">
        <f t="shared" si="14"/>
        <v>IN</v>
      </c>
      <c r="E2381" s="403" t="str">
        <f t="array" ref="E2381">INDIRECT("Tableau!$AD$113")</f>
        <v/>
      </c>
    </row>
    <row r="2382">
      <c r="A2382" s="402">
        <f t="array" ref="A2382">INDIRECT("Tableau!$A$114")</f>
        <v>359</v>
      </c>
      <c r="B2382" s="398" t="s">
        <v>475</v>
      </c>
      <c r="C2382" s="400" t="str">
        <f t="array" ref="C2382">INDIRECT("Tableau!$AC$114")</f>
        <v/>
      </c>
      <c r="D2382" s="400" t="str">
        <f t="shared" si="14"/>
        <v>IN</v>
      </c>
      <c r="E2382" s="403" t="str">
        <f t="array" ref="E2382">INDIRECT("Tableau!$AD$114")</f>
        <v/>
      </c>
    </row>
    <row r="2383">
      <c r="A2383" s="402">
        <f t="array" ref="A2383">INDIRECT("Tableau!$A$115")</f>
        <v>360</v>
      </c>
      <c r="B2383" s="398" t="s">
        <v>475</v>
      </c>
      <c r="C2383" s="400" t="str">
        <f t="array" ref="C2383">INDIRECT("Tableau!$AC$115")</f>
        <v/>
      </c>
      <c r="D2383" s="400" t="str">
        <f t="shared" si="14"/>
        <v>IN</v>
      </c>
      <c r="E2383" s="403" t="str">
        <f t="array" ref="E2383">INDIRECT("Tableau!$AD$115")</f>
        <v/>
      </c>
    </row>
    <row r="2384">
      <c r="A2384" s="402">
        <f t="array" ref="A2384">INDIRECT("Tableau!$A$116")</f>
        <v>361</v>
      </c>
      <c r="B2384" s="398" t="s">
        <v>475</v>
      </c>
      <c r="C2384" s="400" t="str">
        <f t="array" ref="C2384">INDIRECT("Tableau!$AC$116")</f>
        <v>Grottes de Han</v>
      </c>
      <c r="D2384" s="400" t="str">
        <f t="shared" si="14"/>
        <v>IN</v>
      </c>
      <c r="E2384" s="403" t="str">
        <f t="array" ref="E2384">INDIRECT("Tableau!$AD$116")</f>
        <v/>
      </c>
    </row>
    <row r="2385">
      <c r="A2385" s="397" t="str">
        <f t="array" ref="A2385">INDIRECT("Tableau!$A$117")</f>
        <v/>
      </c>
      <c r="B2385" s="398" t="s">
        <v>475</v>
      </c>
      <c r="C2385" s="400" t="str">
        <f t="array" ref="C2385">INDIRECT("Tableau!$AC$117")</f>
        <v/>
      </c>
      <c r="D2385" s="400" t="str">
        <f t="shared" si="14"/>
        <v>IN</v>
      </c>
      <c r="E2385" s="403" t="str">
        <f t="array" ref="E2385">INDIRECT("Tableau!$AD$117")</f>
        <v/>
      </c>
    </row>
    <row r="2386">
      <c r="A2386" s="402">
        <f t="array" ref="A2386">INDIRECT("Tableau!$A$118")</f>
        <v>347</v>
      </c>
      <c r="B2386" s="398" t="s">
        <v>475</v>
      </c>
      <c r="C2386" s="400" t="str">
        <f t="array" ref="C2386">INDIRECT("Tableau!$AC$118")</f>
        <v>BP Martelange</v>
      </c>
      <c r="D2386" s="400" t="str">
        <f t="shared" si="14"/>
        <v>IN</v>
      </c>
      <c r="E2386" s="403" t="str">
        <f t="array" ref="E2386">INDIRECT("Tableau!$AD$118")</f>
        <v/>
      </c>
    </row>
    <row r="2387">
      <c r="A2387" s="402">
        <f t="array" ref="A2387">INDIRECT("Tableau!$A$119")</f>
        <v>348</v>
      </c>
      <c r="B2387" s="398" t="s">
        <v>475</v>
      </c>
      <c r="C2387" s="400" t="str">
        <f t="array" ref="C2387">INDIRECT("Tableau!$AC$119")</f>
        <v/>
      </c>
      <c r="D2387" s="400" t="str">
        <f t="shared" si="14"/>
        <v>IN</v>
      </c>
      <c r="E2387" s="403" t="str">
        <f t="array" ref="E2387">INDIRECT("Tableau!$AD$119")</f>
        <v/>
      </c>
    </row>
    <row r="2388">
      <c r="A2388" s="402">
        <f t="array" ref="A2388">INDIRECT("Tableau!$A$120")</f>
        <v>349</v>
      </c>
      <c r="B2388" s="398" t="s">
        <v>475</v>
      </c>
      <c r="C2388" s="400" t="str">
        <f t="array" ref="C2388">INDIRECT("Tableau!$AC$120")</f>
        <v>Grottes de Han</v>
      </c>
      <c r="D2388" s="400" t="str">
        <f t="shared" si="14"/>
        <v>IN</v>
      </c>
      <c r="E2388" s="403" t="str">
        <f t="array" ref="E2388">INDIRECT("Tableau!$AD$120")</f>
        <v/>
      </c>
    </row>
    <row r="2389">
      <c r="A2389" s="402">
        <f t="array" ref="A2389">INDIRECT("Tableau!$A$121")</f>
        <v>350</v>
      </c>
      <c r="B2389" s="398" t="s">
        <v>475</v>
      </c>
      <c r="C2389" s="400" t="str">
        <f t="array" ref="C2389">INDIRECT("Tableau!$AC$121")</f>
        <v/>
      </c>
      <c r="D2389" s="400" t="str">
        <f t="shared" si="14"/>
        <v>IN</v>
      </c>
      <c r="E2389" s="403" t="str">
        <f t="array" ref="E2389">INDIRECT("Tableau!$AD$121")</f>
        <v/>
      </c>
    </row>
    <row r="2390">
      <c r="A2390" s="402">
        <f t="array" ref="A2390">INDIRECT("Tableau!$A$122")</f>
        <v>351</v>
      </c>
      <c r="B2390" s="398" t="s">
        <v>475</v>
      </c>
      <c r="C2390" s="400" t="str">
        <f t="array" ref="C2390">INDIRECT("Tableau!$AC$122")</f>
        <v>DEMA</v>
      </c>
      <c r="D2390" s="400" t="str">
        <f t="shared" si="14"/>
        <v>IN</v>
      </c>
      <c r="E2390" s="403" t="str">
        <f t="array" ref="E2390">INDIRECT("Tableau!$AD$122")</f>
        <v/>
      </c>
    </row>
    <row r="2391">
      <c r="A2391" s="402">
        <f t="array" ref="A2391">INDIRECT("Tableau!$A$123")</f>
        <v>352</v>
      </c>
      <c r="B2391" s="398" t="s">
        <v>475</v>
      </c>
      <c r="C2391" s="400" t="str">
        <f t="array" ref="C2391">INDIRECT("Tableau!$AC$123")</f>
        <v/>
      </c>
      <c r="D2391" s="400" t="str">
        <f t="shared" si="14"/>
        <v>IN</v>
      </c>
      <c r="E2391" s="403" t="str">
        <f t="array" ref="E2391">INDIRECT("Tableau!$AD$123")</f>
        <v/>
      </c>
    </row>
    <row r="2392">
      <c r="A2392" s="402">
        <f t="array" ref="A2392">INDIRECT("Tableau!$A$124")</f>
        <v>353</v>
      </c>
      <c r="B2392" s="398" t="s">
        <v>475</v>
      </c>
      <c r="C2392" s="400" t="str">
        <f t="array" ref="C2392">INDIRECT("Tableau!$AC$124")</f>
        <v/>
      </c>
      <c r="D2392" s="400" t="str">
        <f t="shared" si="14"/>
        <v>IN</v>
      </c>
      <c r="E2392" s="403" t="str">
        <f t="array" ref="E2392">INDIRECT("Tableau!$AD$124")</f>
        <v/>
      </c>
    </row>
    <row r="2393">
      <c r="A2393" s="397" t="str">
        <f t="array" ref="A2393">INDIRECT("Tableau!$A$125")</f>
        <v/>
      </c>
      <c r="B2393" s="398" t="s">
        <v>475</v>
      </c>
      <c r="C2393" s="400" t="str">
        <f t="array" ref="C2393">INDIRECT("Tableau!$AC$125")</f>
        <v/>
      </c>
      <c r="D2393" s="400" t="str">
        <f t="shared" si="14"/>
        <v>IN</v>
      </c>
      <c r="E2393" s="403" t="str">
        <f t="array" ref="E2393">INDIRECT("Tableau!$AD$125")</f>
        <v/>
      </c>
    </row>
    <row r="2394">
      <c r="A2394" s="402">
        <f t="array" ref="A2394">INDIRECT("Tableau!$A$126")</f>
        <v>354</v>
      </c>
      <c r="B2394" s="398" t="s">
        <v>475</v>
      </c>
      <c r="C2394" s="400" t="str">
        <f t="array" ref="C2394">INDIRECT("Tableau!$AC$126")</f>
        <v/>
      </c>
      <c r="D2394" s="400" t="str">
        <f t="shared" si="14"/>
        <v>IN</v>
      </c>
      <c r="E2394" s="403" t="str">
        <f t="array" ref="E2394">INDIRECT("Tableau!$AD$126")</f>
        <v/>
      </c>
    </row>
    <row r="2395">
      <c r="A2395" s="402">
        <f t="array" ref="A2395">INDIRECT("Tableau!$A$127")</f>
        <v>355</v>
      </c>
      <c r="B2395" s="398" t="s">
        <v>475</v>
      </c>
      <c r="C2395" s="400" t="str">
        <f t="array" ref="C2395">INDIRECT("Tableau!$AC$127")</f>
        <v/>
      </c>
      <c r="D2395" s="400" t="str">
        <f t="shared" si="14"/>
        <v>IN</v>
      </c>
      <c r="E2395" s="403" t="str">
        <f t="array" ref="E2395">INDIRECT("Tableau!$AD$127")</f>
        <v/>
      </c>
    </row>
    <row r="2396">
      <c r="A2396" s="402">
        <f t="array" ref="A2396">INDIRECT("Tableau!$A$128")</f>
        <v>356</v>
      </c>
      <c r="B2396" s="398" t="s">
        <v>475</v>
      </c>
      <c r="C2396" s="400" t="str">
        <f t="array" ref="C2396">INDIRECT("Tableau!$AC$128")</f>
        <v/>
      </c>
      <c r="D2396" s="400" t="str">
        <f t="shared" si="14"/>
        <v>IN</v>
      </c>
      <c r="E2396" s="403" t="str">
        <f t="array" ref="E2396">INDIRECT("Tableau!$AD$128")</f>
        <v/>
      </c>
    </row>
    <row r="2397">
      <c r="A2397" s="402">
        <f t="array" ref="A2397">INDIRECT("Tableau!$A$129")</f>
        <v>357</v>
      </c>
      <c r="B2397" s="398" t="s">
        <v>475</v>
      </c>
      <c r="C2397" s="400" t="str">
        <f t="array" ref="C2397">INDIRECT("Tableau!$AC$129")</f>
        <v/>
      </c>
      <c r="D2397" s="400" t="str">
        <f t="shared" si="14"/>
        <v>IN</v>
      </c>
      <c r="E2397" s="403" t="str">
        <f t="array" ref="E2397">INDIRECT("Tableau!$AD$129")</f>
        <v/>
      </c>
    </row>
    <row r="2398">
      <c r="A2398" s="397" t="str">
        <f t="array" ref="A2398">INDIRECT("Tableau!$A$130")</f>
        <v/>
      </c>
      <c r="B2398" s="398" t="s">
        <v>475</v>
      </c>
      <c r="C2398" s="400" t="str">
        <f t="array" ref="C2398">INDIRECT("Tableau!$AC$130")</f>
        <v/>
      </c>
      <c r="D2398" s="400" t="str">
        <f t="shared" si="14"/>
        <v>IN</v>
      </c>
      <c r="E2398" s="403" t="str">
        <f t="array" ref="E2398">INDIRECT("Tableau!$AD$130")</f>
        <v/>
      </c>
    </row>
    <row r="2399">
      <c r="A2399" s="397" t="str">
        <f t="array" ref="A2399">INDIRECT("Tableau!$A$131")</f>
        <v/>
      </c>
      <c r="B2399" s="398" t="s">
        <v>475</v>
      </c>
      <c r="C2399" s="400" t="str">
        <f t="array" ref="C2399">INDIRECT("Tableau!$AC$131")</f>
        <v/>
      </c>
      <c r="D2399" s="400" t="str">
        <f t="shared" si="14"/>
        <v>IN</v>
      </c>
      <c r="E2399" s="403" t="str">
        <f t="array" ref="E2399">INDIRECT("Tableau!$AD$131")</f>
        <v/>
      </c>
    </row>
    <row r="2400">
      <c r="A2400" s="397" t="str">
        <f t="array" ref="A2400">INDIRECT("Tableau!$A$132")</f>
        <v/>
      </c>
      <c r="B2400" s="398" t="s">
        <v>475</v>
      </c>
      <c r="C2400" s="400" t="str">
        <f t="array" ref="C2400">INDIRECT("Tableau!$AC$132")</f>
        <v/>
      </c>
      <c r="D2400" s="400" t="str">
        <f t="shared" si="14"/>
        <v>IN</v>
      </c>
      <c r="E2400" s="403" t="str">
        <f t="array" ref="E2400">INDIRECT("Tableau!$AD$132")</f>
        <v/>
      </c>
    </row>
    <row r="2401">
      <c r="A2401" s="397" t="str">
        <f t="array" ref="A2401">INDIRECT("Tableau!$A$133")</f>
        <v/>
      </c>
      <c r="B2401" s="398" t="s">
        <v>475</v>
      </c>
      <c r="C2401" s="400" t="str">
        <f t="array" ref="C2401">INDIRECT("Tableau!$AC$133")</f>
        <v/>
      </c>
      <c r="D2401" s="400" t="str">
        <f t="shared" si="14"/>
        <v>IN</v>
      </c>
      <c r="E2401" s="403" t="str">
        <f t="array" ref="E2401">INDIRECT("Tableau!$AD$133")</f>
        <v/>
      </c>
    </row>
    <row r="2402">
      <c r="A2402" s="397" t="str">
        <f t="array" ref="A2402">INDIRECT("Tableau!$A$134")</f>
        <v/>
      </c>
      <c r="B2402" s="398" t="s">
        <v>475</v>
      </c>
      <c r="C2402" s="400" t="str">
        <f t="array" ref="C2402">INDIRECT("Tableau!$AC$134")</f>
        <v/>
      </c>
      <c r="D2402" s="400" t="str">
        <f t="shared" si="14"/>
        <v>IN</v>
      </c>
      <c r="E2402" s="403" t="str">
        <f t="array" ref="E2402">INDIRECT("Tableau!$AD$134")</f>
        <v/>
      </c>
    </row>
    <row r="2403">
      <c r="A2403" s="402">
        <f t="array" ref="A2403">INDIRECT("Tableau!$A$135")</f>
        <v>401</v>
      </c>
      <c r="B2403" s="398" t="s">
        <v>475</v>
      </c>
      <c r="C2403" s="400" t="str">
        <f t="array" ref="C2403">INDIRECT("Tableau!$AC$135")</f>
        <v/>
      </c>
      <c r="D2403" s="400" t="str">
        <f t="shared" si="14"/>
        <v>IN</v>
      </c>
      <c r="E2403" s="403" t="str">
        <f t="array" ref="E2403">INDIRECT("Tableau!$AD$135")</f>
        <v/>
      </c>
    </row>
    <row r="2404">
      <c r="A2404" s="402">
        <f t="array" ref="A2404">INDIRECT("Tableau!$A$136")</f>
        <v>402</v>
      </c>
      <c r="B2404" s="398" t="s">
        <v>475</v>
      </c>
      <c r="C2404" s="400" t="str">
        <f t="array" ref="C2404">INDIRECT("Tableau!$AC$136")</f>
        <v>Grottes de Han</v>
      </c>
      <c r="D2404" s="400" t="str">
        <f t="shared" si="14"/>
        <v>IN</v>
      </c>
      <c r="E2404" s="403" t="str">
        <f t="array" ref="E2404">INDIRECT("Tableau!$AD$136")</f>
        <v/>
      </c>
    </row>
    <row r="2405">
      <c r="A2405" s="402">
        <f t="array" ref="A2405">INDIRECT("Tableau!$A$137")</f>
        <v>403</v>
      </c>
      <c r="B2405" s="398" t="s">
        <v>475</v>
      </c>
      <c r="C2405" s="400" t="str">
        <f t="array" ref="C2405">INDIRECT("Tableau!$AC$137")</f>
        <v/>
      </c>
      <c r="D2405" s="400" t="str">
        <f t="shared" si="14"/>
        <v>IN</v>
      </c>
      <c r="E2405" s="403" t="str">
        <f t="array" ref="E2405">INDIRECT("Tableau!$AD$137")</f>
        <v/>
      </c>
    </row>
    <row r="2406">
      <c r="A2406" s="402">
        <f t="array" ref="A2406">INDIRECT("Tableau!$A$138")</f>
        <v>404</v>
      </c>
      <c r="B2406" s="398" t="s">
        <v>475</v>
      </c>
      <c r="C2406" s="400" t="str">
        <f t="array" ref="C2406">INDIRECT("Tableau!$AC$138")</f>
        <v>Immo Toma </v>
      </c>
      <c r="D2406" s="400" t="str">
        <f t="shared" si="14"/>
        <v>IN</v>
      </c>
      <c r="E2406" s="403" t="str">
        <f t="array" ref="E2406">INDIRECT("Tableau!$AD$138")</f>
        <v/>
      </c>
    </row>
    <row r="2407">
      <c r="A2407" s="402">
        <f t="array" ref="A2407">INDIRECT("Tableau!$A$139")</f>
        <v>405</v>
      </c>
      <c r="B2407" s="398" t="s">
        <v>475</v>
      </c>
      <c r="C2407" s="400" t="str">
        <f t="array" ref="C2407">INDIRECT("Tableau!$AC$139")</f>
        <v/>
      </c>
      <c r="D2407" s="400" t="str">
        <f t="shared" si="14"/>
        <v>IN</v>
      </c>
      <c r="E2407" s="403" t="str">
        <f t="array" ref="E2407">INDIRECT("Tableau!$AD$139")</f>
        <v/>
      </c>
    </row>
    <row r="2408">
      <c r="A2408" s="402">
        <f t="array" ref="A2408">INDIRECT("Tableau!$A$140")</f>
        <v>406</v>
      </c>
      <c r="B2408" s="398" t="s">
        <v>475</v>
      </c>
      <c r="C2408" s="400" t="str">
        <f t="array" ref="C2408">INDIRECT("Tableau!$AC$140")</f>
        <v/>
      </c>
      <c r="D2408" s="400" t="str">
        <f t="shared" si="14"/>
        <v>IN</v>
      </c>
      <c r="E2408" s="403" t="str">
        <f t="array" ref="E2408">INDIRECT("Tableau!$AD$140")</f>
        <v/>
      </c>
    </row>
    <row r="2409">
      <c r="A2409" s="402">
        <f t="array" ref="A2409">INDIRECT("Tableau!$A$141")</f>
        <v>407</v>
      </c>
      <c r="B2409" s="398" t="s">
        <v>475</v>
      </c>
      <c r="C2409" s="400" t="str">
        <f t="array" ref="C2409">INDIRECT("Tableau!$AC$141")</f>
        <v/>
      </c>
      <c r="D2409" s="400" t="str">
        <f t="shared" si="14"/>
        <v>IN</v>
      </c>
      <c r="E2409" s="403" t="str">
        <f t="array" ref="E2409">INDIRECT("Tableau!$AD$141")</f>
        <v/>
      </c>
    </row>
    <row r="2410">
      <c r="A2410" s="402">
        <f t="array" ref="A2410">INDIRECT("Tableau!$A$142")</f>
        <v>408</v>
      </c>
      <c r="B2410" s="398" t="s">
        <v>475</v>
      </c>
      <c r="C2410" s="400" t="str">
        <f t="array" ref="C2410">INDIRECT("Tableau!$AC$142")</f>
        <v/>
      </c>
      <c r="D2410" s="400" t="str">
        <f t="shared" si="14"/>
        <v>IN</v>
      </c>
      <c r="E2410" s="403" t="str">
        <f t="array" ref="E2410">INDIRECT("Tableau!$AD$142")</f>
        <v/>
      </c>
    </row>
    <row r="2411">
      <c r="A2411" s="402">
        <f t="array" ref="A2411">INDIRECT("Tableau!$A$143")</f>
        <v>409</v>
      </c>
      <c r="B2411" s="398" t="s">
        <v>475</v>
      </c>
      <c r="C2411" s="400" t="str">
        <f t="array" ref="C2411">INDIRECT("Tableau!$AC$143")</f>
        <v/>
      </c>
      <c r="D2411" s="400" t="str">
        <f t="shared" si="14"/>
        <v>IN</v>
      </c>
      <c r="E2411" s="403" t="str">
        <f t="array" ref="E2411">INDIRECT("Tableau!$AD$143")</f>
        <v/>
      </c>
    </row>
    <row r="2412">
      <c r="A2412" s="397">
        <f t="array" ref="A2412">INDIRECT("Tableau!$A$144")</f>
        <v>415</v>
      </c>
      <c r="B2412" s="398" t="s">
        <v>475</v>
      </c>
      <c r="C2412" s="400" t="str">
        <f t="array" ref="C2412">INDIRECT("Tableau!$AC$144")</f>
        <v/>
      </c>
      <c r="D2412" s="400" t="str">
        <f t="shared" si="14"/>
        <v>IN</v>
      </c>
      <c r="E2412" s="403" t="str">
        <f t="array" ref="E2412">INDIRECT("Tableau!$AD$144")</f>
        <v/>
      </c>
    </row>
    <row r="2413">
      <c r="A2413" s="397" t="str">
        <f t="array" ref="A2413">INDIRECT("Tableau!$A$145")</f>
        <v/>
      </c>
      <c r="B2413" s="398" t="s">
        <v>475</v>
      </c>
      <c r="C2413" s="400" t="str">
        <f t="array" ref="C2413">INDIRECT("Tableau!$AC$145")</f>
        <v/>
      </c>
      <c r="D2413" s="400" t="str">
        <f t="shared" si="14"/>
        <v>IN</v>
      </c>
      <c r="E2413" s="403" t="str">
        <f t="array" ref="E2413">INDIRECT("Tableau!$AD$145")</f>
        <v/>
      </c>
    </row>
    <row r="2414">
      <c r="A2414" s="397" t="str">
        <f t="array" ref="A2414">INDIRECT("Tableau!$A$146")</f>
        <v/>
      </c>
      <c r="B2414" s="398" t="s">
        <v>475</v>
      </c>
      <c r="C2414" s="400" t="str">
        <f t="array" ref="C2414">INDIRECT("Tableau!$AC$146")</f>
        <v/>
      </c>
      <c r="D2414" s="400" t="str">
        <f t="shared" si="14"/>
        <v>IN</v>
      </c>
      <c r="E2414" s="403" t="str">
        <f t="array" ref="E2414">INDIRECT("Tableau!$AD$146")</f>
        <v/>
      </c>
    </row>
    <row r="2415">
      <c r="A2415" s="397" t="str">
        <f t="array" ref="A2415">INDIRECT("Tableau!$A$147")</f>
        <v/>
      </c>
      <c r="B2415" s="398" t="s">
        <v>475</v>
      </c>
      <c r="C2415" s="400" t="str">
        <f t="array" ref="C2415">INDIRECT("Tableau!$AC$147")</f>
        <v/>
      </c>
      <c r="D2415" s="400" t="str">
        <f t="shared" si="14"/>
        <v>IN</v>
      </c>
      <c r="E2415" s="403" t="str">
        <f t="array" ref="E2415">INDIRECT("Tableau!$AD$147")</f>
        <v/>
      </c>
    </row>
    <row r="2416">
      <c r="A2416" s="397" t="str">
        <f t="array" ref="A2416">INDIRECT("Tableau!$A$148")</f>
        <v/>
      </c>
      <c r="B2416" s="398" t="s">
        <v>475</v>
      </c>
      <c r="C2416" s="400" t="str">
        <f t="array" ref="C2416">INDIRECT("Tableau!$AC$148")</f>
        <v/>
      </c>
      <c r="D2416" s="400" t="str">
        <f t="shared" si="14"/>
        <v>IN</v>
      </c>
      <c r="E2416" s="403" t="str">
        <f t="array" ref="E2416">INDIRECT("Tableau!$AD$148")</f>
        <v/>
      </c>
    </row>
    <row r="2417">
      <c r="A2417" s="397" t="str">
        <f t="array" ref="A2417">INDIRECT("Tableau!$A$149")</f>
        <v/>
      </c>
      <c r="B2417" s="398" t="s">
        <v>475</v>
      </c>
      <c r="C2417" s="400" t="str">
        <f t="array" ref="C2417">INDIRECT("Tableau!$AC$149")</f>
        <v/>
      </c>
      <c r="D2417" s="400" t="str">
        <f t="shared" si="14"/>
        <v>IN</v>
      </c>
      <c r="E2417" s="403" t="str">
        <f t="array" ref="E2417">INDIRECT("Tableau!$AD$149")</f>
        <v/>
      </c>
    </row>
    <row r="2418">
      <c r="A2418" s="397" t="str">
        <f t="array" ref="A2418">INDIRECT("Tableau!$A$150")</f>
        <v/>
      </c>
      <c r="B2418" s="398" t="s">
        <v>475</v>
      </c>
      <c r="C2418" s="400" t="str">
        <f t="array" ref="C2418">INDIRECT("Tableau!$AC$150")</f>
        <v/>
      </c>
      <c r="D2418" s="400" t="str">
        <f t="shared" si="14"/>
        <v>IN</v>
      </c>
      <c r="E2418" s="403" t="str">
        <f t="array" ref="E2418">INDIRECT("Tableau!$AD$150")</f>
        <v/>
      </c>
    </row>
    <row r="2419">
      <c r="A2419" s="397" t="str">
        <f t="array" ref="A2419">INDIRECT("Tableau!$A$151")</f>
        <v/>
      </c>
      <c r="B2419" s="398" t="s">
        <v>475</v>
      </c>
      <c r="C2419" s="400" t="str">
        <f t="array" ref="C2419">INDIRECT("Tableau!$AC$151")</f>
        <v/>
      </c>
      <c r="D2419" s="400" t="str">
        <f t="shared" si="14"/>
        <v>IN</v>
      </c>
      <c r="E2419" s="403" t="str">
        <f t="array" ref="E2419">INDIRECT("Tableau!$AD$151")</f>
        <v/>
      </c>
    </row>
    <row r="2420">
      <c r="A2420" s="397" t="str">
        <f t="array" ref="A2420">INDIRECT("Tableau!$A$152")</f>
        <v/>
      </c>
      <c r="B2420" s="398" t="s">
        <v>475</v>
      </c>
      <c r="C2420" s="400" t="str">
        <f t="array" ref="C2420">INDIRECT("Tableau!$AC$152")</f>
        <v/>
      </c>
      <c r="D2420" s="400" t="str">
        <f t="shared" si="14"/>
        <v>IN</v>
      </c>
      <c r="E2420" s="403" t="str">
        <f t="array" ref="E2420">INDIRECT("Tableau!$AD$152")</f>
        <v/>
      </c>
    </row>
    <row r="2421">
      <c r="A2421" s="397" t="str">
        <f t="array" ref="A2421">INDIRECT("Tableau!$A$153")</f>
        <v/>
      </c>
      <c r="B2421" s="398" t="s">
        <v>475</v>
      </c>
      <c r="C2421" s="400" t="str">
        <f t="array" ref="C2421">INDIRECT("Tableau!$AC$153")</f>
        <v/>
      </c>
      <c r="D2421" s="400" t="str">
        <f t="shared" si="14"/>
        <v>IN</v>
      </c>
      <c r="E2421" s="403" t="str">
        <f t="array" ref="E2421">INDIRECT("Tableau!$AD$153")</f>
        <v/>
      </c>
    </row>
    <row r="2422">
      <c r="A2422" s="402">
        <f t="array" ref="A2422">INDIRECT("Tableau!$A$154")</f>
        <v>501</v>
      </c>
      <c r="B2422" s="398" t="s">
        <v>475</v>
      </c>
      <c r="C2422" s="400" t="str">
        <f t="array" ref="C2422">INDIRECT("Tableau!$AC$154")</f>
        <v/>
      </c>
      <c r="D2422" s="400" t="str">
        <f t="shared" si="14"/>
        <v>IN</v>
      </c>
      <c r="E2422" s="403" t="str">
        <f t="array" ref="E2422">INDIRECT("Tableau!$AD$154")</f>
        <v/>
      </c>
    </row>
    <row r="2423">
      <c r="A2423" s="402">
        <f t="array" ref="A2423">INDIRECT("Tableau!$A$155")</f>
        <v>502</v>
      </c>
      <c r="B2423" s="398" t="s">
        <v>475</v>
      </c>
      <c r="C2423" s="400" t="str">
        <f t="array" ref="C2423">INDIRECT("Tableau!$AC$155")</f>
        <v>DPS</v>
      </c>
      <c r="D2423" s="400" t="str">
        <f t="shared" si="14"/>
        <v>IN</v>
      </c>
      <c r="E2423" s="403" t="str">
        <f t="array" ref="E2423">INDIRECT("Tableau!$AD$155")</f>
        <v/>
      </c>
    </row>
    <row r="2424">
      <c r="A2424" s="397" t="str">
        <f t="array" ref="A2424">INDIRECT("Tableau!$A$156")</f>
        <v/>
      </c>
      <c r="B2424" s="398" t="s">
        <v>475</v>
      </c>
      <c r="C2424" s="400" t="str">
        <f t="array" ref="C2424">INDIRECT("Tableau!$AC$156")</f>
        <v/>
      </c>
      <c r="D2424" s="400" t="str">
        <f t="shared" si="14"/>
        <v>IN</v>
      </c>
      <c r="E2424" s="403" t="str">
        <f t="array" ref="E2424">INDIRECT("Tableau!$AD$156")</f>
        <v/>
      </c>
    </row>
    <row r="2425">
      <c r="A2425" s="397" t="str">
        <f t="array" ref="A2425">INDIRECT("Tableau!$A$157")</f>
        <v/>
      </c>
      <c r="B2425" s="398" t="s">
        <v>475</v>
      </c>
      <c r="C2425" s="400" t="str">
        <f t="array" ref="C2425">INDIRECT("Tableau!$AC$157")</f>
        <v/>
      </c>
      <c r="D2425" s="400" t="str">
        <f t="shared" si="14"/>
        <v>IN</v>
      </c>
      <c r="E2425" s="403" t="str">
        <f t="array" ref="E2425">INDIRECT("Tableau!$AD$157")</f>
        <v/>
      </c>
    </row>
    <row r="2426">
      <c r="A2426" s="402">
        <f t="array" ref="A2426">INDIRECT("Tableau!$A$158")</f>
        <v>505</v>
      </c>
      <c r="B2426" s="398" t="s">
        <v>475</v>
      </c>
      <c r="C2426" s="400" t="str">
        <f t="array" ref="C2426">INDIRECT("Tableau!$AC$158")</f>
        <v>DPS</v>
      </c>
      <c r="D2426" s="400" t="str">
        <f t="shared" si="14"/>
        <v>IN</v>
      </c>
      <c r="E2426" s="403" t="str">
        <f t="array" ref="E2426">INDIRECT("Tableau!$AD$158")</f>
        <v/>
      </c>
    </row>
    <row r="2427">
      <c r="A2427" s="402">
        <f t="array" ref="A2427">INDIRECT("Tableau!$A$159")</f>
        <v>506</v>
      </c>
      <c r="B2427" s="398" t="s">
        <v>475</v>
      </c>
      <c r="C2427" s="400" t="str">
        <f t="array" ref="C2427">INDIRECT("Tableau!$AC$159")</f>
        <v/>
      </c>
      <c r="D2427" s="400" t="str">
        <f t="shared" si="14"/>
        <v>IN</v>
      </c>
      <c r="E2427" s="403" t="str">
        <f t="array" ref="E2427">INDIRECT("Tableau!$AD$159")</f>
        <v/>
      </c>
    </row>
    <row r="2428">
      <c r="A2428" s="402">
        <f t="array" ref="A2428">INDIRECT("Tableau!$A$160")</f>
        <v>507</v>
      </c>
      <c r="B2428" s="398" t="s">
        <v>475</v>
      </c>
      <c r="C2428" s="400" t="str">
        <f t="array" ref="C2428">INDIRECT("Tableau!$AC$160")</f>
        <v>DPS</v>
      </c>
      <c r="D2428" s="400" t="str">
        <f t="shared" si="14"/>
        <v>IN</v>
      </c>
      <c r="E2428" s="403" t="str">
        <f t="array" ref="E2428">INDIRECT("Tableau!$AD$160")</f>
        <v/>
      </c>
    </row>
    <row r="2429">
      <c r="A2429" s="402">
        <f t="array" ref="A2429">INDIRECT("Tableau!$A$161")</f>
        <v>508</v>
      </c>
      <c r="B2429" s="398" t="s">
        <v>475</v>
      </c>
      <c r="C2429" s="400" t="str">
        <f t="array" ref="C2429">INDIRECT("Tableau!$AC$161")</f>
        <v/>
      </c>
      <c r="D2429" s="400" t="str">
        <f t="shared" si="14"/>
        <v>IN</v>
      </c>
      <c r="E2429" s="403" t="str">
        <f t="array" ref="E2429">INDIRECT("Tableau!$AD$161")</f>
        <v/>
      </c>
    </row>
    <row r="2430">
      <c r="A2430" s="402">
        <f t="array" ref="A2430">INDIRECT("Tableau!$A$162")</f>
        <v>509</v>
      </c>
      <c r="B2430" s="398" t="s">
        <v>475</v>
      </c>
      <c r="C2430" s="400" t="str">
        <f t="array" ref="C2430">INDIRECT("Tableau!$AC$162")</f>
        <v/>
      </c>
      <c r="D2430" s="400" t="str">
        <f t="shared" si="14"/>
        <v>IN</v>
      </c>
      <c r="E2430" s="403" t="str">
        <f t="array" ref="E2430">INDIRECT("Tableau!$AD$162")</f>
        <v/>
      </c>
    </row>
    <row r="2431">
      <c r="A2431" s="397">
        <f t="array" ref="A2431">INDIRECT("Tableau!$A$163")</f>
        <v>510</v>
      </c>
      <c r="B2431" s="398" t="s">
        <v>475</v>
      </c>
      <c r="C2431" s="400" t="str">
        <f t="array" ref="C2431">INDIRECT("Tableau!$AC$163")</f>
        <v>DPS</v>
      </c>
      <c r="D2431" s="400" t="str">
        <f t="shared" si="14"/>
        <v>IN</v>
      </c>
      <c r="E2431" s="403" t="str">
        <f t="array" ref="E2431">INDIRECT("Tableau!$AD$163")</f>
        <v/>
      </c>
    </row>
    <row r="2432">
      <c r="A2432" s="397" t="str">
        <f t="array" ref="A2432">INDIRECT("Tableau!$A$164")</f>
        <v/>
      </c>
      <c r="B2432" s="398" t="s">
        <v>475</v>
      </c>
      <c r="C2432" s="400" t="str">
        <f t="array" ref="C2432">INDIRECT("Tableau!$AC$164")</f>
        <v/>
      </c>
      <c r="D2432" s="400" t="str">
        <f t="shared" si="14"/>
        <v>IN</v>
      </c>
      <c r="E2432" s="403" t="str">
        <f t="array" ref="E2432">INDIRECT("Tableau!$AD$164")</f>
        <v/>
      </c>
    </row>
    <row r="2433">
      <c r="A2433" s="397" t="str">
        <f t="array" ref="A2433">INDIRECT("Tableau!$A$165")</f>
        <v/>
      </c>
      <c r="B2433" s="398" t="s">
        <v>475</v>
      </c>
      <c r="C2433" s="400" t="str">
        <f t="array" ref="C2433">INDIRECT("Tableau!$AC$165")</f>
        <v/>
      </c>
      <c r="D2433" s="400" t="str">
        <f t="shared" si="14"/>
        <v>IN</v>
      </c>
      <c r="E2433" s="403" t="str">
        <f t="array" ref="E2433">INDIRECT("Tableau!$AD$165")</f>
        <v/>
      </c>
    </row>
    <row r="2434">
      <c r="A2434" s="402">
        <f t="array" ref="A2434">INDIRECT("Tableau!$A$166")</f>
        <v>527</v>
      </c>
      <c r="B2434" s="398" t="s">
        <v>475</v>
      </c>
      <c r="C2434" s="400" t="str">
        <f t="array" ref="C2434">INDIRECT("Tableau!$AC$166")</f>
        <v/>
      </c>
      <c r="D2434" s="400" t="str">
        <f t="shared" si="14"/>
        <v>IN</v>
      </c>
      <c r="E2434" s="403" t="str">
        <f t="array" ref="E2434">INDIRECT("Tableau!$AD$166")</f>
        <v/>
      </c>
    </row>
    <row r="2435">
      <c r="A2435" s="402">
        <f t="array" ref="A2435">INDIRECT("Tableau!$A$167")</f>
        <v>512</v>
      </c>
      <c r="B2435" s="398" t="s">
        <v>475</v>
      </c>
      <c r="C2435" s="400" t="str">
        <f t="array" ref="C2435">INDIRECT("Tableau!$AC$167")</f>
        <v>Grottes de Han</v>
      </c>
      <c r="D2435" s="400" t="str">
        <f t="shared" si="14"/>
        <v>IN</v>
      </c>
      <c r="E2435" s="403" t="str">
        <f t="array" ref="E2435">INDIRECT("Tableau!$AD$167")</f>
        <v/>
      </c>
    </row>
    <row r="2436">
      <c r="A2436" s="402">
        <f t="array" ref="A2436">INDIRECT("Tableau!$A$168")</f>
        <v>513</v>
      </c>
      <c r="B2436" s="398" t="s">
        <v>475</v>
      </c>
      <c r="C2436" s="400" t="str">
        <f t="array" ref="C2436">INDIRECT("Tableau!$AC$168")</f>
        <v/>
      </c>
      <c r="D2436" s="400" t="str">
        <f t="shared" si="14"/>
        <v>IN</v>
      </c>
      <c r="E2436" s="403" t="str">
        <f t="array" ref="E2436">INDIRECT("Tableau!$AD$168")</f>
        <v/>
      </c>
    </row>
    <row r="2437">
      <c r="A2437" s="402">
        <f t="array" ref="A2437">INDIRECT("Tableau!$A$169")</f>
        <v>514</v>
      </c>
      <c r="B2437" s="398" t="s">
        <v>475</v>
      </c>
      <c r="C2437" s="400" t="str">
        <f t="array" ref="C2437">INDIRECT("Tableau!$AC$169")</f>
        <v/>
      </c>
      <c r="D2437" s="400" t="str">
        <f t="shared" si="14"/>
        <v>IN</v>
      </c>
      <c r="E2437" s="403" t="str">
        <f t="array" ref="E2437">INDIRECT("Tableau!$AD$169")</f>
        <v/>
      </c>
    </row>
    <row r="2438">
      <c r="A2438" s="402">
        <f t="array" ref="A2438">INDIRECT("Tableau!$A$170")</f>
        <v>515</v>
      </c>
      <c r="B2438" s="398" t="s">
        <v>475</v>
      </c>
      <c r="C2438" s="400" t="str">
        <f t="array" ref="C2438">INDIRECT("Tableau!$AC$170")</f>
        <v/>
      </c>
      <c r="D2438" s="400" t="str">
        <f t="shared" si="14"/>
        <v>IN</v>
      </c>
      <c r="E2438" s="403" t="str">
        <f t="array" ref="E2438">INDIRECT("Tableau!$AD$170")</f>
        <v/>
      </c>
    </row>
    <row r="2439">
      <c r="A2439" s="402">
        <f t="array" ref="A2439">INDIRECT("Tableau!$A$171")</f>
        <v>517</v>
      </c>
      <c r="B2439" s="398" t="s">
        <v>475</v>
      </c>
      <c r="C2439" s="400" t="str">
        <f t="array" ref="C2439">INDIRECT("Tableau!$AC$171")</f>
        <v/>
      </c>
      <c r="D2439" s="400" t="str">
        <f t="shared" si="14"/>
        <v>IN</v>
      </c>
      <c r="E2439" s="403" t="str">
        <f t="array" ref="E2439">INDIRECT("Tableau!$AD$171")</f>
        <v/>
      </c>
    </row>
    <row r="2440">
      <c r="A2440" s="402">
        <f t="array" ref="A2440">INDIRECT("Tableau!$A$172")</f>
        <v>518</v>
      </c>
      <c r="B2440" s="398" t="s">
        <v>475</v>
      </c>
      <c r="C2440" s="400" t="str">
        <f t="array" ref="C2440">INDIRECT("Tableau!$AC$172")</f>
        <v/>
      </c>
      <c r="D2440" s="400" t="str">
        <f t="shared" si="14"/>
        <v>IN</v>
      </c>
      <c r="E2440" s="403" t="str">
        <f t="array" ref="E2440">INDIRECT("Tableau!$AD$172")</f>
        <v/>
      </c>
    </row>
    <row r="2441">
      <c r="A2441" s="397" t="str">
        <f t="array" ref="A2441">INDIRECT("Tableau!$A$173")</f>
        <v/>
      </c>
      <c r="B2441" s="398" t="s">
        <v>475</v>
      </c>
      <c r="C2441" s="400" t="str">
        <f t="array" ref="C2441">INDIRECT("Tableau!$AC$173")</f>
        <v/>
      </c>
      <c r="D2441" s="400" t="str">
        <f t="shared" si="14"/>
        <v>IN</v>
      </c>
      <c r="E2441" s="403" t="str">
        <f t="array" ref="E2441">INDIRECT("Tableau!$AD$173")</f>
        <v/>
      </c>
    </row>
    <row r="2442">
      <c r="A2442" s="402">
        <f t="array" ref="A2442">INDIRECT("Tableau!$A$174")</f>
        <v>520</v>
      </c>
      <c r="B2442" s="398" t="s">
        <v>475</v>
      </c>
      <c r="C2442" s="400" t="str">
        <f t="array" ref="C2442">INDIRECT("Tableau!$AC$174")</f>
        <v/>
      </c>
      <c r="D2442" s="400" t="str">
        <f t="shared" si="14"/>
        <v>IN</v>
      </c>
      <c r="E2442" s="403" t="str">
        <f t="array" ref="E2442">INDIRECT("Tableau!$AD$174")</f>
        <v/>
      </c>
    </row>
    <row r="2443">
      <c r="A2443" s="402">
        <f t="array" ref="A2443">INDIRECT("Tableau!$A$175")</f>
        <v>521</v>
      </c>
      <c r="B2443" s="398" t="s">
        <v>475</v>
      </c>
      <c r="C2443" s="400" t="str">
        <f t="array" ref="C2443">INDIRECT("Tableau!$AC$175")</f>
        <v>Grottes de Han</v>
      </c>
      <c r="D2443" s="400" t="str">
        <f t="shared" si="14"/>
        <v>IN</v>
      </c>
      <c r="E2443" s="403" t="str">
        <f t="array" ref="E2443">INDIRECT("Tableau!$AD$175")</f>
        <v/>
      </c>
    </row>
    <row r="2444">
      <c r="A2444" s="402">
        <f t="array" ref="A2444">INDIRECT("Tableau!$A$176")</f>
        <v>525</v>
      </c>
      <c r="B2444" s="398" t="s">
        <v>475</v>
      </c>
      <c r="C2444" s="400" t="str">
        <f t="array" ref="C2444">INDIRECT("Tableau!$AC$176")</f>
        <v>Grottes de Han</v>
      </c>
      <c r="D2444" s="400" t="str">
        <f t="shared" si="14"/>
        <v>IN</v>
      </c>
      <c r="E2444" s="403" t="str">
        <f t="array" ref="E2444">INDIRECT("Tableau!$AD$176")</f>
        <v/>
      </c>
    </row>
    <row r="2445">
      <c r="A2445" s="402">
        <f t="array" ref="A2445">INDIRECT("Tableau!$A$177")</f>
        <v>530</v>
      </c>
      <c r="B2445" s="398" t="s">
        <v>475</v>
      </c>
      <c r="C2445" s="400" t="str">
        <f t="array" ref="C2445">INDIRECT("Tableau!$AC$177")</f>
        <v>Grottes de Han</v>
      </c>
      <c r="D2445" s="400" t="str">
        <f t="shared" si="14"/>
        <v>IN</v>
      </c>
      <c r="E2445" s="403" t="str">
        <f t="array" ref="E2445">INDIRECT("Tableau!$AD$177")</f>
        <v/>
      </c>
    </row>
    <row r="2446">
      <c r="A2446" s="397" t="str">
        <f t="array" ref="A2446">INDIRECT("Tableau!$A$178")</f>
        <v/>
      </c>
      <c r="B2446" s="398" t="s">
        <v>475</v>
      </c>
      <c r="C2446" s="400" t="str">
        <f t="array" ref="C2446">INDIRECT("Tableau!$AC$178")</f>
        <v/>
      </c>
      <c r="D2446" s="400" t="str">
        <f t="shared" si="14"/>
        <v>IN</v>
      </c>
      <c r="E2446" s="403" t="str">
        <f t="array" ref="E2446">INDIRECT("Tableau!$AD$178")</f>
        <v/>
      </c>
    </row>
    <row r="2447">
      <c r="A2447" s="397" t="str">
        <f t="array" ref="A2447">INDIRECT("Tableau!$A$179")</f>
        <v/>
      </c>
      <c r="B2447" s="398" t="s">
        <v>475</v>
      </c>
      <c r="C2447" s="400" t="str">
        <f t="array" ref="C2447">INDIRECT("Tableau!$AC$179")</f>
        <v/>
      </c>
      <c r="D2447" s="400" t="str">
        <f t="shared" si="14"/>
        <v>IN</v>
      </c>
      <c r="E2447" s="403" t="str">
        <f t="array" ref="E2447">INDIRECT("Tableau!$AD$179")</f>
        <v/>
      </c>
    </row>
    <row r="2448">
      <c r="A2448" s="397" t="str">
        <f t="array" ref="A2448">INDIRECT("Tableau!$A$180")</f>
        <v/>
      </c>
      <c r="B2448" s="398" t="s">
        <v>475</v>
      </c>
      <c r="C2448" s="400" t="str">
        <f t="array" ref="C2448">INDIRECT("Tableau!$AC$180")</f>
        <v/>
      </c>
      <c r="D2448" s="400" t="str">
        <f t="shared" si="14"/>
        <v>IN</v>
      </c>
      <c r="E2448" s="403" t="str">
        <f t="array" ref="E2448">INDIRECT("Tableau!$AD$180")</f>
        <v/>
      </c>
    </row>
    <row r="2449">
      <c r="A2449" s="397" t="str">
        <f t="array" ref="A2449">INDIRECT("Tableau!$A$181")</f>
        <v/>
      </c>
      <c r="B2449" s="398" t="s">
        <v>475</v>
      </c>
      <c r="C2449" s="400" t="str">
        <f t="array" ref="C2449">INDIRECT("Tableau!$AC$181")</f>
        <v/>
      </c>
      <c r="D2449" s="400" t="str">
        <f t="shared" si="14"/>
        <v>IN</v>
      </c>
      <c r="E2449" s="403" t="str">
        <f t="array" ref="E2449">INDIRECT("Tableau!$AD$181")</f>
        <v/>
      </c>
    </row>
    <row r="2450">
      <c r="A2450" s="397" t="str">
        <f t="array" ref="A2450">INDIRECT("Tableau!$A$182")</f>
        <v/>
      </c>
      <c r="B2450" s="398" t="s">
        <v>475</v>
      </c>
      <c r="C2450" s="400" t="str">
        <f t="array" ref="C2450">INDIRECT("Tableau!$AC$182")</f>
        <v/>
      </c>
      <c r="D2450" s="400" t="str">
        <f t="shared" si="14"/>
        <v>IN</v>
      </c>
      <c r="E2450" s="403" t="str">
        <f t="array" ref="E2450">INDIRECT("Tableau!$AD$182")</f>
        <v/>
      </c>
    </row>
    <row r="2451">
      <c r="A2451" s="397" t="str">
        <f t="array" ref="A2451">INDIRECT("Tableau!$A$183")</f>
        <v/>
      </c>
      <c r="B2451" s="398" t="s">
        <v>475</v>
      </c>
      <c r="C2451" s="400" t="str">
        <f t="array" ref="C2451">INDIRECT("Tableau!$AC$183")</f>
        <v/>
      </c>
      <c r="D2451" s="400" t="str">
        <f t="shared" si="14"/>
        <v>IN</v>
      </c>
      <c r="E2451" s="403" t="str">
        <f t="array" ref="E2451">INDIRECT("Tableau!$AD$183")</f>
        <v/>
      </c>
    </row>
    <row r="2452">
      <c r="A2452" s="397" t="str">
        <f t="array" ref="A2452">INDIRECT("Tableau!$A$184")</f>
        <v/>
      </c>
      <c r="B2452" s="398" t="s">
        <v>475</v>
      </c>
      <c r="C2452" s="400" t="str">
        <f t="array" ref="C2452">INDIRECT("Tableau!$AC$184")</f>
        <v/>
      </c>
      <c r="D2452" s="400" t="str">
        <f t="shared" si="14"/>
        <v>IN</v>
      </c>
      <c r="E2452" s="403" t="str">
        <f t="array" ref="E2452">INDIRECT("Tableau!$AD$184")</f>
        <v/>
      </c>
    </row>
    <row r="2453">
      <c r="A2453" s="397" t="str">
        <f t="array" ref="A2453">INDIRECT("Tableau!$A$185")</f>
        <v/>
      </c>
      <c r="B2453" s="398" t="s">
        <v>475</v>
      </c>
      <c r="C2453" s="400" t="str">
        <f t="array" ref="C2453">INDIRECT("Tableau!$AC$185")</f>
        <v/>
      </c>
      <c r="D2453" s="400" t="str">
        <f t="shared" si="14"/>
        <v>IN</v>
      </c>
      <c r="E2453" s="403" t="str">
        <f t="array" ref="E2453">INDIRECT("Tableau!$AD$185")</f>
        <v/>
      </c>
    </row>
    <row r="2454">
      <c r="A2454" s="397" t="str">
        <f t="array" ref="A2454">INDIRECT("Tableau!$A$186")</f>
        <v/>
      </c>
      <c r="B2454" s="398" t="s">
        <v>475</v>
      </c>
      <c r="C2454" s="400" t="str">
        <f t="array" ref="C2454">INDIRECT("Tableau!$AC$186")</f>
        <v/>
      </c>
      <c r="D2454" s="400" t="str">
        <f t="shared" si="14"/>
        <v>IN</v>
      </c>
      <c r="E2454" s="403" t="str">
        <f t="array" ref="E2454">INDIRECT("Tableau!$AD$186")</f>
        <v/>
      </c>
    </row>
    <row r="2455">
      <c r="A2455" s="397" t="str">
        <f t="array" ref="A2455">INDIRECT("Tableau!$A$187")</f>
        <v/>
      </c>
      <c r="B2455" s="398" t="s">
        <v>475</v>
      </c>
      <c r="C2455" s="400" t="str">
        <f t="array" ref="C2455">INDIRECT("Tableau!$AC$187")</f>
        <v/>
      </c>
      <c r="D2455" s="400" t="str">
        <f t="shared" si="14"/>
        <v>IN</v>
      </c>
      <c r="E2455" s="403" t="str">
        <f t="array" ref="E2455">INDIRECT("Tableau!$AD$187")</f>
        <v/>
      </c>
    </row>
    <row r="2456">
      <c r="A2456" s="397" t="str">
        <f t="array" ref="A2456">INDIRECT("Tableau!$A$188")</f>
        <v/>
      </c>
      <c r="B2456" s="398" t="s">
        <v>475</v>
      </c>
      <c r="C2456" s="400" t="str">
        <f t="array" ref="C2456">INDIRECT("Tableau!$AC$188")</f>
        <v/>
      </c>
      <c r="D2456" s="400" t="str">
        <f t="shared" si="14"/>
        <v>IN</v>
      </c>
      <c r="E2456" s="403" t="str">
        <f t="array" ref="E2456">INDIRECT("Tableau!$AD$188")</f>
        <v/>
      </c>
    </row>
    <row r="2457">
      <c r="A2457" s="397" t="str">
        <f t="array" ref="A2457">INDIRECT("Tableau!$A$189")</f>
        <v/>
      </c>
      <c r="B2457" s="398" t="s">
        <v>475</v>
      </c>
      <c r="C2457" s="400" t="str">
        <f t="array" ref="C2457">INDIRECT("Tableau!$AC$189")</f>
        <v/>
      </c>
      <c r="D2457" s="400" t="str">
        <f t="shared" si="14"/>
        <v>IN</v>
      </c>
      <c r="E2457" s="403" t="str">
        <f t="array" ref="E2457">INDIRECT("Tableau!$AD$189")</f>
        <v/>
      </c>
    </row>
    <row r="2458">
      <c r="A2458" s="397" t="str">
        <f t="array" ref="A2458">INDIRECT("Tableau!$A$190")</f>
        <v/>
      </c>
      <c r="B2458" s="398" t="s">
        <v>475</v>
      </c>
      <c r="C2458" s="400" t="str">
        <f t="array" ref="C2458">INDIRECT("Tableau!$AC$190")</f>
        <v/>
      </c>
      <c r="D2458" s="400" t="str">
        <f t="shared" si="14"/>
        <v>IN</v>
      </c>
      <c r="E2458" s="403" t="str">
        <f t="array" ref="E2458">INDIRECT("Tableau!$AD$190")</f>
        <v/>
      </c>
    </row>
    <row r="2459">
      <c r="A2459" s="397" t="str">
        <f t="array" ref="A2459">INDIRECT("Tableau!$A$2")</f>
        <v/>
      </c>
      <c r="B2459" s="398" t="s">
        <v>475</v>
      </c>
      <c r="C2459" s="400" t="str">
        <f t="array" ref="C2459">INDIRECT("Tableau!$AE$2")</f>
        <v/>
      </c>
      <c r="D2459" s="400" t="str">
        <f t="shared" ref="D2459:D2647" si="15">INDIRECT("Tableau!$AF$1")</f>
        <v>OUT</v>
      </c>
      <c r="E2459" s="403" t="str">
        <f t="array" ref="E2459">INDIRECT("Tableau!$AF$2")</f>
        <v/>
      </c>
    </row>
    <row r="2460">
      <c r="A2460" s="402">
        <f t="array" ref="A2460">INDIRECT("Tableau!$A$3")</f>
        <v>102</v>
      </c>
      <c r="B2460" s="398" t="s">
        <v>475</v>
      </c>
      <c r="C2460" s="400" t="str">
        <f t="array" ref="C2460">INDIRECT("Tableau!$AE$3")</f>
        <v>Decorex</v>
      </c>
      <c r="D2460" s="400" t="str">
        <f t="shared" si="15"/>
        <v>OUT</v>
      </c>
      <c r="E2460" s="403" t="str">
        <f t="array" ref="E2460">INDIRECT("Tableau!$AF$3")</f>
        <v/>
      </c>
    </row>
    <row r="2461">
      <c r="A2461" s="397" t="str">
        <f t="array" ref="A2461">INDIRECT("Tableau!$A$4")</f>
        <v/>
      </c>
      <c r="B2461" s="398" t="s">
        <v>475</v>
      </c>
      <c r="C2461" s="400" t="str">
        <f t="array" ref="C2461">INDIRECT("Tableau!$AE$4")</f>
        <v/>
      </c>
      <c r="D2461" s="400" t="str">
        <f t="shared" si="15"/>
        <v>OUT</v>
      </c>
      <c r="E2461" s="403" t="str">
        <f t="array" ref="E2461">INDIRECT("Tableau!$AF$4")</f>
        <v/>
      </c>
    </row>
    <row r="2462">
      <c r="A2462" s="402">
        <f t="array" ref="A2462">INDIRECT("Tableau!$A$5")</f>
        <v>104</v>
      </c>
      <c r="B2462" s="398" t="s">
        <v>475</v>
      </c>
      <c r="C2462" s="400" t="str">
        <f t="array" ref="C2462">INDIRECT("Tableau!$AE$5")</f>
        <v/>
      </c>
      <c r="D2462" s="400" t="str">
        <f t="shared" si="15"/>
        <v>OUT</v>
      </c>
      <c r="E2462" s="403" t="str">
        <f t="array" ref="E2462">INDIRECT("Tableau!$AF$5")</f>
        <v/>
      </c>
    </row>
    <row r="2463">
      <c r="A2463" s="402">
        <f t="array" ref="A2463">INDIRECT("Tableau!$A$6")</f>
        <v>105</v>
      </c>
      <c r="B2463" s="398" t="s">
        <v>475</v>
      </c>
      <c r="C2463" s="400" t="str">
        <f t="array" ref="C2463">INDIRECT("Tableau!$AE$6")</f>
        <v/>
      </c>
      <c r="D2463" s="400" t="str">
        <f t="shared" si="15"/>
        <v>OUT</v>
      </c>
      <c r="E2463" s="403" t="str">
        <f t="array" ref="E2463">INDIRECT("Tableau!$AF$6")</f>
        <v/>
      </c>
    </row>
    <row r="2464">
      <c r="A2464" s="402">
        <f t="array" ref="A2464">INDIRECT("Tableau!$A$7")</f>
        <v>106</v>
      </c>
      <c r="B2464" s="398" t="s">
        <v>475</v>
      </c>
      <c r="C2464" s="400" t="str">
        <f t="array" ref="C2464">INDIRECT("Tableau!$AE$7")</f>
        <v/>
      </c>
      <c r="D2464" s="400" t="str">
        <f t="shared" si="15"/>
        <v>OUT</v>
      </c>
      <c r="E2464" s="403" t="str">
        <f t="array" ref="E2464">INDIRECT("Tableau!$AF$7")</f>
        <v/>
      </c>
    </row>
    <row r="2465">
      <c r="A2465" s="402">
        <f t="array" ref="A2465">INDIRECT("Tableau!$A$8")</f>
        <v>107</v>
      </c>
      <c r="B2465" s="398" t="s">
        <v>475</v>
      </c>
      <c r="C2465" s="400" t="str">
        <f t="array" ref="C2465">INDIRECT("Tableau!$AE$8")</f>
        <v/>
      </c>
      <c r="D2465" s="400" t="str">
        <f t="shared" si="15"/>
        <v>OUT</v>
      </c>
      <c r="E2465" s="403" t="str">
        <f t="array" ref="E2465">INDIRECT("Tableau!$AF$8")</f>
        <v/>
      </c>
    </row>
    <row r="2466">
      <c r="A2466" s="397">
        <f t="array" ref="A2466">INDIRECT("Tableau!$A$9")</f>
        <v>108</v>
      </c>
      <c r="B2466" s="398" t="s">
        <v>475</v>
      </c>
      <c r="C2466" s="400" t="str">
        <f t="array" ref="C2466">INDIRECT("Tableau!$AE$9")</f>
        <v/>
      </c>
      <c r="D2466" s="400" t="str">
        <f t="shared" si="15"/>
        <v>OUT</v>
      </c>
      <c r="E2466" s="403" t="str">
        <f t="array" ref="E2466">INDIRECT("Tableau!$AF$9")</f>
        <v/>
      </c>
    </row>
    <row r="2467">
      <c r="A2467" s="402">
        <f t="array" ref="A2467">INDIRECT("Tableau!$A$10")</f>
        <v>109</v>
      </c>
      <c r="B2467" s="398" t="s">
        <v>475</v>
      </c>
      <c r="C2467" s="400" t="str">
        <f t="array" ref="C2467">INDIRECT("Tableau!$AE$10")</f>
        <v/>
      </c>
      <c r="D2467" s="400" t="str">
        <f t="shared" si="15"/>
        <v>OUT</v>
      </c>
      <c r="E2467" s="403" t="str">
        <f t="array" ref="E2467">INDIRECT("Tableau!$AF$10")</f>
        <v/>
      </c>
    </row>
    <row r="2468">
      <c r="A2468" s="402">
        <f t="array" ref="A2468">INDIRECT("Tableau!$A$11")</f>
        <v>110</v>
      </c>
      <c r="B2468" s="398" t="s">
        <v>475</v>
      </c>
      <c r="C2468" s="400" t="str">
        <f t="array" ref="C2468">INDIRECT("Tableau!$AE$11")</f>
        <v/>
      </c>
      <c r="D2468" s="400" t="str">
        <f t="shared" si="15"/>
        <v>OUT</v>
      </c>
      <c r="E2468" s="403" t="str">
        <f t="array" ref="E2468">INDIRECT("Tableau!$AF$11")</f>
        <v/>
      </c>
    </row>
    <row r="2469">
      <c r="A2469" s="402">
        <f t="array" ref="A2469">INDIRECT("Tableau!$A$12")</f>
        <v>111</v>
      </c>
      <c r="B2469" s="398" t="s">
        <v>475</v>
      </c>
      <c r="C2469" s="400" t="str">
        <f t="array" ref="C2469">INDIRECT("Tableau!$AE$12")</f>
        <v/>
      </c>
      <c r="D2469" s="400" t="str">
        <f t="shared" si="15"/>
        <v>OUT</v>
      </c>
      <c r="E2469" s="403" t="str">
        <f t="array" ref="E2469">INDIRECT("Tableau!$AF$12")</f>
        <v/>
      </c>
    </row>
    <row r="2470">
      <c r="A2470" s="402">
        <f t="array" ref="A2470">INDIRECT("Tableau!$A$13")</f>
        <v>112</v>
      </c>
      <c r="B2470" s="398" t="s">
        <v>475</v>
      </c>
      <c r="C2470" s="400" t="str">
        <f t="array" ref="C2470">INDIRECT("Tableau!$AE$13")</f>
        <v/>
      </c>
      <c r="D2470" s="400" t="str">
        <f t="shared" si="15"/>
        <v>OUT</v>
      </c>
      <c r="E2470" s="403" t="str">
        <f t="array" ref="E2470">INDIRECT("Tableau!$AF$13")</f>
        <v/>
      </c>
    </row>
    <row r="2471">
      <c r="A2471" s="402">
        <f t="array" ref="A2471">INDIRECT("Tableau!$A$14")</f>
        <v>113</v>
      </c>
      <c r="B2471" s="398" t="s">
        <v>475</v>
      </c>
      <c r="C2471" s="400" t="str">
        <f t="array" ref="C2471">INDIRECT("Tableau!$AE$14")</f>
        <v/>
      </c>
      <c r="D2471" s="400" t="str">
        <f t="shared" si="15"/>
        <v>OUT</v>
      </c>
      <c r="E2471" s="403" t="str">
        <f t="array" ref="E2471">INDIRECT("Tableau!$AF$14")</f>
        <v/>
      </c>
    </row>
    <row r="2472">
      <c r="A2472" s="397">
        <f t="array" ref="A2472">INDIRECT("Tableau!$A$15")</f>
        <v>114</v>
      </c>
      <c r="B2472" s="398" t="s">
        <v>475</v>
      </c>
      <c r="C2472" s="400" t="str">
        <f t="array" ref="C2472">INDIRECT("Tableau!$AE$15")</f>
        <v/>
      </c>
      <c r="D2472" s="400" t="str">
        <f t="shared" si="15"/>
        <v>OUT</v>
      </c>
      <c r="E2472" s="403" t="str">
        <f t="array" ref="E2472">INDIRECT("Tableau!$AF$15")</f>
        <v/>
      </c>
    </row>
    <row r="2473">
      <c r="A2473" s="397" t="str">
        <f t="array" ref="A2473">INDIRECT("Tableau!$A$16")</f>
        <v/>
      </c>
      <c r="B2473" s="398" t="s">
        <v>475</v>
      </c>
      <c r="C2473" s="400" t="str">
        <f t="array" ref="C2473">INDIRECT("Tableau!$AE$16")</f>
        <v/>
      </c>
      <c r="D2473" s="400" t="str">
        <f t="shared" si="15"/>
        <v>OUT</v>
      </c>
      <c r="E2473" s="403" t="str">
        <f t="array" ref="E2473">INDIRECT("Tableau!$AF$16")</f>
        <v/>
      </c>
    </row>
    <row r="2474">
      <c r="A2474" s="397" t="str">
        <f t="array" ref="A2474">INDIRECT("Tableau!$A$17")</f>
        <v/>
      </c>
      <c r="B2474" s="398" t="s">
        <v>475</v>
      </c>
      <c r="C2474" s="400" t="str">
        <f t="array" ref="C2474">INDIRECT("Tableau!$AE$17")</f>
        <v/>
      </c>
      <c r="D2474" s="400" t="str">
        <f t="shared" si="15"/>
        <v>OUT</v>
      </c>
      <c r="E2474" s="403" t="str">
        <f t="array" ref="E2474">INDIRECT("Tableau!$AF$17")</f>
        <v/>
      </c>
    </row>
    <row r="2475">
      <c r="A2475" s="397" t="str">
        <f t="array" ref="A2475">INDIRECT("Tableau!$A$18")</f>
        <v/>
      </c>
      <c r="B2475" s="398" t="s">
        <v>475</v>
      </c>
      <c r="C2475" s="400" t="str">
        <f t="array" ref="C2475">INDIRECT("Tableau!$AE$18")</f>
        <v/>
      </c>
      <c r="D2475" s="400" t="str">
        <f t="shared" si="15"/>
        <v>OUT</v>
      </c>
      <c r="E2475" s="403" t="str">
        <f t="array" ref="E2475">INDIRECT("Tableau!$AF$18")</f>
        <v/>
      </c>
    </row>
    <row r="2476">
      <c r="A2476" s="397" t="str">
        <f t="array" ref="A2476">INDIRECT("Tableau!$A$19")</f>
        <v/>
      </c>
      <c r="B2476" s="398" t="s">
        <v>475</v>
      </c>
      <c r="C2476" s="400" t="str">
        <f t="array" ref="C2476">INDIRECT("Tableau!$AE$19")</f>
        <v/>
      </c>
      <c r="D2476" s="400" t="str">
        <f t="shared" si="15"/>
        <v>OUT</v>
      </c>
      <c r="E2476" s="403" t="str">
        <f t="array" ref="E2476">INDIRECT("Tableau!$AF$19")</f>
        <v/>
      </c>
    </row>
    <row r="2477">
      <c r="A2477" s="397" t="str">
        <f t="array" ref="A2477">INDIRECT("Tableau!$A$20")</f>
        <v/>
      </c>
      <c r="B2477" s="398" t="s">
        <v>475</v>
      </c>
      <c r="C2477" s="400" t="str">
        <f t="array" ref="C2477">INDIRECT("Tableau!$AE$20")</f>
        <v/>
      </c>
      <c r="D2477" s="400" t="str">
        <f t="shared" si="15"/>
        <v>OUT</v>
      </c>
      <c r="E2477" s="403" t="str">
        <f t="array" ref="E2477">INDIRECT("Tableau!$AF$20")</f>
        <v/>
      </c>
    </row>
    <row r="2478">
      <c r="A2478" s="397" t="str">
        <f t="array" ref="A2478">INDIRECT("Tableau!$A$21")</f>
        <v/>
      </c>
      <c r="B2478" s="398" t="s">
        <v>475</v>
      </c>
      <c r="C2478" s="400" t="str">
        <f t="array" ref="C2478">INDIRECT("Tableau!$AE$21")</f>
        <v/>
      </c>
      <c r="D2478" s="400" t="str">
        <f t="shared" si="15"/>
        <v>OUT</v>
      </c>
      <c r="E2478" s="403" t="str">
        <f t="array" ref="E2478">INDIRECT("Tableau!$AF$21")</f>
        <v/>
      </c>
    </row>
    <row r="2479">
      <c r="A2479" s="397" t="str">
        <f t="array" ref="A2479">INDIRECT("Tableau!$A$22")</f>
        <v/>
      </c>
      <c r="B2479" s="398" t="s">
        <v>475</v>
      </c>
      <c r="C2479" s="400" t="str">
        <f t="array" ref="C2479">INDIRECT("Tableau!$AE$22")</f>
        <v/>
      </c>
      <c r="D2479" s="400" t="str">
        <f t="shared" si="15"/>
        <v>OUT</v>
      </c>
      <c r="E2479" s="403" t="str">
        <f t="array" ref="E2479">INDIRECT("Tableau!$AF$22")</f>
        <v/>
      </c>
    </row>
    <row r="2480">
      <c r="A2480" s="397" t="str">
        <f t="array" ref="A2480">INDIRECT("Tableau!$A$23")</f>
        <v/>
      </c>
      <c r="B2480" s="398" t="s">
        <v>475</v>
      </c>
      <c r="C2480" s="400" t="str">
        <f t="array" ref="C2480">INDIRECT("Tableau!$AE$23")</f>
        <v/>
      </c>
      <c r="D2480" s="400" t="str">
        <f t="shared" si="15"/>
        <v>OUT</v>
      </c>
      <c r="E2480" s="403" t="str">
        <f t="array" ref="E2480">INDIRECT("Tableau!$AF$23")</f>
        <v/>
      </c>
    </row>
    <row r="2481">
      <c r="A2481" s="397" t="str">
        <f t="array" ref="A2481">INDIRECT("Tableau!$A$24")</f>
        <v/>
      </c>
      <c r="B2481" s="398" t="s">
        <v>475</v>
      </c>
      <c r="C2481" s="400" t="str">
        <f t="array" ref="C2481">INDIRECT("Tableau!$AE$24")</f>
        <v/>
      </c>
      <c r="D2481" s="400" t="str">
        <f t="shared" si="15"/>
        <v>OUT</v>
      </c>
      <c r="E2481" s="403" t="str">
        <f t="array" ref="E2481">INDIRECT("Tableau!$AF$24")</f>
        <v/>
      </c>
    </row>
    <row r="2482">
      <c r="A2482" s="397" t="str">
        <f t="array" ref="A2482">INDIRECT("Tableau!$A$25")</f>
        <v/>
      </c>
      <c r="B2482" s="398" t="s">
        <v>475</v>
      </c>
      <c r="C2482" s="400" t="str">
        <f t="array" ref="C2482">INDIRECT("Tableau!$AE$25")</f>
        <v/>
      </c>
      <c r="D2482" s="400" t="str">
        <f t="shared" si="15"/>
        <v>OUT</v>
      </c>
      <c r="E2482" s="403" t="str">
        <f t="array" ref="E2482">INDIRECT("Tableau!$AF$25")</f>
        <v/>
      </c>
    </row>
    <row r="2483">
      <c r="A2483" s="402">
        <f t="array" ref="A2483">INDIRECT("Tableau!$A$26")</f>
        <v>201</v>
      </c>
      <c r="B2483" s="398" t="s">
        <v>475</v>
      </c>
      <c r="C2483" s="400" t="str">
        <f t="array" ref="C2483">INDIRECT("Tableau!$AE$26")</f>
        <v/>
      </c>
      <c r="D2483" s="400" t="str">
        <f t="shared" si="15"/>
        <v>OUT</v>
      </c>
      <c r="E2483" s="403" t="str">
        <f t="array" ref="E2483">INDIRECT("Tableau!$AF$26")</f>
        <v/>
      </c>
    </row>
    <row r="2484">
      <c r="A2484" s="402">
        <f t="array" ref="A2484">INDIRECT("Tableau!$A$27")</f>
        <v>202</v>
      </c>
      <c r="B2484" s="398" t="s">
        <v>475</v>
      </c>
      <c r="C2484" s="400" t="str">
        <f t="array" ref="C2484">INDIRECT("Tableau!$AE$27")</f>
        <v/>
      </c>
      <c r="D2484" s="400" t="str">
        <f t="shared" si="15"/>
        <v>OUT</v>
      </c>
      <c r="E2484" s="403" t="str">
        <f t="array" ref="E2484">INDIRECT("Tableau!$AF$27")</f>
        <v/>
      </c>
    </row>
    <row r="2485">
      <c r="A2485" s="402">
        <f t="array" ref="A2485">INDIRECT("Tableau!$A$28")</f>
        <v>203</v>
      </c>
      <c r="B2485" s="398" t="s">
        <v>475</v>
      </c>
      <c r="C2485" s="400" t="str">
        <f t="array" ref="C2485">INDIRECT("Tableau!$AE$28")</f>
        <v/>
      </c>
      <c r="D2485" s="400" t="str">
        <f t="shared" si="15"/>
        <v>OUT</v>
      </c>
      <c r="E2485" s="403" t="str">
        <f t="array" ref="E2485">INDIRECT("Tableau!$AF$28")</f>
        <v/>
      </c>
    </row>
    <row r="2486">
      <c r="A2486" s="402">
        <f t="array" ref="A2486">INDIRECT("Tableau!$A$29")</f>
        <v>204</v>
      </c>
      <c r="B2486" s="398" t="s">
        <v>475</v>
      </c>
      <c r="C2486" s="400" t="str">
        <f t="array" ref="C2486">INDIRECT("Tableau!$AE$29")</f>
        <v/>
      </c>
      <c r="D2486" s="400" t="str">
        <f t="shared" si="15"/>
        <v>OUT</v>
      </c>
      <c r="E2486" s="403" t="str">
        <f t="array" ref="E2486">INDIRECT("Tableau!$AF$29")</f>
        <v/>
      </c>
    </row>
    <row r="2487">
      <c r="A2487" s="402">
        <f t="array" ref="A2487">INDIRECT("Tableau!$A$30")</f>
        <v>205</v>
      </c>
      <c r="B2487" s="398" t="s">
        <v>475</v>
      </c>
      <c r="C2487" s="400" t="str">
        <f t="array" ref="C2487">INDIRECT("Tableau!$AE$30")</f>
        <v/>
      </c>
      <c r="D2487" s="400" t="str">
        <f t="shared" si="15"/>
        <v>OUT</v>
      </c>
      <c r="E2487" s="403" t="str">
        <f t="array" ref="E2487">INDIRECT("Tableau!$AF$30")</f>
        <v/>
      </c>
    </row>
    <row r="2488">
      <c r="A2488" s="402">
        <f t="array" ref="A2488">INDIRECT("Tableau!$A$31")</f>
        <v>206</v>
      </c>
      <c r="B2488" s="398" t="s">
        <v>475</v>
      </c>
      <c r="C2488" s="400" t="str">
        <f t="array" ref="C2488">INDIRECT("Tableau!$AE$31")</f>
        <v/>
      </c>
      <c r="D2488" s="400" t="str">
        <f t="shared" si="15"/>
        <v>OUT</v>
      </c>
      <c r="E2488" s="403" t="str">
        <f t="array" ref="E2488">INDIRECT("Tableau!$AF$31")</f>
        <v/>
      </c>
    </row>
    <row r="2489">
      <c r="A2489" s="402">
        <f t="array" ref="A2489">INDIRECT("Tableau!$A$32")</f>
        <v>207</v>
      </c>
      <c r="B2489" s="398" t="s">
        <v>475</v>
      </c>
      <c r="C2489" s="400" t="str">
        <f t="array" ref="C2489">INDIRECT("Tableau!$AE$32")</f>
        <v/>
      </c>
      <c r="D2489" s="400" t="str">
        <f t="shared" si="15"/>
        <v>OUT</v>
      </c>
      <c r="E2489" s="403" t="str">
        <f t="array" ref="E2489">INDIRECT("Tableau!$AF$32")</f>
        <v/>
      </c>
    </row>
    <row r="2490">
      <c r="A2490" s="402">
        <f t="array" ref="A2490">INDIRECT("Tableau!$A$33")</f>
        <v>208</v>
      </c>
      <c r="B2490" s="398" t="s">
        <v>475</v>
      </c>
      <c r="C2490" s="400" t="str">
        <f t="array" ref="C2490">INDIRECT("Tableau!$AE$33")</f>
        <v/>
      </c>
      <c r="D2490" s="400" t="str">
        <f t="shared" si="15"/>
        <v>OUT</v>
      </c>
      <c r="E2490" s="403" t="str">
        <f t="array" ref="E2490">INDIRECT("Tableau!$AF$33")</f>
        <v/>
      </c>
    </row>
    <row r="2491">
      <c r="A2491" s="402">
        <f t="array" ref="A2491">INDIRECT("Tableau!$A$34")</f>
        <v>209</v>
      </c>
      <c r="B2491" s="398" t="s">
        <v>475</v>
      </c>
      <c r="C2491" s="400" t="str">
        <f t="array" ref="C2491">INDIRECT("Tableau!$AE$34")</f>
        <v/>
      </c>
      <c r="D2491" s="400" t="str">
        <f t="shared" si="15"/>
        <v>OUT</v>
      </c>
      <c r="E2491" s="403" t="str">
        <f t="array" ref="E2491">INDIRECT("Tableau!$AF$34")</f>
        <v/>
      </c>
    </row>
    <row r="2492">
      <c r="A2492" s="402">
        <f t="array" ref="A2492">INDIRECT("Tableau!$A$35")</f>
        <v>210</v>
      </c>
      <c r="B2492" s="398" t="s">
        <v>475</v>
      </c>
      <c r="C2492" s="400" t="str">
        <f t="array" ref="C2492">INDIRECT("Tableau!$AE$35")</f>
        <v/>
      </c>
      <c r="D2492" s="400" t="str">
        <f t="shared" si="15"/>
        <v>OUT</v>
      </c>
      <c r="E2492" s="403" t="str">
        <f t="array" ref="E2492">INDIRECT("Tableau!$AF$35")</f>
        <v/>
      </c>
    </row>
    <row r="2493">
      <c r="A2493" s="402">
        <f t="array" ref="A2493">INDIRECT("Tableau!$A$36")</f>
        <v>211</v>
      </c>
      <c r="B2493" s="398" t="s">
        <v>475</v>
      </c>
      <c r="C2493" s="400" t="str">
        <f t="array" ref="C2493">INDIRECT("Tableau!$AE$36")</f>
        <v/>
      </c>
      <c r="D2493" s="400" t="str">
        <f t="shared" si="15"/>
        <v>OUT</v>
      </c>
      <c r="E2493" s="403" t="str">
        <f t="array" ref="E2493">INDIRECT("Tableau!$AF$36")</f>
        <v/>
      </c>
    </row>
    <row r="2494">
      <c r="A2494" s="402">
        <f t="array" ref="A2494">INDIRECT("Tableau!$A$37")</f>
        <v>212</v>
      </c>
      <c r="B2494" s="398" t="s">
        <v>475</v>
      </c>
      <c r="C2494" s="400" t="str">
        <f t="array" ref="C2494">INDIRECT("Tableau!$AE$37")</f>
        <v/>
      </c>
      <c r="D2494" s="400" t="str">
        <f t="shared" si="15"/>
        <v>OUT</v>
      </c>
      <c r="E2494" s="403" t="str">
        <f t="array" ref="E2494">INDIRECT("Tableau!$AF$37")</f>
        <v/>
      </c>
    </row>
    <row r="2495">
      <c r="A2495" s="402">
        <f t="array" ref="A2495">INDIRECT("Tableau!$A$38")</f>
        <v>213</v>
      </c>
      <c r="B2495" s="398" t="s">
        <v>475</v>
      </c>
      <c r="C2495" s="400" t="str">
        <f t="array" ref="C2495">INDIRECT("Tableau!$AE$38")</f>
        <v/>
      </c>
      <c r="D2495" s="400" t="str">
        <f t="shared" si="15"/>
        <v>OUT</v>
      </c>
      <c r="E2495" s="403" t="str">
        <f t="array" ref="E2495">INDIRECT("Tableau!$AF$38")</f>
        <v/>
      </c>
    </row>
    <row r="2496">
      <c r="A2496" s="402">
        <f t="array" ref="A2496">INDIRECT("Tableau!$A$39")</f>
        <v>214</v>
      </c>
      <c r="B2496" s="398" t="s">
        <v>475</v>
      </c>
      <c r="C2496" s="400" t="str">
        <f t="array" ref="C2496">INDIRECT("Tableau!$AE$39")</f>
        <v/>
      </c>
      <c r="D2496" s="400" t="str">
        <f t="shared" si="15"/>
        <v>OUT</v>
      </c>
      <c r="E2496" s="403" t="str">
        <f t="array" ref="E2496">INDIRECT("Tableau!$AF$39")</f>
        <v/>
      </c>
    </row>
    <row r="2497">
      <c r="A2497" s="402">
        <f t="array" ref="A2497">INDIRECT("Tableau!$A$40")</f>
        <v>215</v>
      </c>
      <c r="B2497" s="398" t="s">
        <v>475</v>
      </c>
      <c r="C2497" s="400" t="str">
        <f t="array" ref="C2497">INDIRECT("Tableau!$AE$40")</f>
        <v/>
      </c>
      <c r="D2497" s="400" t="str">
        <f t="shared" si="15"/>
        <v>OUT</v>
      </c>
      <c r="E2497" s="403" t="str">
        <f t="array" ref="E2497">INDIRECT("Tableau!$AF$40")</f>
        <v/>
      </c>
    </row>
    <row r="2498">
      <c r="A2498" s="402">
        <f t="array" ref="A2498">INDIRECT("Tableau!$A$41")</f>
        <v>216</v>
      </c>
      <c r="B2498" s="398" t="s">
        <v>475</v>
      </c>
      <c r="C2498" s="400" t="str">
        <f t="array" ref="C2498">INDIRECT("Tableau!$AE$41")</f>
        <v/>
      </c>
      <c r="D2498" s="400" t="str">
        <f t="shared" si="15"/>
        <v>OUT</v>
      </c>
      <c r="E2498" s="403" t="str">
        <f t="array" ref="E2498">INDIRECT("Tableau!$AF$41")</f>
        <v/>
      </c>
    </row>
    <row r="2499">
      <c r="A2499" s="402">
        <f t="array" ref="A2499">INDIRECT("Tableau!$A$42")</f>
        <v>227</v>
      </c>
      <c r="B2499" s="398" t="s">
        <v>475</v>
      </c>
      <c r="C2499" s="400" t="str">
        <f t="array" ref="C2499">INDIRECT("Tableau!$AE$42")</f>
        <v/>
      </c>
      <c r="D2499" s="400" t="str">
        <f t="shared" si="15"/>
        <v>OUT</v>
      </c>
      <c r="E2499" s="403" t="str">
        <f t="array" ref="E2499">INDIRECT("Tableau!$AF$42")</f>
        <v/>
      </c>
    </row>
    <row r="2500">
      <c r="A2500" s="402">
        <f t="array" ref="A2500">INDIRECT("Tableau!$A$43")</f>
        <v>217</v>
      </c>
      <c r="B2500" s="398" t="s">
        <v>475</v>
      </c>
      <c r="C2500" s="400" t="str">
        <f t="array" ref="C2500">INDIRECT("Tableau!$AE$43")</f>
        <v/>
      </c>
      <c r="D2500" s="400" t="str">
        <f t="shared" si="15"/>
        <v>OUT</v>
      </c>
      <c r="E2500" s="403" t="str">
        <f t="array" ref="E2500">INDIRECT("Tableau!$AF$43")</f>
        <v/>
      </c>
    </row>
    <row r="2501">
      <c r="A2501" s="402">
        <f t="array" ref="A2501">INDIRECT("Tableau!$A$44")</f>
        <v>218</v>
      </c>
      <c r="B2501" s="398" t="s">
        <v>475</v>
      </c>
      <c r="C2501" s="400" t="str">
        <f t="array" ref="C2501">INDIRECT("Tableau!$AE$44")</f>
        <v/>
      </c>
      <c r="D2501" s="400" t="str">
        <f t="shared" si="15"/>
        <v>OUT</v>
      </c>
      <c r="E2501" s="403" t="str">
        <f t="array" ref="E2501">INDIRECT("Tableau!$AF$44")</f>
        <v/>
      </c>
    </row>
    <row r="2502">
      <c r="A2502" s="397" t="str">
        <f t="array" ref="A2502">INDIRECT("Tableau!$A$45")</f>
        <v/>
      </c>
      <c r="B2502" s="398" t="s">
        <v>475</v>
      </c>
      <c r="C2502" s="400" t="str">
        <f t="array" ref="C2502">INDIRECT("Tableau!$AE$45")</f>
        <v/>
      </c>
      <c r="D2502" s="400" t="str">
        <f t="shared" si="15"/>
        <v>OUT</v>
      </c>
      <c r="E2502" s="403" t="str">
        <f t="array" ref="E2502">INDIRECT("Tableau!$AF$45")</f>
        <v/>
      </c>
    </row>
    <row r="2503">
      <c r="A2503" s="402">
        <f t="array" ref="A2503">INDIRECT("Tableau!$A$46")</f>
        <v>220</v>
      </c>
      <c r="B2503" s="398" t="s">
        <v>475</v>
      </c>
      <c r="C2503" s="400" t="str">
        <f t="array" ref="C2503">INDIRECT("Tableau!$AE$46")</f>
        <v/>
      </c>
      <c r="D2503" s="400" t="str">
        <f t="shared" si="15"/>
        <v>OUT</v>
      </c>
      <c r="E2503" s="403" t="str">
        <f t="array" ref="E2503">INDIRECT("Tableau!$AF$46")</f>
        <v/>
      </c>
    </row>
    <row r="2504">
      <c r="A2504" s="402">
        <f t="array" ref="A2504">INDIRECT("Tableau!$A$47")</f>
        <v>221</v>
      </c>
      <c r="B2504" s="398" t="s">
        <v>475</v>
      </c>
      <c r="C2504" s="400" t="str">
        <f t="array" ref="C2504">INDIRECT("Tableau!$AE$47")</f>
        <v/>
      </c>
      <c r="D2504" s="400" t="str">
        <f t="shared" si="15"/>
        <v>OUT</v>
      </c>
      <c r="E2504" s="403" t="str">
        <f t="array" ref="E2504">INDIRECT("Tableau!$AF$47")</f>
        <v/>
      </c>
    </row>
    <row r="2505">
      <c r="A2505" s="402">
        <f t="array" ref="A2505">INDIRECT("Tableau!$A$48")</f>
        <v>226</v>
      </c>
      <c r="B2505" s="398" t="s">
        <v>475</v>
      </c>
      <c r="C2505" s="400" t="str">
        <f t="array" ref="C2505">INDIRECT("Tableau!$AE$48")</f>
        <v/>
      </c>
      <c r="D2505" s="400" t="str">
        <f t="shared" si="15"/>
        <v>OUT</v>
      </c>
      <c r="E2505" s="403" t="str">
        <f t="array" ref="E2505">INDIRECT("Tableau!$AF$48")</f>
        <v/>
      </c>
    </row>
    <row r="2506">
      <c r="A2506" s="402">
        <f t="array" ref="A2506">INDIRECT("Tableau!$A$49")</f>
        <v>222</v>
      </c>
      <c r="B2506" s="398" t="s">
        <v>475</v>
      </c>
      <c r="C2506" s="400" t="str">
        <f t="array" ref="C2506">INDIRECT("Tableau!$AE$49")</f>
        <v/>
      </c>
      <c r="D2506" s="400" t="str">
        <f t="shared" si="15"/>
        <v>OUT</v>
      </c>
      <c r="E2506" s="403" t="str">
        <f t="array" ref="E2506">INDIRECT("Tableau!$AF$49")</f>
        <v/>
      </c>
    </row>
    <row r="2507">
      <c r="A2507" s="402">
        <f t="array" ref="A2507">INDIRECT("Tableau!$A$50")</f>
        <v>224</v>
      </c>
      <c r="B2507" s="398" t="s">
        <v>475</v>
      </c>
      <c r="C2507" s="400" t="str">
        <f t="array" ref="C2507">INDIRECT("Tableau!$AE$50")</f>
        <v/>
      </c>
      <c r="D2507" s="400" t="str">
        <f t="shared" si="15"/>
        <v>OUT</v>
      </c>
      <c r="E2507" s="403" t="str">
        <f t="array" ref="E2507">INDIRECT("Tableau!$AF$50")</f>
        <v/>
      </c>
    </row>
    <row r="2508">
      <c r="A2508" s="397">
        <f t="array" ref="A2508">INDIRECT("Tableau!$A$51")</f>
        <v>223</v>
      </c>
      <c r="B2508" s="398" t="s">
        <v>475</v>
      </c>
      <c r="C2508" s="400" t="str">
        <f t="array" ref="C2508">INDIRECT("Tableau!$AE$51")</f>
        <v/>
      </c>
      <c r="D2508" s="400" t="str">
        <f t="shared" si="15"/>
        <v>OUT</v>
      </c>
      <c r="E2508" s="403" t="str">
        <f t="array" ref="E2508">INDIRECT("Tableau!$AF$51")</f>
        <v/>
      </c>
    </row>
    <row r="2509">
      <c r="A2509" s="402">
        <f t="array" ref="A2509">INDIRECT("Tableau!$A$52")</f>
        <v>225</v>
      </c>
      <c r="B2509" s="398" t="s">
        <v>475</v>
      </c>
      <c r="C2509" s="400" t="str">
        <f t="array" ref="C2509">INDIRECT("Tableau!$AE$52")</f>
        <v/>
      </c>
      <c r="D2509" s="400" t="str">
        <f t="shared" si="15"/>
        <v>OUT</v>
      </c>
      <c r="E2509" s="403" t="str">
        <f t="array" ref="E2509">INDIRECT("Tableau!$AF$52")</f>
        <v/>
      </c>
    </row>
    <row r="2510">
      <c r="A2510" s="402">
        <f t="array" ref="A2510">INDIRECT("Tableau!$A$53")</f>
        <v>230</v>
      </c>
      <c r="B2510" s="398" t="s">
        <v>475</v>
      </c>
      <c r="C2510" s="400" t="str">
        <f t="array" ref="C2510">INDIRECT("Tableau!$AE$53")</f>
        <v/>
      </c>
      <c r="D2510" s="400" t="str">
        <f t="shared" si="15"/>
        <v>OUT</v>
      </c>
      <c r="E2510" s="403" t="str">
        <f t="array" ref="E2510">INDIRECT("Tableau!$AF$53")</f>
        <v/>
      </c>
    </row>
    <row r="2511">
      <c r="A2511" s="397">
        <f t="array" ref="A2511">INDIRECT("Tableau!$A$54")</f>
        <v>231</v>
      </c>
      <c r="B2511" s="398" t="s">
        <v>475</v>
      </c>
      <c r="C2511" s="400" t="str">
        <f t="array" ref="C2511">INDIRECT("Tableau!$AE$54")</f>
        <v/>
      </c>
      <c r="D2511" s="400" t="str">
        <f t="shared" si="15"/>
        <v>OUT</v>
      </c>
      <c r="E2511" s="403" t="str">
        <f t="array" ref="E2511">INDIRECT("Tableau!$AF$54")</f>
        <v/>
      </c>
    </row>
    <row r="2512">
      <c r="A2512" s="397" t="str">
        <f t="array" ref="A2512">INDIRECT("Tableau!$A$55")</f>
        <v/>
      </c>
      <c r="B2512" s="398" t="s">
        <v>475</v>
      </c>
      <c r="C2512" s="400" t="str">
        <f t="array" ref="C2512">INDIRECT("Tableau!$AE$55")</f>
        <v/>
      </c>
      <c r="D2512" s="400" t="str">
        <f t="shared" si="15"/>
        <v>OUT</v>
      </c>
      <c r="E2512" s="403" t="str">
        <f t="array" ref="E2512">INDIRECT("Tableau!$AF$55")</f>
        <v/>
      </c>
    </row>
    <row r="2513">
      <c r="A2513" s="397" t="str">
        <f t="array" ref="A2513">INDIRECT("Tableau!$A$56")</f>
        <v/>
      </c>
      <c r="B2513" s="398" t="s">
        <v>475</v>
      </c>
      <c r="C2513" s="400" t="str">
        <f t="array" ref="C2513">INDIRECT("Tableau!$AE$56")</f>
        <v/>
      </c>
      <c r="D2513" s="400" t="str">
        <f t="shared" si="15"/>
        <v>OUT</v>
      </c>
      <c r="E2513" s="403" t="str">
        <f t="array" ref="E2513">INDIRECT("Tableau!$AF$56")</f>
        <v/>
      </c>
    </row>
    <row r="2514">
      <c r="A2514" s="397" t="str">
        <f t="array" ref="A2514">INDIRECT("Tableau!$A$57")</f>
        <v/>
      </c>
      <c r="B2514" s="398" t="s">
        <v>475</v>
      </c>
      <c r="C2514" s="400" t="str">
        <f t="array" ref="C2514">INDIRECT("Tableau!$AE$57")</f>
        <v/>
      </c>
      <c r="D2514" s="400" t="str">
        <f t="shared" si="15"/>
        <v>OUT</v>
      </c>
      <c r="E2514" s="403" t="str">
        <f t="array" ref="E2514">INDIRECT("Tableau!$AF$57")</f>
        <v/>
      </c>
    </row>
    <row r="2515">
      <c r="A2515" s="397" t="str">
        <f t="array" ref="A2515">INDIRECT("Tableau!$A$58")</f>
        <v/>
      </c>
      <c r="B2515" s="398" t="s">
        <v>475</v>
      </c>
      <c r="C2515" s="400" t="str">
        <f t="array" ref="C2515">INDIRECT("Tableau!$AE$58")</f>
        <v/>
      </c>
      <c r="D2515" s="400" t="str">
        <f t="shared" si="15"/>
        <v>OUT</v>
      </c>
      <c r="E2515" s="403" t="str">
        <f t="array" ref="E2515">INDIRECT("Tableau!$AF$58")</f>
        <v/>
      </c>
    </row>
    <row r="2516">
      <c r="A2516" s="397" t="str">
        <f t="array" ref="A2516">INDIRECT("Tableau!$A$59")</f>
        <v/>
      </c>
      <c r="B2516" s="398" t="s">
        <v>475</v>
      </c>
      <c r="C2516" s="400" t="str">
        <f t="array" ref="C2516">INDIRECT("Tableau!$AE$59")</f>
        <v/>
      </c>
      <c r="D2516" s="400" t="str">
        <f t="shared" si="15"/>
        <v>OUT</v>
      </c>
      <c r="E2516" s="403" t="str">
        <f t="array" ref="E2516">INDIRECT("Tableau!$AF$59")</f>
        <v/>
      </c>
    </row>
    <row r="2517">
      <c r="A2517" s="397" t="str">
        <f t="array" ref="A2517">INDIRECT("Tableau!$A$60")</f>
        <v/>
      </c>
      <c r="B2517" s="398" t="s">
        <v>475</v>
      </c>
      <c r="C2517" s="400" t="str">
        <f t="array" ref="C2517">INDIRECT("Tableau!$AE$60")</f>
        <v/>
      </c>
      <c r="D2517" s="400" t="str">
        <f t="shared" si="15"/>
        <v>OUT</v>
      </c>
      <c r="E2517" s="403" t="str">
        <f t="array" ref="E2517">INDIRECT("Tableau!$AF$60")</f>
        <v/>
      </c>
    </row>
    <row r="2518">
      <c r="A2518" s="397" t="str">
        <f t="array" ref="A2518">INDIRECT("Tableau!$A$61")</f>
        <v/>
      </c>
      <c r="B2518" s="398" t="s">
        <v>475</v>
      </c>
      <c r="C2518" s="400" t="str">
        <f t="array" ref="C2518">INDIRECT("Tableau!$AE$61")</f>
        <v/>
      </c>
      <c r="D2518" s="400" t="str">
        <f t="shared" si="15"/>
        <v>OUT</v>
      </c>
      <c r="E2518" s="403" t="str">
        <f t="array" ref="E2518">INDIRECT("Tableau!$AF$61")</f>
        <v/>
      </c>
    </row>
    <row r="2519">
      <c r="A2519" s="397" t="str">
        <f t="array" ref="A2519">INDIRECT("Tableau!$A$62")</f>
        <v/>
      </c>
      <c r="B2519" s="398" t="s">
        <v>475</v>
      </c>
      <c r="C2519" s="400" t="str">
        <f t="array" ref="C2519">INDIRECT("Tableau!$AE$62")</f>
        <v/>
      </c>
      <c r="D2519" s="400" t="str">
        <f t="shared" si="15"/>
        <v>OUT</v>
      </c>
      <c r="E2519" s="403" t="str">
        <f t="array" ref="E2519">INDIRECT("Tableau!$AF$62")</f>
        <v/>
      </c>
    </row>
    <row r="2520">
      <c r="A2520" s="397" t="str">
        <f t="array" ref="A2520">INDIRECT("Tableau!$A$63")</f>
        <v/>
      </c>
      <c r="B2520" s="398" t="s">
        <v>475</v>
      </c>
      <c r="C2520" s="400" t="str">
        <f t="array" ref="C2520">INDIRECT("Tableau!$AE$63")</f>
        <v/>
      </c>
      <c r="D2520" s="400" t="str">
        <f t="shared" si="15"/>
        <v>OUT</v>
      </c>
      <c r="E2520" s="403" t="str">
        <f t="array" ref="E2520">INDIRECT("Tableau!$AF$63")</f>
        <v/>
      </c>
    </row>
    <row r="2521">
      <c r="A2521" s="397" t="str">
        <f t="array" ref="A2521">INDIRECT("Tableau!$A$64")</f>
        <v/>
      </c>
      <c r="B2521" s="398" t="s">
        <v>475</v>
      </c>
      <c r="C2521" s="400" t="str">
        <f t="array" ref="C2521">INDIRECT("Tableau!$AE$64")</f>
        <v/>
      </c>
      <c r="D2521" s="400" t="str">
        <f t="shared" si="15"/>
        <v>OUT</v>
      </c>
      <c r="E2521" s="403" t="str">
        <f t="array" ref="E2521">INDIRECT("Tableau!$AF$64")</f>
        <v/>
      </c>
    </row>
    <row r="2522">
      <c r="A2522" s="402">
        <f t="array" ref="A2522">INDIRECT("Tableau!$A$65")</f>
        <v>301</v>
      </c>
      <c r="B2522" s="398" t="s">
        <v>475</v>
      </c>
      <c r="C2522" s="400" t="str">
        <f t="array" ref="C2522">INDIRECT("Tableau!$AE$65")</f>
        <v/>
      </c>
      <c r="D2522" s="400" t="str">
        <f t="shared" si="15"/>
        <v>OUT</v>
      </c>
      <c r="E2522" s="403" t="str">
        <f t="array" ref="E2522">INDIRECT("Tableau!$AF$65")</f>
        <v/>
      </c>
    </row>
    <row r="2523">
      <c r="A2523" s="397" t="str">
        <f t="array" ref="A2523">INDIRECT("Tableau!$A$66")</f>
        <v/>
      </c>
      <c r="B2523" s="398" t="s">
        <v>475</v>
      </c>
      <c r="C2523" s="400" t="str">
        <f t="array" ref="C2523">INDIRECT("Tableau!$AE$66")</f>
        <v/>
      </c>
      <c r="D2523" s="400" t="str">
        <f t="shared" si="15"/>
        <v>OUT</v>
      </c>
      <c r="E2523" s="403" t="str">
        <f t="array" ref="E2523">INDIRECT("Tableau!$AF$66")</f>
        <v/>
      </c>
    </row>
    <row r="2524">
      <c r="A2524" s="402">
        <f t="array" ref="A2524">INDIRECT("Tableau!$A$67")</f>
        <v>303</v>
      </c>
      <c r="B2524" s="398" t="s">
        <v>475</v>
      </c>
      <c r="C2524" s="400" t="str">
        <f t="array" ref="C2524">INDIRECT("Tableau!$AE$67")</f>
        <v/>
      </c>
      <c r="D2524" s="400" t="str">
        <f t="shared" si="15"/>
        <v>OUT</v>
      </c>
      <c r="E2524" s="403" t="str">
        <f t="array" ref="E2524">INDIRECT("Tableau!$AF$67")</f>
        <v/>
      </c>
    </row>
    <row r="2525">
      <c r="A2525" s="402">
        <f t="array" ref="A2525">INDIRECT("Tableau!$A$68")</f>
        <v>304</v>
      </c>
      <c r="B2525" s="398" t="s">
        <v>475</v>
      </c>
      <c r="C2525" s="400" t="str">
        <f t="array" ref="C2525">INDIRECT("Tableau!$AE$68")</f>
        <v/>
      </c>
      <c r="D2525" s="400" t="str">
        <f t="shared" si="15"/>
        <v>OUT</v>
      </c>
      <c r="E2525" s="403" t="str">
        <f t="array" ref="E2525">INDIRECT("Tableau!$AF$68")</f>
        <v/>
      </c>
    </row>
    <row r="2526">
      <c r="A2526" s="402">
        <f t="array" ref="A2526">INDIRECT("Tableau!$A$69")</f>
        <v>305</v>
      </c>
      <c r="B2526" s="398" t="s">
        <v>475</v>
      </c>
      <c r="C2526" s="400" t="str">
        <f t="array" ref="C2526">INDIRECT("Tableau!$AE$69")</f>
        <v/>
      </c>
      <c r="D2526" s="400" t="str">
        <f t="shared" si="15"/>
        <v>OUT</v>
      </c>
      <c r="E2526" s="403" t="str">
        <f t="array" ref="E2526">INDIRECT("Tableau!$AF$69")</f>
        <v/>
      </c>
    </row>
    <row r="2527">
      <c r="A2527" s="402">
        <f t="array" ref="A2527">INDIRECT("Tableau!$A$70")</f>
        <v>306</v>
      </c>
      <c r="B2527" s="398" t="s">
        <v>475</v>
      </c>
      <c r="C2527" s="400" t="str">
        <f t="array" ref="C2527">INDIRECT("Tableau!$AE$70")</f>
        <v/>
      </c>
      <c r="D2527" s="400" t="str">
        <f t="shared" si="15"/>
        <v>OUT</v>
      </c>
      <c r="E2527" s="403" t="str">
        <f t="array" ref="E2527">INDIRECT("Tableau!$AF$70")</f>
        <v/>
      </c>
    </row>
    <row r="2528">
      <c r="A2528" s="402">
        <f t="array" ref="A2528">INDIRECT("Tableau!$A$71")</f>
        <v>307</v>
      </c>
      <c r="B2528" s="398" t="s">
        <v>475</v>
      </c>
      <c r="C2528" s="400" t="str">
        <f t="array" ref="C2528">INDIRECT("Tableau!$AE$71")</f>
        <v>DPS</v>
      </c>
      <c r="D2528" s="400" t="str">
        <f t="shared" si="15"/>
        <v>OUT</v>
      </c>
      <c r="E2528" s="403" t="str">
        <f t="array" ref="E2528">INDIRECT("Tableau!$AF$71")</f>
        <v/>
      </c>
    </row>
    <row r="2529">
      <c r="A2529" s="397">
        <f t="array" ref="A2529">INDIRECT("Tableau!$A$72")</f>
        <v>367</v>
      </c>
      <c r="B2529" s="398" t="s">
        <v>475</v>
      </c>
      <c r="C2529" s="400" t="str">
        <f t="array" ref="C2529">INDIRECT("Tableau!$AE$72")</f>
        <v/>
      </c>
      <c r="D2529" s="400" t="str">
        <f t="shared" si="15"/>
        <v>OUT</v>
      </c>
      <c r="E2529" s="403" t="str">
        <f t="array" ref="E2529">INDIRECT("Tableau!$AF$72")</f>
        <v/>
      </c>
    </row>
    <row r="2530">
      <c r="A2530" s="402">
        <f t="array" ref="A2530">INDIRECT("Tableau!$A$73")</f>
        <v>308</v>
      </c>
      <c r="B2530" s="398" t="s">
        <v>475</v>
      </c>
      <c r="C2530" s="400" t="str">
        <f t="array" ref="C2530">INDIRECT("Tableau!$AE$73")</f>
        <v/>
      </c>
      <c r="D2530" s="400" t="str">
        <f t="shared" si="15"/>
        <v>OUT</v>
      </c>
      <c r="E2530" s="403" t="str">
        <f t="array" ref="E2530">INDIRECT("Tableau!$AF$73")</f>
        <v/>
      </c>
    </row>
    <row r="2531">
      <c r="A2531" s="397">
        <f t="array" ref="A2531">INDIRECT("Tableau!$A$74")</f>
        <v>319</v>
      </c>
      <c r="B2531" s="398" t="s">
        <v>475</v>
      </c>
      <c r="C2531" s="400" t="str">
        <f t="array" ref="C2531">INDIRECT("Tableau!$AE$74")</f>
        <v/>
      </c>
      <c r="D2531" s="400" t="str">
        <f t="shared" si="15"/>
        <v>OUT</v>
      </c>
      <c r="E2531" s="403" t="str">
        <f t="array" ref="E2531">INDIRECT("Tableau!$AF$74")</f>
        <v/>
      </c>
    </row>
    <row r="2532">
      <c r="A2532" s="402">
        <f t="array" ref="A2532">INDIRECT("Tableau!$A$75")</f>
        <v>309</v>
      </c>
      <c r="B2532" s="398" t="s">
        <v>475</v>
      </c>
      <c r="C2532" s="400" t="str">
        <f t="array" ref="C2532">INDIRECT("Tableau!$AE$75")</f>
        <v/>
      </c>
      <c r="D2532" s="400" t="str">
        <f t="shared" si="15"/>
        <v>OUT</v>
      </c>
      <c r="E2532" s="403" t="str">
        <f t="array" ref="E2532">INDIRECT("Tableau!$AF$75")</f>
        <v/>
      </c>
    </row>
    <row r="2533">
      <c r="A2533" s="402">
        <f t="array" ref="A2533">INDIRECT("Tableau!$A$76")</f>
        <v>310</v>
      </c>
      <c r="B2533" s="398" t="s">
        <v>475</v>
      </c>
      <c r="C2533" s="400" t="str">
        <f t="array" ref="C2533">INDIRECT("Tableau!$AE$76")</f>
        <v/>
      </c>
      <c r="D2533" s="400" t="str">
        <f t="shared" si="15"/>
        <v>OUT</v>
      </c>
      <c r="E2533" s="403" t="str">
        <f t="array" ref="E2533">INDIRECT("Tableau!$AF$76")</f>
        <v/>
      </c>
    </row>
    <row r="2534">
      <c r="A2534" s="402">
        <f t="array" ref="A2534">INDIRECT("Tableau!$A$77")</f>
        <v>311</v>
      </c>
      <c r="B2534" s="398" t="s">
        <v>475</v>
      </c>
      <c r="C2534" s="400" t="str">
        <f t="array" ref="C2534">INDIRECT("Tableau!$AE$77")</f>
        <v/>
      </c>
      <c r="D2534" s="400" t="str">
        <f t="shared" si="15"/>
        <v>OUT</v>
      </c>
      <c r="E2534" s="403" t="str">
        <f t="array" ref="E2534">INDIRECT("Tableau!$AF$77")</f>
        <v/>
      </c>
    </row>
    <row r="2535">
      <c r="A2535" s="402">
        <f t="array" ref="A2535">INDIRECT("Tableau!$A$78")</f>
        <v>312</v>
      </c>
      <c r="B2535" s="398" t="s">
        <v>475</v>
      </c>
      <c r="C2535" s="400" t="str">
        <f t="array" ref="C2535">INDIRECT("Tableau!$AE$78")</f>
        <v/>
      </c>
      <c r="D2535" s="400" t="str">
        <f t="shared" si="15"/>
        <v>OUT</v>
      </c>
      <c r="E2535" s="403" t="str">
        <f t="array" ref="E2535">INDIRECT("Tableau!$AF$78")</f>
        <v/>
      </c>
    </row>
    <row r="2536">
      <c r="A2536" s="402">
        <f t="array" ref="A2536">INDIRECT("Tableau!$A$79")</f>
        <v>313</v>
      </c>
      <c r="B2536" s="398" t="s">
        <v>475</v>
      </c>
      <c r="C2536" s="400" t="str">
        <f t="array" ref="C2536">INDIRECT("Tableau!$AE$79")</f>
        <v/>
      </c>
      <c r="D2536" s="400" t="str">
        <f t="shared" si="15"/>
        <v>OUT</v>
      </c>
      <c r="E2536" s="403" t="str">
        <f t="array" ref="E2536">INDIRECT("Tableau!$AF$79")</f>
        <v/>
      </c>
    </row>
    <row r="2537">
      <c r="A2537" s="402">
        <f t="array" ref="A2537">INDIRECT("Tableau!$A$80")</f>
        <v>314</v>
      </c>
      <c r="B2537" s="398" t="s">
        <v>475</v>
      </c>
      <c r="C2537" s="400" t="str">
        <f t="array" ref="C2537">INDIRECT("Tableau!$AE$80")</f>
        <v/>
      </c>
      <c r="D2537" s="400" t="str">
        <f t="shared" si="15"/>
        <v>OUT</v>
      </c>
      <c r="E2537" s="403" t="str">
        <f t="array" ref="E2537">INDIRECT("Tableau!$AF$80")</f>
        <v/>
      </c>
    </row>
    <row r="2538">
      <c r="A2538" s="402">
        <f t="array" ref="A2538">INDIRECT("Tableau!$A$81")</f>
        <v>315</v>
      </c>
      <c r="B2538" s="398" t="s">
        <v>475</v>
      </c>
      <c r="C2538" s="400" t="str">
        <f t="array" ref="C2538">INDIRECT("Tableau!$AE$81")</f>
        <v/>
      </c>
      <c r="D2538" s="400" t="str">
        <f t="shared" si="15"/>
        <v>OUT</v>
      </c>
      <c r="E2538" s="403" t="str">
        <f t="array" ref="E2538">INDIRECT("Tableau!$AF$81")</f>
        <v/>
      </c>
    </row>
    <row r="2539">
      <c r="A2539" s="402">
        <f t="array" ref="A2539">INDIRECT("Tableau!$A$82")</f>
        <v>316</v>
      </c>
      <c r="B2539" s="398" t="s">
        <v>475</v>
      </c>
      <c r="C2539" s="400" t="str">
        <f t="array" ref="C2539">INDIRECT("Tableau!$AE$82")</f>
        <v/>
      </c>
      <c r="D2539" s="400" t="str">
        <f t="shared" si="15"/>
        <v>OUT</v>
      </c>
      <c r="E2539" s="403" t="str">
        <f t="array" ref="E2539">INDIRECT("Tableau!$AF$82")</f>
        <v/>
      </c>
    </row>
    <row r="2540">
      <c r="A2540" s="402">
        <f t="array" ref="A2540">INDIRECT("Tableau!$A$83")</f>
        <v>317</v>
      </c>
      <c r="B2540" s="398" t="s">
        <v>475</v>
      </c>
      <c r="C2540" s="400" t="str">
        <f t="array" ref="C2540">INDIRECT("Tableau!$AE$83")</f>
        <v/>
      </c>
      <c r="D2540" s="400" t="str">
        <f t="shared" si="15"/>
        <v>OUT</v>
      </c>
      <c r="E2540" s="403" t="str">
        <f t="array" ref="E2540">INDIRECT("Tableau!$AF$83")</f>
        <v/>
      </c>
    </row>
    <row r="2541">
      <c r="A2541" s="402">
        <f t="array" ref="A2541">INDIRECT("Tableau!$A$84")</f>
        <v>318</v>
      </c>
      <c r="B2541" s="398" t="s">
        <v>475</v>
      </c>
      <c r="C2541" s="400" t="str">
        <f t="array" ref="C2541">INDIRECT("Tableau!$AE$84")</f>
        <v/>
      </c>
      <c r="D2541" s="400" t="str">
        <f t="shared" si="15"/>
        <v>OUT</v>
      </c>
      <c r="E2541" s="403" t="str">
        <f t="array" ref="E2541">INDIRECT("Tableau!$AF$84")</f>
        <v/>
      </c>
    </row>
    <row r="2542">
      <c r="A2542" s="402">
        <f t="array" ref="A2542">INDIRECT("Tableau!$A$85")</f>
        <v>320</v>
      </c>
      <c r="B2542" s="398" t="s">
        <v>475</v>
      </c>
      <c r="C2542" s="400" t="str">
        <f t="array" ref="C2542">INDIRECT("Tableau!$AE$85")</f>
        <v/>
      </c>
      <c r="D2542" s="400" t="str">
        <f t="shared" si="15"/>
        <v>OUT</v>
      </c>
      <c r="E2542" s="403" t="str">
        <f t="array" ref="E2542">INDIRECT("Tableau!$AF$85")</f>
        <v/>
      </c>
    </row>
    <row r="2543">
      <c r="A2543" s="402">
        <f t="array" ref="A2543">INDIRECT("Tableau!$A$86")</f>
        <v>321</v>
      </c>
      <c r="B2543" s="398" t="s">
        <v>475</v>
      </c>
      <c r="C2543" s="400" t="str">
        <f t="array" ref="C2543">INDIRECT("Tableau!$AE$86")</f>
        <v/>
      </c>
      <c r="D2543" s="400" t="str">
        <f t="shared" si="15"/>
        <v>OUT</v>
      </c>
      <c r="E2543" s="403" t="str">
        <f t="array" ref="E2543">INDIRECT("Tableau!$AF$86")</f>
        <v/>
      </c>
    </row>
    <row r="2544">
      <c r="A2544" s="397" t="str">
        <f t="array" ref="A2544">INDIRECT("Tableau!$A$87")</f>
        <v/>
      </c>
      <c r="B2544" s="398" t="s">
        <v>475</v>
      </c>
      <c r="C2544" s="400" t="str">
        <f t="array" ref="C2544">INDIRECT("Tableau!$AE$87")</f>
        <v/>
      </c>
      <c r="D2544" s="400" t="str">
        <f t="shared" si="15"/>
        <v>OUT</v>
      </c>
      <c r="E2544" s="403" t="str">
        <f t="array" ref="E2544">INDIRECT("Tableau!$AF$87")</f>
        <v/>
      </c>
    </row>
    <row r="2545">
      <c r="A2545" s="402">
        <f t="array" ref="A2545">INDIRECT("Tableau!$A$88")</f>
        <v>323</v>
      </c>
      <c r="B2545" s="398" t="s">
        <v>475</v>
      </c>
      <c r="C2545" s="400" t="str">
        <f t="array" ref="C2545">INDIRECT("Tableau!$AE$88")</f>
        <v/>
      </c>
      <c r="D2545" s="400" t="str">
        <f t="shared" si="15"/>
        <v>OUT</v>
      </c>
      <c r="E2545" s="403" t="str">
        <f t="array" ref="E2545">INDIRECT("Tableau!$AF$88")</f>
        <v/>
      </c>
    </row>
    <row r="2546">
      <c r="A2546" s="402">
        <f t="array" ref="A2546">INDIRECT("Tableau!$A$89")</f>
        <v>324</v>
      </c>
      <c r="B2546" s="398" t="s">
        <v>475</v>
      </c>
      <c r="C2546" s="400" t="str">
        <f t="array" ref="C2546">INDIRECT("Tableau!$AE$89")</f>
        <v/>
      </c>
      <c r="D2546" s="400" t="str">
        <f t="shared" si="15"/>
        <v>OUT</v>
      </c>
      <c r="E2546" s="403" t="str">
        <f t="array" ref="E2546">INDIRECT("Tableau!$AF$89")</f>
        <v/>
      </c>
    </row>
    <row r="2547">
      <c r="A2547" s="402">
        <f t="array" ref="A2547">INDIRECT("Tableau!$A$90")</f>
        <v>325</v>
      </c>
      <c r="B2547" s="398" t="s">
        <v>475</v>
      </c>
      <c r="C2547" s="400" t="str">
        <f t="array" ref="C2547">INDIRECT("Tableau!$AE$90")</f>
        <v>DEMA</v>
      </c>
      <c r="D2547" s="400" t="str">
        <f t="shared" si="15"/>
        <v>OUT</v>
      </c>
      <c r="E2547" s="403" t="str">
        <f t="array" ref="E2547">INDIRECT("Tableau!$AF$90")</f>
        <v/>
      </c>
    </row>
    <row r="2548">
      <c r="A2548" s="402">
        <f t="array" ref="A2548">INDIRECT("Tableau!$A$91")</f>
        <v>326</v>
      </c>
      <c r="B2548" s="398" t="s">
        <v>475</v>
      </c>
      <c r="C2548" s="400" t="str">
        <f t="array" ref="C2548">INDIRECT("Tableau!$AE$91")</f>
        <v/>
      </c>
      <c r="D2548" s="400" t="str">
        <f t="shared" si="15"/>
        <v>OUT</v>
      </c>
      <c r="E2548" s="403" t="str">
        <f t="array" ref="E2548">INDIRECT("Tableau!$AF$91")</f>
        <v/>
      </c>
    </row>
    <row r="2549">
      <c r="A2549" s="402">
        <f t="array" ref="A2549">INDIRECT("Tableau!$A$92")</f>
        <v>327</v>
      </c>
      <c r="B2549" s="398" t="s">
        <v>475</v>
      </c>
      <c r="C2549" s="400" t="str">
        <f t="array" ref="C2549">INDIRECT("Tableau!$AE$92")</f>
        <v/>
      </c>
      <c r="D2549" s="400" t="str">
        <f t="shared" si="15"/>
        <v>OUT</v>
      </c>
      <c r="E2549" s="403" t="str">
        <f t="array" ref="E2549">INDIRECT("Tableau!$AF$92")</f>
        <v/>
      </c>
    </row>
    <row r="2550">
      <c r="A2550" s="402">
        <f t="array" ref="A2550">INDIRECT("Tableau!$A$93")</f>
        <v>328</v>
      </c>
      <c r="B2550" s="398" t="s">
        <v>475</v>
      </c>
      <c r="C2550" s="400" t="str">
        <f t="array" ref="C2550">INDIRECT("Tableau!$AE$93")</f>
        <v/>
      </c>
      <c r="D2550" s="400" t="str">
        <f t="shared" si="15"/>
        <v>OUT</v>
      </c>
      <c r="E2550" s="403" t="str">
        <f t="array" ref="E2550">INDIRECT("Tableau!$AF$93")</f>
        <v/>
      </c>
    </row>
    <row r="2551">
      <c r="A2551" s="402">
        <f t="array" ref="A2551">INDIRECT("Tableau!$A$94")</f>
        <v>329</v>
      </c>
      <c r="B2551" s="398" t="s">
        <v>475</v>
      </c>
      <c r="C2551" s="400" t="str">
        <f t="array" ref="C2551">INDIRECT("Tableau!$AE$94")</f>
        <v>DEMA</v>
      </c>
      <c r="D2551" s="400" t="str">
        <f t="shared" si="15"/>
        <v>OUT</v>
      </c>
      <c r="E2551" s="403" t="str">
        <f t="array" ref="E2551">INDIRECT("Tableau!$AF$94")</f>
        <v/>
      </c>
    </row>
    <row r="2552">
      <c r="A2552" s="402">
        <f t="array" ref="A2552">INDIRECT("Tableau!$A$95")</f>
        <v>330</v>
      </c>
      <c r="B2552" s="398" t="s">
        <v>475</v>
      </c>
      <c r="C2552" s="400" t="str">
        <f t="array" ref="C2552">INDIRECT("Tableau!$AE$95")</f>
        <v>DEMA</v>
      </c>
      <c r="D2552" s="400" t="str">
        <f t="shared" si="15"/>
        <v>OUT</v>
      </c>
      <c r="E2552" s="403" t="str">
        <f t="array" ref="E2552">INDIRECT("Tableau!$AF$95")</f>
        <v/>
      </c>
    </row>
    <row r="2553">
      <c r="A2553" s="402">
        <f t="array" ref="A2553">INDIRECT("Tableau!$A$96")</f>
        <v>331</v>
      </c>
      <c r="B2553" s="398" t="s">
        <v>475</v>
      </c>
      <c r="C2553" s="400" t="str">
        <f t="array" ref="C2553">INDIRECT("Tableau!$AE$96")</f>
        <v/>
      </c>
      <c r="D2553" s="400" t="str">
        <f t="shared" si="15"/>
        <v>OUT</v>
      </c>
      <c r="E2553" s="403" t="str">
        <f t="array" ref="E2553">INDIRECT("Tableau!$AF$96")</f>
        <v/>
      </c>
    </row>
    <row r="2554">
      <c r="A2554" s="402">
        <f t="array" ref="A2554">INDIRECT("Tableau!$A$97")</f>
        <v>332</v>
      </c>
      <c r="B2554" s="398" t="s">
        <v>475</v>
      </c>
      <c r="C2554" s="400" t="str">
        <f t="array" ref="C2554">INDIRECT("Tableau!$AE$97")</f>
        <v/>
      </c>
      <c r="D2554" s="400" t="str">
        <f t="shared" si="15"/>
        <v>OUT</v>
      </c>
      <c r="E2554" s="403" t="str">
        <f t="array" ref="E2554">INDIRECT("Tableau!$AF$97")</f>
        <v/>
      </c>
    </row>
    <row r="2555">
      <c r="A2555" s="402">
        <f t="array" ref="A2555">INDIRECT("Tableau!$A$98")</f>
        <v>333</v>
      </c>
      <c r="B2555" s="398" t="s">
        <v>475</v>
      </c>
      <c r="C2555" s="400" t="str">
        <f t="array" ref="C2555">INDIRECT("Tableau!$AE$98")</f>
        <v>DEMA</v>
      </c>
      <c r="D2555" s="400" t="str">
        <f t="shared" si="15"/>
        <v>OUT</v>
      </c>
      <c r="E2555" s="403" t="str">
        <f t="array" ref="E2555">INDIRECT("Tableau!$AF$98")</f>
        <v/>
      </c>
    </row>
    <row r="2556">
      <c r="A2556" s="402">
        <f t="array" ref="A2556">INDIRECT("Tableau!$A$99")</f>
        <v>334</v>
      </c>
      <c r="B2556" s="398" t="s">
        <v>475</v>
      </c>
      <c r="C2556" s="400" t="str">
        <f t="array" ref="C2556">INDIRECT("Tableau!$AE$99")</f>
        <v>Bloqué</v>
      </c>
      <c r="D2556" s="400" t="str">
        <f t="shared" si="15"/>
        <v>OUT</v>
      </c>
      <c r="E2556" s="403" t="str">
        <f t="array" ref="E2556">INDIRECT("Tableau!$AF$99")</f>
        <v/>
      </c>
    </row>
    <row r="2557">
      <c r="A2557" s="402">
        <f t="array" ref="A2557">INDIRECT("Tableau!$A$100")</f>
        <v>335</v>
      </c>
      <c r="B2557" s="398" t="s">
        <v>475</v>
      </c>
      <c r="C2557" s="400" t="str">
        <f t="array" ref="C2557">INDIRECT("Tableau!$AE$100")</f>
        <v/>
      </c>
      <c r="D2557" s="400" t="str">
        <f t="shared" si="15"/>
        <v>OUT</v>
      </c>
      <c r="E2557" s="403" t="str">
        <f t="array" ref="E2557">INDIRECT("Tableau!$AF$100")</f>
        <v/>
      </c>
    </row>
    <row r="2558">
      <c r="A2558" s="402">
        <f t="array" ref="A2558">INDIRECT("Tableau!$A$101")</f>
        <v>336</v>
      </c>
      <c r="B2558" s="398" t="s">
        <v>475</v>
      </c>
      <c r="C2558" s="400" t="str">
        <f t="array" ref="C2558">INDIRECT("Tableau!$AE$101")</f>
        <v/>
      </c>
      <c r="D2558" s="400" t="str">
        <f t="shared" si="15"/>
        <v>OUT</v>
      </c>
      <c r="E2558" s="403" t="str">
        <f t="array" ref="E2558">INDIRECT("Tableau!$AF$101")</f>
        <v/>
      </c>
    </row>
    <row r="2559">
      <c r="A2559" s="402">
        <f t="array" ref="A2559">INDIRECT("Tableau!$A$102")</f>
        <v>337</v>
      </c>
      <c r="B2559" s="398" t="s">
        <v>475</v>
      </c>
      <c r="C2559" s="400" t="str">
        <f t="array" ref="C2559">INDIRECT("Tableau!$AE$102")</f>
        <v/>
      </c>
      <c r="D2559" s="400" t="str">
        <f t="shared" si="15"/>
        <v>OUT</v>
      </c>
      <c r="E2559" s="403" t="str">
        <f t="array" ref="E2559">INDIRECT("Tableau!$AF$102")</f>
        <v/>
      </c>
    </row>
    <row r="2560">
      <c r="A2560" s="402">
        <f t="array" ref="A2560">INDIRECT("Tableau!$A$103")</f>
        <v>338</v>
      </c>
      <c r="B2560" s="398" t="s">
        <v>475</v>
      </c>
      <c r="C2560" s="400" t="str">
        <f t="array" ref="C2560">INDIRECT("Tableau!$AE$103")</f>
        <v/>
      </c>
      <c r="D2560" s="400" t="str">
        <f t="shared" si="15"/>
        <v>OUT</v>
      </c>
      <c r="E2560" s="403" t="str">
        <f t="array" ref="E2560">INDIRECT("Tableau!$AF$103")</f>
        <v/>
      </c>
    </row>
    <row r="2561">
      <c r="A2561" s="402">
        <f t="array" ref="A2561">INDIRECT("Tableau!$A$104")</f>
        <v>339</v>
      </c>
      <c r="B2561" s="398" t="s">
        <v>475</v>
      </c>
      <c r="C2561" s="400" t="str">
        <f t="array" ref="C2561">INDIRECT("Tableau!$AE$104")</f>
        <v/>
      </c>
      <c r="D2561" s="400" t="str">
        <f t="shared" si="15"/>
        <v>OUT</v>
      </c>
      <c r="E2561" s="403" t="str">
        <f t="array" ref="E2561">INDIRECT("Tableau!$AF$104")</f>
        <v/>
      </c>
    </row>
    <row r="2562">
      <c r="A2562" s="402">
        <f t="array" ref="A2562">INDIRECT("Tableau!$A$105")</f>
        <v>340</v>
      </c>
      <c r="B2562" s="398" t="s">
        <v>475</v>
      </c>
      <c r="C2562" s="400" t="str">
        <f t="array" ref="C2562">INDIRECT("Tableau!$AE$105")</f>
        <v/>
      </c>
      <c r="D2562" s="400" t="str">
        <f t="shared" si="15"/>
        <v>OUT</v>
      </c>
      <c r="E2562" s="403" t="str">
        <f t="array" ref="E2562">INDIRECT("Tableau!$AF$105")</f>
        <v/>
      </c>
    </row>
    <row r="2563">
      <c r="A2563" s="402">
        <f t="array" ref="A2563">INDIRECT("Tableau!$A$106")</f>
        <v>341</v>
      </c>
      <c r="B2563" s="398" t="s">
        <v>475</v>
      </c>
      <c r="C2563" s="400" t="str">
        <f t="array" ref="C2563">INDIRECT("Tableau!$AE$106")</f>
        <v/>
      </c>
      <c r="D2563" s="400" t="str">
        <f t="shared" si="15"/>
        <v>OUT</v>
      </c>
      <c r="E2563" s="403" t="str">
        <f t="array" ref="E2563">INDIRECT("Tableau!$AF$106")</f>
        <v/>
      </c>
    </row>
    <row r="2564">
      <c r="A2564" s="402">
        <f t="array" ref="A2564">INDIRECT("Tableau!$A$107")</f>
        <v>365</v>
      </c>
      <c r="B2564" s="398" t="s">
        <v>475</v>
      </c>
      <c r="C2564" s="400" t="str">
        <f t="array" ref="C2564">INDIRECT("Tableau!$AE$107")</f>
        <v/>
      </c>
      <c r="D2564" s="400" t="str">
        <f t="shared" si="15"/>
        <v>OUT</v>
      </c>
      <c r="E2564" s="403" t="str">
        <f t="array" ref="E2564">INDIRECT("Tableau!$AF$107")</f>
        <v/>
      </c>
    </row>
    <row r="2565">
      <c r="A2565" s="402">
        <f t="array" ref="A2565">INDIRECT("Tableau!$A$108")</f>
        <v>342</v>
      </c>
      <c r="B2565" s="398" t="s">
        <v>475</v>
      </c>
      <c r="C2565" s="400" t="str">
        <f t="array" ref="C2565">INDIRECT("Tableau!$AE$108")</f>
        <v/>
      </c>
      <c r="D2565" s="400" t="str">
        <f t="shared" si="15"/>
        <v>OUT</v>
      </c>
      <c r="E2565" s="403" t="str">
        <f t="array" ref="E2565">INDIRECT("Tableau!$AF$108")</f>
        <v/>
      </c>
    </row>
    <row r="2566">
      <c r="A2566" s="402">
        <f t="array" ref="A2566">INDIRECT("Tableau!$A$109")</f>
        <v>343</v>
      </c>
      <c r="B2566" s="398" t="s">
        <v>475</v>
      </c>
      <c r="C2566" s="400" t="str">
        <f t="array" ref="C2566">INDIRECT("Tableau!$AE$109")</f>
        <v/>
      </c>
      <c r="D2566" s="400" t="str">
        <f t="shared" si="15"/>
        <v>OUT</v>
      </c>
      <c r="E2566" s="403" t="str">
        <f t="array" ref="E2566">INDIRECT("Tableau!$AF$109")</f>
        <v/>
      </c>
    </row>
    <row r="2567">
      <c r="A2567" s="402">
        <f t="array" ref="A2567">INDIRECT("Tableau!$A$110")</f>
        <v>344</v>
      </c>
      <c r="B2567" s="398" t="s">
        <v>475</v>
      </c>
      <c r="C2567" s="400" t="str">
        <f t="array" ref="C2567">INDIRECT("Tableau!$AE$110")</f>
        <v>Usico</v>
      </c>
      <c r="D2567" s="400" t="str">
        <f t="shared" si="15"/>
        <v>OUT</v>
      </c>
      <c r="E2567" s="403" t="str">
        <f t="array" ref="E2567">INDIRECT("Tableau!$AF$110")</f>
        <v/>
      </c>
    </row>
    <row r="2568">
      <c r="A2568" s="402">
        <f t="array" ref="A2568">INDIRECT("Tableau!$A$111")</f>
        <v>363</v>
      </c>
      <c r="B2568" s="398" t="s">
        <v>475</v>
      </c>
      <c r="C2568" s="400" t="str">
        <f t="array" ref="C2568">INDIRECT("Tableau!$AE$111")</f>
        <v>DPS</v>
      </c>
      <c r="D2568" s="400" t="str">
        <f t="shared" si="15"/>
        <v>OUT</v>
      </c>
      <c r="E2568" s="403" t="str">
        <f t="array" ref="E2568">INDIRECT("Tableau!$AF$111")</f>
        <v/>
      </c>
    </row>
    <row r="2569">
      <c r="A2569" s="402">
        <f t="array" ref="A2569">INDIRECT("Tableau!$A$112")</f>
        <v>345</v>
      </c>
      <c r="B2569" s="398" t="s">
        <v>475</v>
      </c>
      <c r="C2569" s="400" t="str">
        <f t="array" ref="C2569">INDIRECT("Tableau!$AE$112")</f>
        <v/>
      </c>
      <c r="D2569" s="400" t="str">
        <f t="shared" si="15"/>
        <v>OUT</v>
      </c>
      <c r="E2569" s="403" t="str">
        <f t="array" ref="E2569">INDIRECT("Tableau!$AF$112")</f>
        <v/>
      </c>
    </row>
    <row r="2570">
      <c r="A2570" s="402">
        <f t="array" ref="A2570">INDIRECT("Tableau!$A$113")</f>
        <v>346</v>
      </c>
      <c r="B2570" s="398" t="s">
        <v>475</v>
      </c>
      <c r="C2570" s="400" t="str">
        <f t="array" ref="C2570">INDIRECT("Tableau!$AE$113")</f>
        <v/>
      </c>
      <c r="D2570" s="400" t="str">
        <f t="shared" si="15"/>
        <v>OUT</v>
      </c>
      <c r="E2570" s="403" t="str">
        <f t="array" ref="E2570">INDIRECT("Tableau!$AF$113")</f>
        <v/>
      </c>
    </row>
    <row r="2571">
      <c r="A2571" s="402">
        <f t="array" ref="A2571">INDIRECT("Tableau!$A$114")</f>
        <v>359</v>
      </c>
      <c r="B2571" s="398" t="s">
        <v>475</v>
      </c>
      <c r="C2571" s="400" t="str">
        <f t="array" ref="C2571">INDIRECT("Tableau!$AE$114")</f>
        <v/>
      </c>
      <c r="D2571" s="400" t="str">
        <f t="shared" si="15"/>
        <v>OUT</v>
      </c>
      <c r="E2571" s="403" t="str">
        <f t="array" ref="E2571">INDIRECT("Tableau!$AF$114")</f>
        <v/>
      </c>
    </row>
    <row r="2572">
      <c r="A2572" s="402">
        <f t="array" ref="A2572">INDIRECT("Tableau!$A$115")</f>
        <v>360</v>
      </c>
      <c r="B2572" s="398" t="s">
        <v>475</v>
      </c>
      <c r="C2572" s="400" t="str">
        <f t="array" ref="C2572">INDIRECT("Tableau!$AE$115")</f>
        <v/>
      </c>
      <c r="D2572" s="400" t="str">
        <f t="shared" si="15"/>
        <v>OUT</v>
      </c>
      <c r="E2572" s="403" t="str">
        <f t="array" ref="E2572">INDIRECT("Tableau!$AF$115")</f>
        <v/>
      </c>
    </row>
    <row r="2573">
      <c r="A2573" s="402">
        <f t="array" ref="A2573">INDIRECT("Tableau!$A$116")</f>
        <v>361</v>
      </c>
      <c r="B2573" s="398" t="s">
        <v>475</v>
      </c>
      <c r="C2573" s="400" t="str">
        <f t="array" ref="C2573">INDIRECT("Tableau!$AE$116")</f>
        <v/>
      </c>
      <c r="D2573" s="400" t="str">
        <f t="shared" si="15"/>
        <v>OUT</v>
      </c>
      <c r="E2573" s="403" t="str">
        <f t="array" ref="E2573">INDIRECT("Tableau!$AF$116")</f>
        <v/>
      </c>
    </row>
    <row r="2574">
      <c r="A2574" s="397" t="str">
        <f t="array" ref="A2574">INDIRECT("Tableau!$A$117")</f>
        <v/>
      </c>
      <c r="B2574" s="398" t="s">
        <v>475</v>
      </c>
      <c r="C2574" s="400" t="str">
        <f t="array" ref="C2574">INDIRECT("Tableau!$AE$117")</f>
        <v/>
      </c>
      <c r="D2574" s="400" t="str">
        <f t="shared" si="15"/>
        <v>OUT</v>
      </c>
      <c r="E2574" s="403" t="str">
        <f t="array" ref="E2574">INDIRECT("Tableau!$AF$117")</f>
        <v/>
      </c>
    </row>
    <row r="2575">
      <c r="A2575" s="402">
        <f t="array" ref="A2575">INDIRECT("Tableau!$A$118")</f>
        <v>347</v>
      </c>
      <c r="B2575" s="398" t="s">
        <v>475</v>
      </c>
      <c r="C2575" s="400" t="str">
        <f t="array" ref="C2575">INDIRECT("Tableau!$AE$118")</f>
        <v/>
      </c>
      <c r="D2575" s="400" t="str">
        <f t="shared" si="15"/>
        <v>OUT</v>
      </c>
      <c r="E2575" s="403" t="str">
        <f t="array" ref="E2575">INDIRECT("Tableau!$AF$118")</f>
        <v/>
      </c>
    </row>
    <row r="2576">
      <c r="A2576" s="402">
        <f t="array" ref="A2576">INDIRECT("Tableau!$A$119")</f>
        <v>348</v>
      </c>
      <c r="B2576" s="398" t="s">
        <v>475</v>
      </c>
      <c r="C2576" s="400" t="str">
        <f t="array" ref="C2576">INDIRECT("Tableau!$AE$119")</f>
        <v/>
      </c>
      <c r="D2576" s="400" t="str">
        <f t="shared" si="15"/>
        <v>OUT</v>
      </c>
      <c r="E2576" s="403" t="str">
        <f t="array" ref="E2576">INDIRECT("Tableau!$AF$119")</f>
        <v/>
      </c>
    </row>
    <row r="2577">
      <c r="A2577" s="402">
        <f t="array" ref="A2577">INDIRECT("Tableau!$A$120")</f>
        <v>349</v>
      </c>
      <c r="B2577" s="398" t="s">
        <v>475</v>
      </c>
      <c r="C2577" s="400" t="str">
        <f t="array" ref="C2577">INDIRECT("Tableau!$AE$120")</f>
        <v>DEMA</v>
      </c>
      <c r="D2577" s="400" t="str">
        <f t="shared" si="15"/>
        <v>OUT</v>
      </c>
      <c r="E2577" s="403" t="str">
        <f t="array" ref="E2577">INDIRECT("Tableau!$AF$120")</f>
        <v/>
      </c>
    </row>
    <row r="2578">
      <c r="A2578" s="402">
        <f t="array" ref="A2578">INDIRECT("Tableau!$A$121")</f>
        <v>350</v>
      </c>
      <c r="B2578" s="398" t="s">
        <v>475</v>
      </c>
      <c r="C2578" s="400" t="str">
        <f t="array" ref="C2578">INDIRECT("Tableau!$AE$121")</f>
        <v/>
      </c>
      <c r="D2578" s="400" t="str">
        <f t="shared" si="15"/>
        <v>OUT</v>
      </c>
      <c r="E2578" s="403" t="str">
        <f t="array" ref="E2578">INDIRECT("Tableau!$AF$121")</f>
        <v/>
      </c>
    </row>
    <row r="2579">
      <c r="A2579" s="402">
        <f t="array" ref="A2579">INDIRECT("Tableau!$A$122")</f>
        <v>351</v>
      </c>
      <c r="B2579" s="398" t="s">
        <v>475</v>
      </c>
      <c r="C2579" s="400" t="str">
        <f t="array" ref="C2579">INDIRECT("Tableau!$AE$122")</f>
        <v/>
      </c>
      <c r="D2579" s="400" t="str">
        <f t="shared" si="15"/>
        <v>OUT</v>
      </c>
      <c r="E2579" s="403" t="str">
        <f t="array" ref="E2579">INDIRECT("Tableau!$AF$122")</f>
        <v/>
      </c>
    </row>
    <row r="2580">
      <c r="A2580" s="402">
        <f t="array" ref="A2580">INDIRECT("Tableau!$A$123")</f>
        <v>352</v>
      </c>
      <c r="B2580" s="398" t="s">
        <v>475</v>
      </c>
      <c r="C2580" s="400" t="str">
        <f t="array" ref="C2580">INDIRECT("Tableau!$AE$123")</f>
        <v/>
      </c>
      <c r="D2580" s="400" t="str">
        <f t="shared" si="15"/>
        <v>OUT</v>
      </c>
      <c r="E2580" s="403" t="str">
        <f t="array" ref="E2580">INDIRECT("Tableau!$AF$123")</f>
        <v/>
      </c>
    </row>
    <row r="2581">
      <c r="A2581" s="402">
        <f t="array" ref="A2581">INDIRECT("Tableau!$A$124")</f>
        <v>353</v>
      </c>
      <c r="B2581" s="398" t="s">
        <v>475</v>
      </c>
      <c r="C2581" s="400" t="str">
        <f t="array" ref="C2581">INDIRECT("Tableau!$AE$124")</f>
        <v/>
      </c>
      <c r="D2581" s="400" t="str">
        <f t="shared" si="15"/>
        <v>OUT</v>
      </c>
      <c r="E2581" s="403" t="str">
        <f t="array" ref="E2581">INDIRECT("Tableau!$AF$124")</f>
        <v/>
      </c>
    </row>
    <row r="2582">
      <c r="A2582" s="397" t="str">
        <f t="array" ref="A2582">INDIRECT("Tableau!$A$125")</f>
        <v/>
      </c>
      <c r="B2582" s="398" t="s">
        <v>475</v>
      </c>
      <c r="C2582" s="400" t="str">
        <f t="array" ref="C2582">INDIRECT("Tableau!$AE$125")</f>
        <v/>
      </c>
      <c r="D2582" s="400" t="str">
        <f t="shared" si="15"/>
        <v>OUT</v>
      </c>
      <c r="E2582" s="403" t="str">
        <f t="array" ref="E2582">INDIRECT("Tableau!$AF$125")</f>
        <v/>
      </c>
    </row>
    <row r="2583">
      <c r="A2583" s="402">
        <f t="array" ref="A2583">INDIRECT("Tableau!$A$126")</f>
        <v>354</v>
      </c>
      <c r="B2583" s="398" t="s">
        <v>475</v>
      </c>
      <c r="C2583" s="400" t="str">
        <f t="array" ref="C2583">INDIRECT("Tableau!$AE$126")</f>
        <v/>
      </c>
      <c r="D2583" s="400" t="str">
        <f t="shared" si="15"/>
        <v>OUT</v>
      </c>
      <c r="E2583" s="403" t="str">
        <f t="array" ref="E2583">INDIRECT("Tableau!$AF$126")</f>
        <v/>
      </c>
    </row>
    <row r="2584">
      <c r="A2584" s="402">
        <f t="array" ref="A2584">INDIRECT("Tableau!$A$127")</f>
        <v>355</v>
      </c>
      <c r="B2584" s="398" t="s">
        <v>475</v>
      </c>
      <c r="C2584" s="400" t="str">
        <f t="array" ref="C2584">INDIRECT("Tableau!$AE$127")</f>
        <v/>
      </c>
      <c r="D2584" s="400" t="str">
        <f t="shared" si="15"/>
        <v>OUT</v>
      </c>
      <c r="E2584" s="403" t="str">
        <f t="array" ref="E2584">INDIRECT("Tableau!$AF$127")</f>
        <v/>
      </c>
    </row>
    <row r="2585">
      <c r="A2585" s="402">
        <f t="array" ref="A2585">INDIRECT("Tableau!$A$128")</f>
        <v>356</v>
      </c>
      <c r="B2585" s="398" t="s">
        <v>475</v>
      </c>
      <c r="C2585" s="400" t="str">
        <f t="array" ref="C2585">INDIRECT("Tableau!$AE$128")</f>
        <v/>
      </c>
      <c r="D2585" s="400" t="str">
        <f t="shared" si="15"/>
        <v>OUT</v>
      </c>
      <c r="E2585" s="403" t="str">
        <f t="array" ref="E2585">INDIRECT("Tableau!$AF$128")</f>
        <v/>
      </c>
    </row>
    <row r="2586">
      <c r="A2586" s="402">
        <f t="array" ref="A2586">INDIRECT("Tableau!$A$129")</f>
        <v>357</v>
      </c>
      <c r="B2586" s="398" t="s">
        <v>475</v>
      </c>
      <c r="C2586" s="400" t="str">
        <f t="array" ref="C2586">INDIRECT("Tableau!$AE$129")</f>
        <v/>
      </c>
      <c r="D2586" s="400" t="str">
        <f t="shared" si="15"/>
        <v>OUT</v>
      </c>
      <c r="E2586" s="403" t="str">
        <f t="array" ref="E2586">INDIRECT("Tableau!$AF$129")</f>
        <v/>
      </c>
    </row>
    <row r="2587">
      <c r="A2587" s="397" t="str">
        <f t="array" ref="A2587">INDIRECT("Tableau!$A$130")</f>
        <v/>
      </c>
      <c r="B2587" s="398" t="s">
        <v>475</v>
      </c>
      <c r="C2587" s="400" t="str">
        <f t="array" ref="C2587">INDIRECT("Tableau!$AE$130")</f>
        <v/>
      </c>
      <c r="D2587" s="400" t="str">
        <f t="shared" si="15"/>
        <v>OUT</v>
      </c>
      <c r="E2587" s="403" t="str">
        <f t="array" ref="E2587">INDIRECT("Tableau!$AF$130")</f>
        <v/>
      </c>
    </row>
    <row r="2588">
      <c r="A2588" s="397" t="str">
        <f t="array" ref="A2588">INDIRECT("Tableau!$A$131")</f>
        <v/>
      </c>
      <c r="B2588" s="398" t="s">
        <v>475</v>
      </c>
      <c r="C2588" s="400" t="str">
        <f t="array" ref="C2588">INDIRECT("Tableau!$AE$131")</f>
        <v/>
      </c>
      <c r="D2588" s="400" t="str">
        <f t="shared" si="15"/>
        <v>OUT</v>
      </c>
      <c r="E2588" s="403" t="str">
        <f t="array" ref="E2588">INDIRECT("Tableau!$AF$131")</f>
        <v/>
      </c>
    </row>
    <row r="2589">
      <c r="A2589" s="397" t="str">
        <f t="array" ref="A2589">INDIRECT("Tableau!$A$132")</f>
        <v/>
      </c>
      <c r="B2589" s="398" t="s">
        <v>475</v>
      </c>
      <c r="C2589" s="400" t="str">
        <f t="array" ref="C2589">INDIRECT("Tableau!$AE$132")</f>
        <v/>
      </c>
      <c r="D2589" s="400" t="str">
        <f t="shared" si="15"/>
        <v>OUT</v>
      </c>
      <c r="E2589" s="403" t="str">
        <f t="array" ref="E2589">INDIRECT("Tableau!$AF$132")</f>
        <v/>
      </c>
    </row>
    <row r="2590">
      <c r="A2590" s="397" t="str">
        <f t="array" ref="A2590">INDIRECT("Tableau!$A$133")</f>
        <v/>
      </c>
      <c r="B2590" s="398" t="s">
        <v>475</v>
      </c>
      <c r="C2590" s="400" t="str">
        <f t="array" ref="C2590">INDIRECT("Tableau!$AE$133")</f>
        <v/>
      </c>
      <c r="D2590" s="400" t="str">
        <f t="shared" si="15"/>
        <v>OUT</v>
      </c>
      <c r="E2590" s="403" t="str">
        <f t="array" ref="E2590">INDIRECT("Tableau!$AF$133")</f>
        <v/>
      </c>
    </row>
    <row r="2591">
      <c r="A2591" s="397" t="str">
        <f t="array" ref="A2591">INDIRECT("Tableau!$A$134")</f>
        <v/>
      </c>
      <c r="B2591" s="398" t="s">
        <v>475</v>
      </c>
      <c r="C2591" s="400" t="str">
        <f t="array" ref="C2591">INDIRECT("Tableau!$AE$134")</f>
        <v/>
      </c>
      <c r="D2591" s="400" t="str">
        <f t="shared" si="15"/>
        <v>OUT</v>
      </c>
      <c r="E2591" s="403" t="str">
        <f t="array" ref="E2591">INDIRECT("Tableau!$AF$134")</f>
        <v/>
      </c>
    </row>
    <row r="2592">
      <c r="A2592" s="402">
        <f t="array" ref="A2592">INDIRECT("Tableau!$A$135")</f>
        <v>401</v>
      </c>
      <c r="B2592" s="398" t="s">
        <v>475</v>
      </c>
      <c r="C2592" s="400" t="str">
        <f t="array" ref="C2592">INDIRECT("Tableau!$AE$135")</f>
        <v/>
      </c>
      <c r="D2592" s="400" t="str">
        <f t="shared" si="15"/>
        <v>OUT</v>
      </c>
      <c r="E2592" s="403" t="str">
        <f t="array" ref="E2592">INDIRECT("Tableau!$AF$135")</f>
        <v/>
      </c>
    </row>
    <row r="2593">
      <c r="A2593" s="402">
        <f t="array" ref="A2593">INDIRECT("Tableau!$A$136")</f>
        <v>402</v>
      </c>
      <c r="B2593" s="398" t="s">
        <v>475</v>
      </c>
      <c r="C2593" s="400" t="str">
        <f t="array" ref="C2593">INDIRECT("Tableau!$AE$136")</f>
        <v/>
      </c>
      <c r="D2593" s="400" t="str">
        <f t="shared" si="15"/>
        <v>OUT</v>
      </c>
      <c r="E2593" s="403" t="str">
        <f t="array" ref="E2593">INDIRECT("Tableau!$AF$136")</f>
        <v/>
      </c>
    </row>
    <row r="2594">
      <c r="A2594" s="402">
        <f t="array" ref="A2594">INDIRECT("Tableau!$A$137")</f>
        <v>403</v>
      </c>
      <c r="B2594" s="398" t="s">
        <v>475</v>
      </c>
      <c r="C2594" s="400" t="str">
        <f t="array" ref="C2594">INDIRECT("Tableau!$AE$137")</f>
        <v/>
      </c>
      <c r="D2594" s="400" t="str">
        <f t="shared" si="15"/>
        <v>OUT</v>
      </c>
      <c r="E2594" s="403" t="str">
        <f t="array" ref="E2594">INDIRECT("Tableau!$AF$137")</f>
        <v/>
      </c>
    </row>
    <row r="2595">
      <c r="A2595" s="402">
        <f t="array" ref="A2595">INDIRECT("Tableau!$A$138")</f>
        <v>404</v>
      </c>
      <c r="B2595" s="398" t="s">
        <v>475</v>
      </c>
      <c r="C2595" s="400" t="str">
        <f t="array" ref="C2595">INDIRECT("Tableau!$AE$138")</f>
        <v/>
      </c>
      <c r="D2595" s="400" t="str">
        <f t="shared" si="15"/>
        <v>OUT</v>
      </c>
      <c r="E2595" s="403" t="str">
        <f t="array" ref="E2595">INDIRECT("Tableau!$AF$138")</f>
        <v/>
      </c>
    </row>
    <row r="2596">
      <c r="A2596" s="402">
        <f t="array" ref="A2596">INDIRECT("Tableau!$A$139")</f>
        <v>405</v>
      </c>
      <c r="B2596" s="398" t="s">
        <v>475</v>
      </c>
      <c r="C2596" s="400" t="str">
        <f t="array" ref="C2596">INDIRECT("Tableau!$AE$139")</f>
        <v/>
      </c>
      <c r="D2596" s="400" t="str">
        <f t="shared" si="15"/>
        <v>OUT</v>
      </c>
      <c r="E2596" s="403" t="str">
        <f t="array" ref="E2596">INDIRECT("Tableau!$AF$139")</f>
        <v/>
      </c>
    </row>
    <row r="2597">
      <c r="A2597" s="402">
        <f t="array" ref="A2597">INDIRECT("Tableau!$A$140")</f>
        <v>406</v>
      </c>
      <c r="B2597" s="398" t="s">
        <v>475</v>
      </c>
      <c r="C2597" s="400" t="str">
        <f t="array" ref="C2597">INDIRECT("Tableau!$AE$140")</f>
        <v/>
      </c>
      <c r="D2597" s="400" t="str">
        <f t="shared" si="15"/>
        <v>OUT</v>
      </c>
      <c r="E2597" s="403" t="str">
        <f t="array" ref="E2597">INDIRECT("Tableau!$AF$140")</f>
        <v/>
      </c>
    </row>
    <row r="2598">
      <c r="A2598" s="402">
        <f t="array" ref="A2598">INDIRECT("Tableau!$A$141")</f>
        <v>407</v>
      </c>
      <c r="B2598" s="398" t="s">
        <v>475</v>
      </c>
      <c r="C2598" s="400" t="str">
        <f t="array" ref="C2598">INDIRECT("Tableau!$AE$141")</f>
        <v/>
      </c>
      <c r="D2598" s="400" t="str">
        <f t="shared" si="15"/>
        <v>OUT</v>
      </c>
      <c r="E2598" s="403" t="str">
        <f t="array" ref="E2598">INDIRECT("Tableau!$AF$141")</f>
        <v/>
      </c>
    </row>
    <row r="2599">
      <c r="A2599" s="402">
        <f t="array" ref="A2599">INDIRECT("Tableau!$A$142")</f>
        <v>408</v>
      </c>
      <c r="B2599" s="398" t="s">
        <v>475</v>
      </c>
      <c r="C2599" s="400" t="str">
        <f t="array" ref="C2599">INDIRECT("Tableau!$AE$142")</f>
        <v/>
      </c>
      <c r="D2599" s="400" t="str">
        <f t="shared" si="15"/>
        <v>OUT</v>
      </c>
      <c r="E2599" s="403" t="str">
        <f t="array" ref="E2599">INDIRECT("Tableau!$AF$142")</f>
        <v/>
      </c>
    </row>
    <row r="2600">
      <c r="A2600" s="402">
        <f t="array" ref="A2600">INDIRECT("Tableau!$A$143")</f>
        <v>409</v>
      </c>
      <c r="B2600" s="398" t="s">
        <v>475</v>
      </c>
      <c r="C2600" s="400" t="str">
        <f t="array" ref="C2600">INDIRECT("Tableau!$AE$143")</f>
        <v>DEMA</v>
      </c>
      <c r="D2600" s="400" t="str">
        <f t="shared" si="15"/>
        <v>OUT</v>
      </c>
      <c r="E2600" s="403" t="str">
        <f t="array" ref="E2600">INDIRECT("Tableau!$AF$143")</f>
        <v/>
      </c>
    </row>
    <row r="2601">
      <c r="A2601" s="397">
        <f t="array" ref="A2601">INDIRECT("Tableau!$A$144")</f>
        <v>415</v>
      </c>
      <c r="B2601" s="398" t="s">
        <v>475</v>
      </c>
      <c r="C2601" s="400" t="str">
        <f t="array" ref="C2601">INDIRECT("Tableau!$AE$144")</f>
        <v/>
      </c>
      <c r="D2601" s="400" t="str">
        <f t="shared" si="15"/>
        <v>OUT</v>
      </c>
      <c r="E2601" s="403" t="str">
        <f t="array" ref="E2601">INDIRECT("Tableau!$AF$144")</f>
        <v/>
      </c>
    </row>
    <row r="2602">
      <c r="A2602" s="397" t="str">
        <f t="array" ref="A2602">INDIRECT("Tableau!$A$145")</f>
        <v/>
      </c>
      <c r="B2602" s="398" t="s">
        <v>475</v>
      </c>
      <c r="C2602" s="400" t="str">
        <f t="array" ref="C2602">INDIRECT("Tableau!$AE$145")</f>
        <v/>
      </c>
      <c r="D2602" s="400" t="str">
        <f t="shared" si="15"/>
        <v>OUT</v>
      </c>
      <c r="E2602" s="403" t="str">
        <f t="array" ref="E2602">INDIRECT("Tableau!$AF$145")</f>
        <v/>
      </c>
    </row>
    <row r="2603">
      <c r="A2603" s="397" t="str">
        <f t="array" ref="A2603">INDIRECT("Tableau!$A$146")</f>
        <v/>
      </c>
      <c r="B2603" s="398" t="s">
        <v>475</v>
      </c>
      <c r="C2603" s="400" t="str">
        <f t="array" ref="C2603">INDIRECT("Tableau!$AE$146")</f>
        <v/>
      </c>
      <c r="D2603" s="400" t="str">
        <f t="shared" si="15"/>
        <v>OUT</v>
      </c>
      <c r="E2603" s="403" t="str">
        <f t="array" ref="E2603">INDIRECT("Tableau!$AF$146")</f>
        <v/>
      </c>
    </row>
    <row r="2604">
      <c r="A2604" s="397" t="str">
        <f t="array" ref="A2604">INDIRECT("Tableau!$A$147")</f>
        <v/>
      </c>
      <c r="B2604" s="398" t="s">
        <v>475</v>
      </c>
      <c r="C2604" s="400" t="str">
        <f t="array" ref="C2604">INDIRECT("Tableau!$AE$147")</f>
        <v/>
      </c>
      <c r="D2604" s="400" t="str">
        <f t="shared" si="15"/>
        <v>OUT</v>
      </c>
      <c r="E2604" s="403" t="str">
        <f t="array" ref="E2604">INDIRECT("Tableau!$AF$147")</f>
        <v/>
      </c>
    </row>
    <row r="2605">
      <c r="A2605" s="397" t="str">
        <f t="array" ref="A2605">INDIRECT("Tableau!$A$148")</f>
        <v/>
      </c>
      <c r="B2605" s="398" t="s">
        <v>475</v>
      </c>
      <c r="C2605" s="400" t="str">
        <f t="array" ref="C2605">INDIRECT("Tableau!$AE$148")</f>
        <v/>
      </c>
      <c r="D2605" s="400" t="str">
        <f t="shared" si="15"/>
        <v>OUT</v>
      </c>
      <c r="E2605" s="403" t="str">
        <f t="array" ref="E2605">INDIRECT("Tableau!$AF$148")</f>
        <v/>
      </c>
    </row>
    <row r="2606">
      <c r="A2606" s="397" t="str">
        <f t="array" ref="A2606">INDIRECT("Tableau!$A$149")</f>
        <v/>
      </c>
      <c r="B2606" s="398" t="s">
        <v>475</v>
      </c>
      <c r="C2606" s="400" t="str">
        <f t="array" ref="C2606">INDIRECT("Tableau!$AE$149")</f>
        <v/>
      </c>
      <c r="D2606" s="400" t="str">
        <f t="shared" si="15"/>
        <v>OUT</v>
      </c>
      <c r="E2606" s="403" t="str">
        <f t="array" ref="E2606">INDIRECT("Tableau!$AF$149")</f>
        <v/>
      </c>
    </row>
    <row r="2607">
      <c r="A2607" s="397" t="str">
        <f t="array" ref="A2607">INDIRECT("Tableau!$A$150")</f>
        <v/>
      </c>
      <c r="B2607" s="398" t="s">
        <v>475</v>
      </c>
      <c r="C2607" s="400" t="str">
        <f t="array" ref="C2607">INDIRECT("Tableau!$AE$150")</f>
        <v/>
      </c>
      <c r="D2607" s="400" t="str">
        <f t="shared" si="15"/>
        <v>OUT</v>
      </c>
      <c r="E2607" s="403" t="str">
        <f t="array" ref="E2607">INDIRECT("Tableau!$AF$150")</f>
        <v/>
      </c>
    </row>
    <row r="2608">
      <c r="A2608" s="397" t="str">
        <f t="array" ref="A2608">INDIRECT("Tableau!$A$151")</f>
        <v/>
      </c>
      <c r="B2608" s="398" t="s">
        <v>475</v>
      </c>
      <c r="C2608" s="400" t="str">
        <f t="array" ref="C2608">INDIRECT("Tableau!$AE$151")</f>
        <v/>
      </c>
      <c r="D2608" s="400" t="str">
        <f t="shared" si="15"/>
        <v>OUT</v>
      </c>
      <c r="E2608" s="403" t="str">
        <f t="array" ref="E2608">INDIRECT("Tableau!$AF$151")</f>
        <v/>
      </c>
    </row>
    <row r="2609">
      <c r="A2609" s="397" t="str">
        <f t="array" ref="A2609">INDIRECT("Tableau!$A$152")</f>
        <v/>
      </c>
      <c r="B2609" s="398" t="s">
        <v>475</v>
      </c>
      <c r="C2609" s="400" t="str">
        <f t="array" ref="C2609">INDIRECT("Tableau!$AE$152")</f>
        <v/>
      </c>
      <c r="D2609" s="400" t="str">
        <f t="shared" si="15"/>
        <v>OUT</v>
      </c>
      <c r="E2609" s="403" t="str">
        <f t="array" ref="E2609">INDIRECT("Tableau!$AF$152")</f>
        <v/>
      </c>
    </row>
    <row r="2610">
      <c r="A2610" s="397" t="str">
        <f t="array" ref="A2610">INDIRECT("Tableau!$A$153")</f>
        <v/>
      </c>
      <c r="B2610" s="398" t="s">
        <v>475</v>
      </c>
      <c r="C2610" s="400" t="str">
        <f t="array" ref="C2610">INDIRECT("Tableau!$AE$153")</f>
        <v/>
      </c>
      <c r="D2610" s="400" t="str">
        <f t="shared" si="15"/>
        <v>OUT</v>
      </c>
      <c r="E2610" s="403" t="str">
        <f t="array" ref="E2610">INDIRECT("Tableau!$AF$153")</f>
        <v/>
      </c>
    </row>
    <row r="2611">
      <c r="A2611" s="402">
        <f t="array" ref="A2611">INDIRECT("Tableau!$A$154")</f>
        <v>501</v>
      </c>
      <c r="B2611" s="398" t="s">
        <v>475</v>
      </c>
      <c r="C2611" s="400" t="str">
        <f t="array" ref="C2611">INDIRECT("Tableau!$AE$154")</f>
        <v>DPS</v>
      </c>
      <c r="D2611" s="400" t="str">
        <f t="shared" si="15"/>
        <v>OUT</v>
      </c>
      <c r="E2611" s="403" t="str">
        <f t="array" ref="E2611">INDIRECT("Tableau!$AF$154")</f>
        <v/>
      </c>
    </row>
    <row r="2612">
      <c r="A2612" s="402">
        <f t="array" ref="A2612">INDIRECT("Tableau!$A$155")</f>
        <v>502</v>
      </c>
      <c r="B2612" s="398" t="s">
        <v>475</v>
      </c>
      <c r="C2612" s="400" t="str">
        <f t="array" ref="C2612">INDIRECT("Tableau!$AE$155")</f>
        <v/>
      </c>
      <c r="D2612" s="400" t="str">
        <f t="shared" si="15"/>
        <v>OUT</v>
      </c>
      <c r="E2612" s="403" t="str">
        <f t="array" ref="E2612">INDIRECT("Tableau!$AF$155")</f>
        <v/>
      </c>
    </row>
    <row r="2613">
      <c r="A2613" s="397" t="str">
        <f t="array" ref="A2613">INDIRECT("Tableau!$A$156")</f>
        <v/>
      </c>
      <c r="B2613" s="398" t="s">
        <v>475</v>
      </c>
      <c r="C2613" s="400" t="str">
        <f t="array" ref="C2613">INDIRECT("Tableau!$AE$156")</f>
        <v/>
      </c>
      <c r="D2613" s="400" t="str">
        <f t="shared" si="15"/>
        <v>OUT</v>
      </c>
      <c r="E2613" s="403" t="str">
        <f t="array" ref="E2613">INDIRECT("Tableau!$AF$156")</f>
        <v/>
      </c>
    </row>
    <row r="2614">
      <c r="A2614" s="397" t="str">
        <f t="array" ref="A2614">INDIRECT("Tableau!$A$157")</f>
        <v/>
      </c>
      <c r="B2614" s="398" t="s">
        <v>475</v>
      </c>
      <c r="C2614" s="400" t="str">
        <f t="array" ref="C2614">INDIRECT("Tableau!$AE$157")</f>
        <v/>
      </c>
      <c r="D2614" s="400" t="str">
        <f t="shared" si="15"/>
        <v>OUT</v>
      </c>
      <c r="E2614" s="403" t="str">
        <f t="array" ref="E2614">INDIRECT("Tableau!$AF$157")</f>
        <v/>
      </c>
    </row>
    <row r="2615">
      <c r="A2615" s="402">
        <f t="array" ref="A2615">INDIRECT("Tableau!$A$158")</f>
        <v>505</v>
      </c>
      <c r="B2615" s="398" t="s">
        <v>475</v>
      </c>
      <c r="C2615" s="400" t="str">
        <f t="array" ref="C2615">INDIRECT("Tableau!$AE$158")</f>
        <v/>
      </c>
      <c r="D2615" s="400" t="str">
        <f t="shared" si="15"/>
        <v>OUT</v>
      </c>
      <c r="E2615" s="403" t="str">
        <f t="array" ref="E2615">INDIRECT("Tableau!$AF$158")</f>
        <v/>
      </c>
    </row>
    <row r="2616">
      <c r="A2616" s="402">
        <f t="array" ref="A2616">INDIRECT("Tableau!$A$159")</f>
        <v>506</v>
      </c>
      <c r="B2616" s="398" t="s">
        <v>475</v>
      </c>
      <c r="C2616" s="400" t="str">
        <f t="array" ref="C2616">INDIRECT("Tableau!$AE$159")</f>
        <v>DPS</v>
      </c>
      <c r="D2616" s="400" t="str">
        <f t="shared" si="15"/>
        <v>OUT</v>
      </c>
      <c r="E2616" s="403" t="str">
        <f t="array" ref="E2616">INDIRECT("Tableau!$AF$159")</f>
        <v/>
      </c>
    </row>
    <row r="2617">
      <c r="A2617" s="402">
        <f t="array" ref="A2617">INDIRECT("Tableau!$A$160")</f>
        <v>507</v>
      </c>
      <c r="B2617" s="398" t="s">
        <v>475</v>
      </c>
      <c r="C2617" s="400" t="str">
        <f t="array" ref="C2617">INDIRECT("Tableau!$AE$160")</f>
        <v/>
      </c>
      <c r="D2617" s="400" t="str">
        <f t="shared" si="15"/>
        <v>OUT</v>
      </c>
      <c r="E2617" s="403" t="str">
        <f t="array" ref="E2617">INDIRECT("Tableau!$AF$160")</f>
        <v/>
      </c>
    </row>
    <row r="2618">
      <c r="A2618" s="402">
        <f t="array" ref="A2618">INDIRECT("Tableau!$A$161")</f>
        <v>508</v>
      </c>
      <c r="B2618" s="398" t="s">
        <v>475</v>
      </c>
      <c r="C2618" s="400" t="str">
        <f t="array" ref="C2618">INDIRECT("Tableau!$AE$161")</f>
        <v>DPS</v>
      </c>
      <c r="D2618" s="400" t="str">
        <f t="shared" si="15"/>
        <v>OUT</v>
      </c>
      <c r="E2618" s="403" t="str">
        <f t="array" ref="E2618">INDIRECT("Tableau!$AF$161")</f>
        <v/>
      </c>
    </row>
    <row r="2619">
      <c r="A2619" s="402">
        <f t="array" ref="A2619">INDIRECT("Tableau!$A$162")</f>
        <v>509</v>
      </c>
      <c r="B2619" s="398" t="s">
        <v>475</v>
      </c>
      <c r="C2619" s="400" t="str">
        <f t="array" ref="C2619">INDIRECT("Tableau!$AE$162")</f>
        <v/>
      </c>
      <c r="D2619" s="400" t="str">
        <f t="shared" si="15"/>
        <v>OUT</v>
      </c>
      <c r="E2619" s="403" t="str">
        <f t="array" ref="E2619">INDIRECT("Tableau!$AF$162")</f>
        <v/>
      </c>
    </row>
    <row r="2620">
      <c r="A2620" s="397">
        <f t="array" ref="A2620">INDIRECT("Tableau!$A$163")</f>
        <v>510</v>
      </c>
      <c r="B2620" s="398" t="s">
        <v>475</v>
      </c>
      <c r="C2620" s="400" t="str">
        <f t="array" ref="C2620">INDIRECT("Tableau!$AE$163")</f>
        <v/>
      </c>
      <c r="D2620" s="400" t="str">
        <f t="shared" si="15"/>
        <v>OUT</v>
      </c>
      <c r="E2620" s="403" t="str">
        <f t="array" ref="E2620">INDIRECT("Tableau!$AF$163")</f>
        <v/>
      </c>
    </row>
    <row r="2621">
      <c r="A2621" s="397" t="str">
        <f t="array" ref="A2621">INDIRECT("Tableau!$A$164")</f>
        <v/>
      </c>
      <c r="B2621" s="398" t="s">
        <v>475</v>
      </c>
      <c r="C2621" s="400" t="str">
        <f t="array" ref="C2621">INDIRECT("Tableau!$AE$164")</f>
        <v/>
      </c>
      <c r="D2621" s="400" t="str">
        <f t="shared" si="15"/>
        <v>OUT</v>
      </c>
      <c r="E2621" s="403" t="str">
        <f t="array" ref="E2621">INDIRECT("Tableau!$AF$164")</f>
        <v/>
      </c>
    </row>
    <row r="2622">
      <c r="A2622" s="397" t="str">
        <f t="array" ref="A2622">INDIRECT("Tableau!$A$165")</f>
        <v/>
      </c>
      <c r="B2622" s="398" t="s">
        <v>475</v>
      </c>
      <c r="C2622" s="400" t="str">
        <f t="array" ref="C2622">INDIRECT("Tableau!$AE$165")</f>
        <v/>
      </c>
      <c r="D2622" s="400" t="str">
        <f t="shared" si="15"/>
        <v>OUT</v>
      </c>
      <c r="E2622" s="403" t="str">
        <f t="array" ref="E2622">INDIRECT("Tableau!$AF$165")</f>
        <v/>
      </c>
    </row>
    <row r="2623">
      <c r="A2623" s="402">
        <f t="array" ref="A2623">INDIRECT("Tableau!$A$166")</f>
        <v>527</v>
      </c>
      <c r="B2623" s="398" t="s">
        <v>475</v>
      </c>
      <c r="C2623" s="400" t="str">
        <f t="array" ref="C2623">INDIRECT("Tableau!$AE$166")</f>
        <v/>
      </c>
      <c r="D2623" s="400" t="str">
        <f t="shared" si="15"/>
        <v>OUT</v>
      </c>
      <c r="E2623" s="403" t="str">
        <f t="array" ref="E2623">INDIRECT("Tableau!$AF$166")</f>
        <v/>
      </c>
    </row>
    <row r="2624">
      <c r="A2624" s="402">
        <f t="array" ref="A2624">INDIRECT("Tableau!$A$167")</f>
        <v>512</v>
      </c>
      <c r="B2624" s="398" t="s">
        <v>475</v>
      </c>
      <c r="C2624" s="400" t="str">
        <f t="array" ref="C2624">INDIRECT("Tableau!$AE$167")</f>
        <v>DPS</v>
      </c>
      <c r="D2624" s="400" t="str">
        <f t="shared" si="15"/>
        <v>OUT</v>
      </c>
      <c r="E2624" s="403" t="str">
        <f t="array" ref="E2624">INDIRECT("Tableau!$AF$167")</f>
        <v/>
      </c>
    </row>
    <row r="2625">
      <c r="A2625" s="402">
        <f t="array" ref="A2625">INDIRECT("Tableau!$A$168")</f>
        <v>513</v>
      </c>
      <c r="B2625" s="398" t="s">
        <v>475</v>
      </c>
      <c r="C2625" s="400" t="str">
        <f t="array" ref="C2625">INDIRECT("Tableau!$AE$168")</f>
        <v/>
      </c>
      <c r="D2625" s="400" t="str">
        <f t="shared" si="15"/>
        <v>OUT</v>
      </c>
      <c r="E2625" s="403" t="str">
        <f t="array" ref="E2625">INDIRECT("Tableau!$AF$168")</f>
        <v/>
      </c>
    </row>
    <row r="2626">
      <c r="A2626" s="402">
        <f t="array" ref="A2626">INDIRECT("Tableau!$A$169")</f>
        <v>514</v>
      </c>
      <c r="B2626" s="398" t="s">
        <v>475</v>
      </c>
      <c r="C2626" s="400" t="str">
        <f t="array" ref="C2626">INDIRECT("Tableau!$AE$169")</f>
        <v/>
      </c>
      <c r="D2626" s="400" t="str">
        <f t="shared" si="15"/>
        <v>OUT</v>
      </c>
      <c r="E2626" s="403" t="str">
        <f t="array" ref="E2626">INDIRECT("Tableau!$AF$169")</f>
        <v/>
      </c>
    </row>
    <row r="2627">
      <c r="A2627" s="402">
        <f t="array" ref="A2627">INDIRECT("Tableau!$A$170")</f>
        <v>515</v>
      </c>
      <c r="B2627" s="398" t="s">
        <v>475</v>
      </c>
      <c r="C2627" s="400" t="str">
        <f t="array" ref="C2627">INDIRECT("Tableau!$AE$170")</f>
        <v/>
      </c>
      <c r="D2627" s="400" t="str">
        <f t="shared" si="15"/>
        <v>OUT</v>
      </c>
      <c r="E2627" s="403" t="str">
        <f t="array" ref="E2627">INDIRECT("Tableau!$AF$170")</f>
        <v/>
      </c>
    </row>
    <row r="2628">
      <c r="A2628" s="402">
        <f t="array" ref="A2628">INDIRECT("Tableau!$A$171")</f>
        <v>517</v>
      </c>
      <c r="B2628" s="398" t="s">
        <v>475</v>
      </c>
      <c r="C2628" s="400" t="str">
        <f t="array" ref="C2628">INDIRECT("Tableau!$AE$171")</f>
        <v/>
      </c>
      <c r="D2628" s="400" t="str">
        <f t="shared" si="15"/>
        <v>OUT</v>
      </c>
      <c r="E2628" s="403" t="str">
        <f t="array" ref="E2628">INDIRECT("Tableau!$AF$171")</f>
        <v/>
      </c>
    </row>
    <row r="2629">
      <c r="A2629" s="402">
        <f t="array" ref="A2629">INDIRECT("Tableau!$A$172")</f>
        <v>518</v>
      </c>
      <c r="B2629" s="398" t="s">
        <v>475</v>
      </c>
      <c r="C2629" s="400" t="str">
        <f t="array" ref="C2629">INDIRECT("Tableau!$AE$172")</f>
        <v/>
      </c>
      <c r="D2629" s="400" t="str">
        <f t="shared" si="15"/>
        <v>OUT</v>
      </c>
      <c r="E2629" s="403" t="str">
        <f t="array" ref="E2629">INDIRECT("Tableau!$AF$172")</f>
        <v/>
      </c>
    </row>
    <row r="2630">
      <c r="A2630" s="397" t="str">
        <f t="array" ref="A2630">INDIRECT("Tableau!$A$173")</f>
        <v/>
      </c>
      <c r="B2630" s="398" t="s">
        <v>475</v>
      </c>
      <c r="C2630" s="400" t="str">
        <f t="array" ref="C2630">INDIRECT("Tableau!$AE$173")</f>
        <v/>
      </c>
      <c r="D2630" s="400" t="str">
        <f t="shared" si="15"/>
        <v>OUT</v>
      </c>
      <c r="E2630" s="403" t="str">
        <f t="array" ref="E2630">INDIRECT("Tableau!$AF$173")</f>
        <v/>
      </c>
    </row>
    <row r="2631">
      <c r="A2631" s="402">
        <f t="array" ref="A2631">INDIRECT("Tableau!$A$174")</f>
        <v>520</v>
      </c>
      <c r="B2631" s="398" t="s">
        <v>475</v>
      </c>
      <c r="C2631" s="400" t="str">
        <f t="array" ref="C2631">INDIRECT("Tableau!$AE$174")</f>
        <v/>
      </c>
      <c r="D2631" s="400" t="str">
        <f t="shared" si="15"/>
        <v>OUT</v>
      </c>
      <c r="E2631" s="403" t="str">
        <f t="array" ref="E2631">INDIRECT("Tableau!$AF$174")</f>
        <v/>
      </c>
    </row>
    <row r="2632">
      <c r="A2632" s="402">
        <f t="array" ref="A2632">INDIRECT("Tableau!$A$175")</f>
        <v>521</v>
      </c>
      <c r="B2632" s="398" t="s">
        <v>475</v>
      </c>
      <c r="C2632" s="400" t="str">
        <f t="array" ref="C2632">INDIRECT("Tableau!$AE$175")</f>
        <v/>
      </c>
      <c r="D2632" s="400" t="str">
        <f t="shared" si="15"/>
        <v>OUT</v>
      </c>
      <c r="E2632" s="403" t="str">
        <f t="array" ref="E2632">INDIRECT("Tableau!$AF$175")</f>
        <v/>
      </c>
    </row>
    <row r="2633">
      <c r="A2633" s="402">
        <f t="array" ref="A2633">INDIRECT("Tableau!$A$176")</f>
        <v>525</v>
      </c>
      <c r="B2633" s="398" t="s">
        <v>475</v>
      </c>
      <c r="C2633" s="400" t="str">
        <f t="array" ref="C2633">INDIRECT("Tableau!$AE$176")</f>
        <v/>
      </c>
      <c r="D2633" s="400" t="str">
        <f t="shared" si="15"/>
        <v>OUT</v>
      </c>
      <c r="E2633" s="403" t="str">
        <f t="array" ref="E2633">INDIRECT("Tableau!$AF$176")</f>
        <v/>
      </c>
    </row>
    <row r="2634">
      <c r="A2634" s="402">
        <f t="array" ref="A2634">INDIRECT("Tableau!$A$177")</f>
        <v>530</v>
      </c>
      <c r="B2634" s="398" t="s">
        <v>475</v>
      </c>
      <c r="C2634" s="400" t="str">
        <f t="array" ref="C2634">INDIRECT("Tableau!$AE$177")</f>
        <v>DPS</v>
      </c>
      <c r="D2634" s="400" t="str">
        <f t="shared" si="15"/>
        <v>OUT</v>
      </c>
      <c r="E2634" s="403" t="str">
        <f t="array" ref="E2634">INDIRECT("Tableau!$AF$177")</f>
        <v/>
      </c>
    </row>
    <row r="2635">
      <c r="A2635" s="397" t="str">
        <f t="array" ref="A2635">INDIRECT("Tableau!$A$178")</f>
        <v/>
      </c>
      <c r="B2635" s="398" t="s">
        <v>475</v>
      </c>
      <c r="C2635" s="400" t="str">
        <f t="array" ref="C2635">INDIRECT("Tableau!$AE$178")</f>
        <v/>
      </c>
      <c r="D2635" s="400" t="str">
        <f t="shared" si="15"/>
        <v>OUT</v>
      </c>
      <c r="E2635" s="403" t="str">
        <f t="array" ref="E2635">INDIRECT("Tableau!$AF$178")</f>
        <v/>
      </c>
    </row>
    <row r="2636">
      <c r="A2636" s="397" t="str">
        <f t="array" ref="A2636">INDIRECT("Tableau!$A$179")</f>
        <v/>
      </c>
      <c r="B2636" s="398" t="s">
        <v>475</v>
      </c>
      <c r="C2636" s="400" t="str">
        <f t="array" ref="C2636">INDIRECT("Tableau!$AE$179")</f>
        <v/>
      </c>
      <c r="D2636" s="400" t="str">
        <f t="shared" si="15"/>
        <v>OUT</v>
      </c>
      <c r="E2636" s="403" t="str">
        <f t="array" ref="E2636">INDIRECT("Tableau!$AF$179")</f>
        <v/>
      </c>
    </row>
    <row r="2637">
      <c r="A2637" s="397" t="str">
        <f t="array" ref="A2637">INDIRECT("Tableau!$A$180")</f>
        <v/>
      </c>
      <c r="B2637" s="398" t="s">
        <v>475</v>
      </c>
      <c r="C2637" s="400" t="str">
        <f t="array" ref="C2637">INDIRECT("Tableau!$AE$180")</f>
        <v/>
      </c>
      <c r="D2637" s="400" t="str">
        <f t="shared" si="15"/>
        <v>OUT</v>
      </c>
      <c r="E2637" s="403" t="str">
        <f t="array" ref="E2637">INDIRECT("Tableau!$AF$180")</f>
        <v/>
      </c>
    </row>
    <row r="2638">
      <c r="A2638" s="397" t="str">
        <f t="array" ref="A2638">INDIRECT("Tableau!$A$181")</f>
        <v/>
      </c>
      <c r="B2638" s="398" t="s">
        <v>475</v>
      </c>
      <c r="C2638" s="400" t="str">
        <f t="array" ref="C2638">INDIRECT("Tableau!$AE$181")</f>
        <v/>
      </c>
      <c r="D2638" s="400" t="str">
        <f t="shared" si="15"/>
        <v>OUT</v>
      </c>
      <c r="E2638" s="403" t="str">
        <f t="array" ref="E2638">INDIRECT("Tableau!$AF$181")</f>
        <v/>
      </c>
    </row>
    <row r="2639">
      <c r="A2639" s="397" t="str">
        <f t="array" ref="A2639">INDIRECT("Tableau!$A$182")</f>
        <v/>
      </c>
      <c r="B2639" s="398" t="s">
        <v>475</v>
      </c>
      <c r="C2639" s="400" t="str">
        <f t="array" ref="C2639">INDIRECT("Tableau!$AE$182")</f>
        <v/>
      </c>
      <c r="D2639" s="400" t="str">
        <f t="shared" si="15"/>
        <v>OUT</v>
      </c>
      <c r="E2639" s="403" t="str">
        <f t="array" ref="E2639">INDIRECT("Tableau!$AF$182")</f>
        <v/>
      </c>
    </row>
    <row r="2640">
      <c r="A2640" s="397" t="str">
        <f t="array" ref="A2640">INDIRECT("Tableau!$A$183")</f>
        <v/>
      </c>
      <c r="B2640" s="398" t="s">
        <v>475</v>
      </c>
      <c r="C2640" s="400" t="str">
        <f t="array" ref="C2640">INDIRECT("Tableau!$AE$183")</f>
        <v/>
      </c>
      <c r="D2640" s="400" t="str">
        <f t="shared" si="15"/>
        <v>OUT</v>
      </c>
      <c r="E2640" s="403" t="str">
        <f t="array" ref="E2640">INDIRECT("Tableau!$AF$183")</f>
        <v/>
      </c>
    </row>
    <row r="2641">
      <c r="A2641" s="397" t="str">
        <f t="array" ref="A2641">INDIRECT("Tableau!$A$184")</f>
        <v/>
      </c>
      <c r="B2641" s="398" t="s">
        <v>475</v>
      </c>
      <c r="C2641" s="400" t="str">
        <f t="array" ref="C2641">INDIRECT("Tableau!$AE$184")</f>
        <v/>
      </c>
      <c r="D2641" s="400" t="str">
        <f t="shared" si="15"/>
        <v>OUT</v>
      </c>
      <c r="E2641" s="403" t="str">
        <f t="array" ref="E2641">INDIRECT("Tableau!$AF$184")</f>
        <v/>
      </c>
    </row>
    <row r="2642">
      <c r="A2642" s="397" t="str">
        <f t="array" ref="A2642">INDIRECT("Tableau!$A$185")</f>
        <v/>
      </c>
      <c r="B2642" s="398" t="s">
        <v>475</v>
      </c>
      <c r="C2642" s="400" t="str">
        <f t="array" ref="C2642">INDIRECT("Tableau!$AE$185")</f>
        <v/>
      </c>
      <c r="D2642" s="400" t="str">
        <f t="shared" si="15"/>
        <v>OUT</v>
      </c>
      <c r="E2642" s="403" t="str">
        <f t="array" ref="E2642">INDIRECT("Tableau!$AF$185")</f>
        <v/>
      </c>
    </row>
    <row r="2643">
      <c r="A2643" s="397" t="str">
        <f t="array" ref="A2643">INDIRECT("Tableau!$A$186")</f>
        <v/>
      </c>
      <c r="B2643" s="398" t="s">
        <v>475</v>
      </c>
      <c r="C2643" s="400" t="str">
        <f t="array" ref="C2643">INDIRECT("Tableau!$AE$186")</f>
        <v/>
      </c>
      <c r="D2643" s="400" t="str">
        <f t="shared" si="15"/>
        <v>OUT</v>
      </c>
      <c r="E2643" s="403" t="str">
        <f t="array" ref="E2643">INDIRECT("Tableau!$AF$186")</f>
        <v/>
      </c>
    </row>
    <row r="2644">
      <c r="A2644" s="397" t="str">
        <f t="array" ref="A2644">INDIRECT("Tableau!$A$187")</f>
        <v/>
      </c>
      <c r="B2644" s="398" t="s">
        <v>475</v>
      </c>
      <c r="C2644" s="400" t="str">
        <f t="array" ref="C2644">INDIRECT("Tableau!$AE$187")</f>
        <v/>
      </c>
      <c r="D2644" s="400" t="str">
        <f t="shared" si="15"/>
        <v>OUT</v>
      </c>
      <c r="E2644" s="403" t="str">
        <f t="array" ref="E2644">INDIRECT("Tableau!$AF$187")</f>
        <v/>
      </c>
    </row>
    <row r="2645">
      <c r="A2645" s="397" t="str">
        <f t="array" ref="A2645">INDIRECT("Tableau!$A$188")</f>
        <v/>
      </c>
      <c r="B2645" s="398" t="s">
        <v>475</v>
      </c>
      <c r="C2645" s="400" t="str">
        <f t="array" ref="C2645">INDIRECT("Tableau!$AE$188")</f>
        <v/>
      </c>
      <c r="D2645" s="400" t="str">
        <f t="shared" si="15"/>
        <v>OUT</v>
      </c>
      <c r="E2645" s="403" t="str">
        <f t="array" ref="E2645">INDIRECT("Tableau!$AF$188")</f>
        <v/>
      </c>
    </row>
    <row r="2646">
      <c r="A2646" s="397" t="str">
        <f t="array" ref="A2646">INDIRECT("Tableau!$A$189")</f>
        <v/>
      </c>
      <c r="B2646" s="398" t="s">
        <v>475</v>
      </c>
      <c r="C2646" s="400" t="str">
        <f t="array" ref="C2646">INDIRECT("Tableau!$AE$189")</f>
        <v/>
      </c>
      <c r="D2646" s="400" t="str">
        <f t="shared" si="15"/>
        <v>OUT</v>
      </c>
      <c r="E2646" s="403" t="str">
        <f t="array" ref="E2646">INDIRECT("Tableau!$AF$189")</f>
        <v/>
      </c>
    </row>
    <row r="2647">
      <c r="A2647" s="397" t="str">
        <f t="array" ref="A2647">INDIRECT("Tableau!$A$190")</f>
        <v/>
      </c>
      <c r="B2647" s="398" t="s">
        <v>475</v>
      </c>
      <c r="C2647" s="400" t="str">
        <f t="array" ref="C2647">INDIRECT("Tableau!$AE$190")</f>
        <v/>
      </c>
      <c r="D2647" s="400" t="str">
        <f t="shared" si="15"/>
        <v>OUT</v>
      </c>
      <c r="E2647" s="403" t="str">
        <f t="array" ref="E2647">INDIRECT("Tableau!$AF$190")</f>
        <v/>
      </c>
    </row>
    <row r="2648">
      <c r="A2648" s="397" t="str">
        <f t="array" ref="A2648">INDIRECT("Tableau!$A$2")</f>
        <v/>
      </c>
      <c r="B2648" s="398" t="s">
        <v>476</v>
      </c>
      <c r="C2648" s="400" t="str">
        <f t="array" ref="C2648">INDIRECT("Tableau!$AG$2")</f>
        <v/>
      </c>
      <c r="D2648" s="400" t="str">
        <f t="shared" ref="D2648:D2836" si="16">INDIRECT("Tableau!$AH$1")</f>
        <v>IN</v>
      </c>
      <c r="E2648" s="403" t="str">
        <f t="array" ref="E2648">INDIRECT("Tableau!$AH$2")</f>
        <v/>
      </c>
    </row>
    <row r="2649">
      <c r="A2649" s="402">
        <f t="array" ref="A2649">INDIRECT("Tableau!$A$3")</f>
        <v>102</v>
      </c>
      <c r="B2649" s="398" t="s">
        <v>476</v>
      </c>
      <c r="C2649" s="400" t="str">
        <f t="array" ref="C2649">INDIRECT("Tableau!$AG$3")</f>
        <v/>
      </c>
      <c r="D2649" s="400" t="str">
        <f t="shared" si="16"/>
        <v>IN</v>
      </c>
      <c r="E2649" s="403" t="str">
        <f t="array" ref="E2649">INDIRECT("Tableau!$AH$3")</f>
        <v/>
      </c>
    </row>
    <row r="2650">
      <c r="A2650" s="397" t="str">
        <f t="array" ref="A2650">INDIRECT("Tableau!$A$4")</f>
        <v/>
      </c>
      <c r="B2650" s="398" t="s">
        <v>476</v>
      </c>
      <c r="C2650" s="400" t="str">
        <f t="array" ref="C2650">INDIRECT("Tableau!$AG$4")</f>
        <v/>
      </c>
      <c r="D2650" s="400" t="str">
        <f t="shared" si="16"/>
        <v>IN</v>
      </c>
      <c r="E2650" s="403" t="str">
        <f t="array" ref="E2650">INDIRECT("Tableau!$AH$4")</f>
        <v/>
      </c>
    </row>
    <row r="2651">
      <c r="A2651" s="402">
        <f t="array" ref="A2651">INDIRECT("Tableau!$A$5")</f>
        <v>104</v>
      </c>
      <c r="B2651" s="398" t="s">
        <v>476</v>
      </c>
      <c r="C2651" s="400" t="str">
        <f t="array" ref="C2651">INDIRECT("Tableau!$AG$5")</f>
        <v/>
      </c>
      <c r="D2651" s="400" t="str">
        <f t="shared" si="16"/>
        <v>IN</v>
      </c>
      <c r="E2651" s="403" t="str">
        <f t="array" ref="E2651">INDIRECT("Tableau!$AH$5")</f>
        <v/>
      </c>
    </row>
    <row r="2652">
      <c r="A2652" s="402">
        <f t="array" ref="A2652">INDIRECT("Tableau!$A$6")</f>
        <v>105</v>
      </c>
      <c r="B2652" s="398" t="s">
        <v>476</v>
      </c>
      <c r="C2652" s="400" t="str">
        <f t="array" ref="C2652">INDIRECT("Tableau!$AG$6")</f>
        <v/>
      </c>
      <c r="D2652" s="400" t="str">
        <f t="shared" si="16"/>
        <v>IN</v>
      </c>
      <c r="E2652" s="403" t="str">
        <f t="array" ref="E2652">INDIRECT("Tableau!$AH$6")</f>
        <v/>
      </c>
    </row>
    <row r="2653">
      <c r="A2653" s="402">
        <f t="array" ref="A2653">INDIRECT("Tableau!$A$7")</f>
        <v>106</v>
      </c>
      <c r="B2653" s="398" t="s">
        <v>476</v>
      </c>
      <c r="C2653" s="400" t="str">
        <f t="array" ref="C2653">INDIRECT("Tableau!$AG$7")</f>
        <v/>
      </c>
      <c r="D2653" s="400" t="str">
        <f t="shared" si="16"/>
        <v>IN</v>
      </c>
      <c r="E2653" s="403" t="str">
        <f t="array" ref="E2653">INDIRECT("Tableau!$AH$7")</f>
        <v/>
      </c>
    </row>
    <row r="2654">
      <c r="A2654" s="402">
        <f t="array" ref="A2654">INDIRECT("Tableau!$A$8")</f>
        <v>107</v>
      </c>
      <c r="B2654" s="398" t="s">
        <v>476</v>
      </c>
      <c r="C2654" s="400" t="str">
        <f t="array" ref="C2654">INDIRECT("Tableau!$AG$8")</f>
        <v/>
      </c>
      <c r="D2654" s="400" t="str">
        <f t="shared" si="16"/>
        <v>IN</v>
      </c>
      <c r="E2654" s="403" t="str">
        <f t="array" ref="E2654">INDIRECT("Tableau!$AH$8")</f>
        <v/>
      </c>
    </row>
    <row r="2655">
      <c r="A2655" s="397">
        <f t="array" ref="A2655">INDIRECT("Tableau!$A$9")</f>
        <v>108</v>
      </c>
      <c r="B2655" s="398" t="s">
        <v>476</v>
      </c>
      <c r="C2655" s="400" t="str">
        <f t="array" ref="C2655">INDIRECT("Tableau!$AG$9")</f>
        <v/>
      </c>
      <c r="D2655" s="400" t="str">
        <f t="shared" si="16"/>
        <v>IN</v>
      </c>
      <c r="E2655" s="403" t="str">
        <f t="array" ref="E2655">INDIRECT("Tableau!$AH$9")</f>
        <v/>
      </c>
    </row>
    <row r="2656">
      <c r="A2656" s="402">
        <f t="array" ref="A2656">INDIRECT("Tableau!$A$10")</f>
        <v>109</v>
      </c>
      <c r="B2656" s="398" t="s">
        <v>476</v>
      </c>
      <c r="C2656" s="400" t="str">
        <f t="array" ref="C2656">INDIRECT("Tableau!$AG$10")</f>
        <v/>
      </c>
      <c r="D2656" s="400" t="str">
        <f t="shared" si="16"/>
        <v>IN</v>
      </c>
      <c r="E2656" s="403" t="str">
        <f t="array" ref="E2656">INDIRECT("Tableau!$AH$10")</f>
        <v/>
      </c>
    </row>
    <row r="2657">
      <c r="A2657" s="402">
        <f t="array" ref="A2657">INDIRECT("Tableau!$A$11")</f>
        <v>110</v>
      </c>
      <c r="B2657" s="398" t="s">
        <v>476</v>
      </c>
      <c r="C2657" s="400" t="str">
        <f t="array" ref="C2657">INDIRECT("Tableau!$AG$11")</f>
        <v/>
      </c>
      <c r="D2657" s="400" t="str">
        <f t="shared" si="16"/>
        <v>IN</v>
      </c>
      <c r="E2657" s="403" t="str">
        <f t="array" ref="E2657">INDIRECT("Tableau!$AH$11")</f>
        <v/>
      </c>
    </row>
    <row r="2658">
      <c r="A2658" s="402">
        <f t="array" ref="A2658">INDIRECT("Tableau!$A$12")</f>
        <v>111</v>
      </c>
      <c r="B2658" s="398" t="s">
        <v>476</v>
      </c>
      <c r="C2658" s="400" t="str">
        <f t="array" ref="C2658">INDIRECT("Tableau!$AG$12")</f>
        <v/>
      </c>
      <c r="D2658" s="400" t="str">
        <f t="shared" si="16"/>
        <v>IN</v>
      </c>
      <c r="E2658" s="403" t="str">
        <f t="array" ref="E2658">INDIRECT("Tableau!$AH$12")</f>
        <v/>
      </c>
    </row>
    <row r="2659">
      <c r="A2659" s="402">
        <f t="array" ref="A2659">INDIRECT("Tableau!$A$13")</f>
        <v>112</v>
      </c>
      <c r="B2659" s="398" t="s">
        <v>476</v>
      </c>
      <c r="C2659" s="400" t="str">
        <f t="array" ref="C2659">INDIRECT("Tableau!$AG$13")</f>
        <v/>
      </c>
      <c r="D2659" s="400" t="str">
        <f t="shared" si="16"/>
        <v>IN</v>
      </c>
      <c r="E2659" s="403" t="str">
        <f t="array" ref="E2659">INDIRECT("Tableau!$AH$13")</f>
        <v/>
      </c>
    </row>
    <row r="2660">
      <c r="A2660" s="402">
        <f t="array" ref="A2660">INDIRECT("Tableau!$A$14")</f>
        <v>113</v>
      </c>
      <c r="B2660" s="398" t="s">
        <v>476</v>
      </c>
      <c r="C2660" s="400" t="str">
        <f t="array" ref="C2660">INDIRECT("Tableau!$AG$14")</f>
        <v/>
      </c>
      <c r="D2660" s="400" t="str">
        <f t="shared" si="16"/>
        <v>IN</v>
      </c>
      <c r="E2660" s="403" t="str">
        <f t="array" ref="E2660">INDIRECT("Tableau!$AH$14")</f>
        <v/>
      </c>
    </row>
    <row r="2661">
      <c r="A2661" s="397">
        <f t="array" ref="A2661">INDIRECT("Tableau!$A$15")</f>
        <v>114</v>
      </c>
      <c r="B2661" s="398" t="s">
        <v>476</v>
      </c>
      <c r="C2661" s="400" t="str">
        <f t="array" ref="C2661">INDIRECT("Tableau!$AG$15")</f>
        <v/>
      </c>
      <c r="D2661" s="400" t="str">
        <f t="shared" si="16"/>
        <v>IN</v>
      </c>
      <c r="E2661" s="403" t="str">
        <f t="array" ref="E2661">INDIRECT("Tableau!$AH$15")</f>
        <v/>
      </c>
    </row>
    <row r="2662">
      <c r="A2662" s="397" t="str">
        <f t="array" ref="A2662">INDIRECT("Tableau!$A$16")</f>
        <v/>
      </c>
      <c r="B2662" s="398" t="s">
        <v>476</v>
      </c>
      <c r="C2662" s="400" t="str">
        <f t="array" ref="C2662">INDIRECT("Tableau!$AG$16")</f>
        <v/>
      </c>
      <c r="D2662" s="400" t="str">
        <f t="shared" si="16"/>
        <v>IN</v>
      </c>
      <c r="E2662" s="403" t="str">
        <f t="array" ref="E2662">INDIRECT("Tableau!$AH$16")</f>
        <v/>
      </c>
    </row>
    <row r="2663">
      <c r="A2663" s="397" t="str">
        <f t="array" ref="A2663">INDIRECT("Tableau!$A$17")</f>
        <v/>
      </c>
      <c r="B2663" s="398" t="s">
        <v>476</v>
      </c>
      <c r="C2663" s="400" t="str">
        <f t="array" ref="C2663">INDIRECT("Tableau!$AG$17")</f>
        <v/>
      </c>
      <c r="D2663" s="400" t="str">
        <f t="shared" si="16"/>
        <v>IN</v>
      </c>
      <c r="E2663" s="403" t="str">
        <f t="array" ref="E2663">INDIRECT("Tableau!$AH$17")</f>
        <v/>
      </c>
    </row>
    <row r="2664">
      <c r="A2664" s="397" t="str">
        <f t="array" ref="A2664">INDIRECT("Tableau!$A$18")</f>
        <v/>
      </c>
      <c r="B2664" s="398" t="s">
        <v>476</v>
      </c>
      <c r="C2664" s="400" t="str">
        <f t="array" ref="C2664">INDIRECT("Tableau!$AG$18")</f>
        <v/>
      </c>
      <c r="D2664" s="400" t="str">
        <f t="shared" si="16"/>
        <v>IN</v>
      </c>
      <c r="E2664" s="403" t="str">
        <f t="array" ref="E2664">INDIRECT("Tableau!$AH$18")</f>
        <v/>
      </c>
    </row>
    <row r="2665">
      <c r="A2665" s="397" t="str">
        <f t="array" ref="A2665">INDIRECT("Tableau!$A$19")</f>
        <v/>
      </c>
      <c r="B2665" s="398" t="s">
        <v>476</v>
      </c>
      <c r="C2665" s="400" t="str">
        <f t="array" ref="C2665">INDIRECT("Tableau!$AG$19")</f>
        <v/>
      </c>
      <c r="D2665" s="400" t="str">
        <f t="shared" si="16"/>
        <v>IN</v>
      </c>
      <c r="E2665" s="403" t="str">
        <f t="array" ref="E2665">INDIRECT("Tableau!$AH$19")</f>
        <v/>
      </c>
    </row>
    <row r="2666">
      <c r="A2666" s="397" t="str">
        <f t="array" ref="A2666">INDIRECT("Tableau!$A$20")</f>
        <v/>
      </c>
      <c r="B2666" s="398" t="s">
        <v>476</v>
      </c>
      <c r="C2666" s="400" t="str">
        <f t="array" ref="C2666">INDIRECT("Tableau!$AG$20")</f>
        <v/>
      </c>
      <c r="D2666" s="400" t="str">
        <f t="shared" si="16"/>
        <v>IN</v>
      </c>
      <c r="E2666" s="403" t="str">
        <f t="array" ref="E2666">INDIRECT("Tableau!$AH$20")</f>
        <v/>
      </c>
    </row>
    <row r="2667">
      <c r="A2667" s="397" t="str">
        <f t="array" ref="A2667">INDIRECT("Tableau!$A$21")</f>
        <v/>
      </c>
      <c r="B2667" s="398" t="s">
        <v>476</v>
      </c>
      <c r="C2667" s="400" t="str">
        <f t="array" ref="C2667">INDIRECT("Tableau!$AG$21")</f>
        <v/>
      </c>
      <c r="D2667" s="400" t="str">
        <f t="shared" si="16"/>
        <v>IN</v>
      </c>
      <c r="E2667" s="403" t="str">
        <f t="array" ref="E2667">INDIRECT("Tableau!$AH$21")</f>
        <v/>
      </c>
    </row>
    <row r="2668">
      <c r="A2668" s="397" t="str">
        <f t="array" ref="A2668">INDIRECT("Tableau!$A$22")</f>
        <v/>
      </c>
      <c r="B2668" s="398" t="s">
        <v>476</v>
      </c>
      <c r="C2668" s="400" t="str">
        <f t="array" ref="C2668">INDIRECT("Tableau!$AG$22")</f>
        <v/>
      </c>
      <c r="D2668" s="400" t="str">
        <f t="shared" si="16"/>
        <v>IN</v>
      </c>
      <c r="E2668" s="403" t="str">
        <f t="array" ref="E2668">INDIRECT("Tableau!$AH$22")</f>
        <v/>
      </c>
    </row>
    <row r="2669">
      <c r="A2669" s="397" t="str">
        <f t="array" ref="A2669">INDIRECT("Tableau!$A$23")</f>
        <v/>
      </c>
      <c r="B2669" s="398" t="s">
        <v>476</v>
      </c>
      <c r="C2669" s="400" t="str">
        <f t="array" ref="C2669">INDIRECT("Tableau!$AG$23")</f>
        <v/>
      </c>
      <c r="D2669" s="400" t="str">
        <f t="shared" si="16"/>
        <v>IN</v>
      </c>
      <c r="E2669" s="403" t="str">
        <f t="array" ref="E2669">INDIRECT("Tableau!$AH$23")</f>
        <v/>
      </c>
    </row>
    <row r="2670">
      <c r="A2670" s="397" t="str">
        <f t="array" ref="A2670">INDIRECT("Tableau!$A$24")</f>
        <v/>
      </c>
      <c r="B2670" s="398" t="s">
        <v>476</v>
      </c>
      <c r="C2670" s="400" t="str">
        <f t="array" ref="C2670">INDIRECT("Tableau!$AG$24")</f>
        <v/>
      </c>
      <c r="D2670" s="400" t="str">
        <f t="shared" si="16"/>
        <v>IN</v>
      </c>
      <c r="E2670" s="403" t="str">
        <f t="array" ref="E2670">INDIRECT("Tableau!$AH$24")</f>
        <v/>
      </c>
    </row>
    <row r="2671">
      <c r="A2671" s="397" t="str">
        <f t="array" ref="A2671">INDIRECT("Tableau!$A$25")</f>
        <v/>
      </c>
      <c r="B2671" s="398" t="s">
        <v>476</v>
      </c>
      <c r="C2671" s="400" t="str">
        <f t="array" ref="C2671">INDIRECT("Tableau!$AG$25")</f>
        <v/>
      </c>
      <c r="D2671" s="400" t="str">
        <f t="shared" si="16"/>
        <v>IN</v>
      </c>
      <c r="E2671" s="403" t="str">
        <f t="array" ref="E2671">INDIRECT("Tableau!$AH$25")</f>
        <v/>
      </c>
    </row>
    <row r="2672">
      <c r="A2672" s="402">
        <f t="array" ref="A2672">INDIRECT("Tableau!$A$26")</f>
        <v>201</v>
      </c>
      <c r="B2672" s="398" t="s">
        <v>476</v>
      </c>
      <c r="C2672" s="400" t="str">
        <f t="array" ref="C2672">INDIRECT("Tableau!$AG$26")</f>
        <v/>
      </c>
      <c r="D2672" s="400" t="str">
        <f t="shared" si="16"/>
        <v>IN</v>
      </c>
      <c r="E2672" s="403" t="str">
        <f t="array" ref="E2672">INDIRECT("Tableau!$AH$26")</f>
        <v/>
      </c>
    </row>
    <row r="2673">
      <c r="A2673" s="402">
        <f t="array" ref="A2673">INDIRECT("Tableau!$A$27")</f>
        <v>202</v>
      </c>
      <c r="B2673" s="398" t="s">
        <v>476</v>
      </c>
      <c r="C2673" s="400" t="str">
        <f t="array" ref="C2673">INDIRECT("Tableau!$AG$27")</f>
        <v/>
      </c>
      <c r="D2673" s="400" t="str">
        <f t="shared" si="16"/>
        <v>IN</v>
      </c>
      <c r="E2673" s="403" t="str">
        <f t="array" ref="E2673">INDIRECT("Tableau!$AH$27")</f>
        <v/>
      </c>
    </row>
    <row r="2674">
      <c r="A2674" s="402">
        <f t="array" ref="A2674">INDIRECT("Tableau!$A$28")</f>
        <v>203</v>
      </c>
      <c r="B2674" s="398" t="s">
        <v>476</v>
      </c>
      <c r="C2674" s="400" t="str">
        <f t="array" ref="C2674">INDIRECT("Tableau!$AG$28")</f>
        <v/>
      </c>
      <c r="D2674" s="400" t="str">
        <f t="shared" si="16"/>
        <v>IN</v>
      </c>
      <c r="E2674" s="403" t="str">
        <f t="array" ref="E2674">INDIRECT("Tableau!$AH$28")</f>
        <v/>
      </c>
    </row>
    <row r="2675">
      <c r="A2675" s="402">
        <f t="array" ref="A2675">INDIRECT("Tableau!$A$29")</f>
        <v>204</v>
      </c>
      <c r="B2675" s="398" t="s">
        <v>476</v>
      </c>
      <c r="C2675" s="400" t="str">
        <f t="array" ref="C2675">INDIRECT("Tableau!$AG$29")</f>
        <v/>
      </c>
      <c r="D2675" s="400" t="str">
        <f t="shared" si="16"/>
        <v>IN</v>
      </c>
      <c r="E2675" s="403" t="str">
        <f t="array" ref="E2675">INDIRECT("Tableau!$AH$29")</f>
        <v/>
      </c>
    </row>
    <row r="2676">
      <c r="A2676" s="402">
        <f t="array" ref="A2676">INDIRECT("Tableau!$A$30")</f>
        <v>205</v>
      </c>
      <c r="B2676" s="398" t="s">
        <v>476</v>
      </c>
      <c r="C2676" s="400" t="str">
        <f t="array" ref="C2676">INDIRECT("Tableau!$AG$30")</f>
        <v/>
      </c>
      <c r="D2676" s="400" t="str">
        <f t="shared" si="16"/>
        <v>IN</v>
      </c>
      <c r="E2676" s="403" t="str">
        <f t="array" ref="E2676">INDIRECT("Tableau!$AH$30")</f>
        <v/>
      </c>
    </row>
    <row r="2677">
      <c r="A2677" s="402">
        <f t="array" ref="A2677">INDIRECT("Tableau!$A$31")</f>
        <v>206</v>
      </c>
      <c r="B2677" s="398" t="s">
        <v>476</v>
      </c>
      <c r="C2677" s="400" t="str">
        <f t="array" ref="C2677">INDIRECT("Tableau!$AG$31")</f>
        <v/>
      </c>
      <c r="D2677" s="400" t="str">
        <f t="shared" si="16"/>
        <v>IN</v>
      </c>
      <c r="E2677" s="403" t="str">
        <f t="array" ref="E2677">INDIRECT("Tableau!$AH$31")</f>
        <v/>
      </c>
    </row>
    <row r="2678">
      <c r="A2678" s="402">
        <f t="array" ref="A2678">INDIRECT("Tableau!$A$32")</f>
        <v>207</v>
      </c>
      <c r="B2678" s="398" t="s">
        <v>476</v>
      </c>
      <c r="C2678" s="400" t="str">
        <f t="array" ref="C2678">INDIRECT("Tableau!$AG$32")</f>
        <v/>
      </c>
      <c r="D2678" s="400" t="str">
        <f t="shared" si="16"/>
        <v>IN</v>
      </c>
      <c r="E2678" s="403" t="str">
        <f t="array" ref="E2678">INDIRECT("Tableau!$AH$32")</f>
        <v/>
      </c>
    </row>
    <row r="2679">
      <c r="A2679" s="402">
        <f t="array" ref="A2679">INDIRECT("Tableau!$A$33")</f>
        <v>208</v>
      </c>
      <c r="B2679" s="398" t="s">
        <v>476</v>
      </c>
      <c r="C2679" s="400" t="str">
        <f t="array" ref="C2679">INDIRECT("Tableau!$AG$33")</f>
        <v/>
      </c>
      <c r="D2679" s="400" t="str">
        <f t="shared" si="16"/>
        <v>IN</v>
      </c>
      <c r="E2679" s="403" t="str">
        <f t="array" ref="E2679">INDIRECT("Tableau!$AH$33")</f>
        <v/>
      </c>
    </row>
    <row r="2680">
      <c r="A2680" s="402">
        <f t="array" ref="A2680">INDIRECT("Tableau!$A$34")</f>
        <v>209</v>
      </c>
      <c r="B2680" s="398" t="s">
        <v>476</v>
      </c>
      <c r="C2680" s="400" t="str">
        <f t="array" ref="C2680">INDIRECT("Tableau!$AG$34")</f>
        <v/>
      </c>
      <c r="D2680" s="400" t="str">
        <f t="shared" si="16"/>
        <v>IN</v>
      </c>
      <c r="E2680" s="403" t="str">
        <f t="array" ref="E2680">INDIRECT("Tableau!$AH$34")</f>
        <v/>
      </c>
    </row>
    <row r="2681">
      <c r="A2681" s="402">
        <f t="array" ref="A2681">INDIRECT("Tableau!$A$35")</f>
        <v>210</v>
      </c>
      <c r="B2681" s="398" t="s">
        <v>476</v>
      </c>
      <c r="C2681" s="400" t="str">
        <f t="array" ref="C2681">INDIRECT("Tableau!$AG$35")</f>
        <v>Grottes de Han</v>
      </c>
      <c r="D2681" s="400" t="str">
        <f t="shared" si="16"/>
        <v>IN</v>
      </c>
      <c r="E2681" s="403" t="str">
        <f t="array" ref="E2681">INDIRECT("Tableau!$AH$35")</f>
        <v/>
      </c>
    </row>
    <row r="2682">
      <c r="A2682" s="402">
        <f t="array" ref="A2682">INDIRECT("Tableau!$A$36")</f>
        <v>211</v>
      </c>
      <c r="B2682" s="398" t="s">
        <v>476</v>
      </c>
      <c r="C2682" s="400" t="str">
        <f t="array" ref="C2682">INDIRECT("Tableau!$AG$36")</f>
        <v/>
      </c>
      <c r="D2682" s="400" t="str">
        <f t="shared" si="16"/>
        <v>IN</v>
      </c>
      <c r="E2682" s="403" t="str">
        <f t="array" ref="E2682">INDIRECT("Tableau!$AH$36")</f>
        <v/>
      </c>
    </row>
    <row r="2683">
      <c r="A2683" s="402">
        <f t="array" ref="A2683">INDIRECT("Tableau!$A$37")</f>
        <v>212</v>
      </c>
      <c r="B2683" s="398" t="s">
        <v>476</v>
      </c>
      <c r="C2683" s="400" t="str">
        <f t="array" ref="C2683">INDIRECT("Tableau!$AG$37")</f>
        <v/>
      </c>
      <c r="D2683" s="400" t="str">
        <f t="shared" si="16"/>
        <v>IN</v>
      </c>
      <c r="E2683" s="403" t="str">
        <f t="array" ref="E2683">INDIRECT("Tableau!$AH$37")</f>
        <v/>
      </c>
    </row>
    <row r="2684">
      <c r="A2684" s="402">
        <f t="array" ref="A2684">INDIRECT("Tableau!$A$38")</f>
        <v>213</v>
      </c>
      <c r="B2684" s="398" t="s">
        <v>476</v>
      </c>
      <c r="C2684" s="400" t="str">
        <f t="array" ref="C2684">INDIRECT("Tableau!$AG$38")</f>
        <v/>
      </c>
      <c r="D2684" s="400" t="str">
        <f t="shared" si="16"/>
        <v>IN</v>
      </c>
      <c r="E2684" s="403" t="str">
        <f t="array" ref="E2684">INDIRECT("Tableau!$AH$38")</f>
        <v/>
      </c>
    </row>
    <row r="2685">
      <c r="A2685" s="402">
        <f t="array" ref="A2685">INDIRECT("Tableau!$A$39")</f>
        <v>214</v>
      </c>
      <c r="B2685" s="398" t="s">
        <v>476</v>
      </c>
      <c r="C2685" s="400" t="str">
        <f t="array" ref="C2685">INDIRECT("Tableau!$AG$39")</f>
        <v/>
      </c>
      <c r="D2685" s="400" t="str">
        <f t="shared" si="16"/>
        <v>IN</v>
      </c>
      <c r="E2685" s="403" t="str">
        <f t="array" ref="E2685">INDIRECT("Tableau!$AH$39")</f>
        <v/>
      </c>
    </row>
    <row r="2686">
      <c r="A2686" s="402">
        <f t="array" ref="A2686">INDIRECT("Tableau!$A$40")</f>
        <v>215</v>
      </c>
      <c r="B2686" s="398" t="s">
        <v>476</v>
      </c>
      <c r="C2686" s="400" t="str">
        <f t="array" ref="C2686">INDIRECT("Tableau!$AG$40")</f>
        <v/>
      </c>
      <c r="D2686" s="400" t="str">
        <f t="shared" si="16"/>
        <v>IN</v>
      </c>
      <c r="E2686" s="403" t="str">
        <f t="array" ref="E2686">INDIRECT("Tableau!$AH$40")</f>
        <v/>
      </c>
    </row>
    <row r="2687">
      <c r="A2687" s="402">
        <f t="array" ref="A2687">INDIRECT("Tableau!$A$41")</f>
        <v>216</v>
      </c>
      <c r="B2687" s="398" t="s">
        <v>476</v>
      </c>
      <c r="C2687" s="400" t="str">
        <f t="array" ref="C2687">INDIRECT("Tableau!$AG$41")</f>
        <v/>
      </c>
      <c r="D2687" s="400" t="str">
        <f t="shared" si="16"/>
        <v>IN</v>
      </c>
      <c r="E2687" s="403" t="str">
        <f t="array" ref="E2687">INDIRECT("Tableau!$AH$41")</f>
        <v/>
      </c>
    </row>
    <row r="2688">
      <c r="A2688" s="402">
        <f t="array" ref="A2688">INDIRECT("Tableau!$A$42")</f>
        <v>227</v>
      </c>
      <c r="B2688" s="398" t="s">
        <v>476</v>
      </c>
      <c r="C2688" s="400" t="str">
        <f t="array" ref="C2688">INDIRECT("Tableau!$AG$42")</f>
        <v/>
      </c>
      <c r="D2688" s="400" t="str">
        <f t="shared" si="16"/>
        <v>IN</v>
      </c>
      <c r="E2688" s="403" t="str">
        <f t="array" ref="E2688">INDIRECT("Tableau!$AH$42")</f>
        <v/>
      </c>
    </row>
    <row r="2689">
      <c r="A2689" s="402">
        <f t="array" ref="A2689">INDIRECT("Tableau!$A$43")</f>
        <v>217</v>
      </c>
      <c r="B2689" s="398" t="s">
        <v>476</v>
      </c>
      <c r="C2689" s="400" t="str">
        <f t="array" ref="C2689">INDIRECT("Tableau!$AG$43")</f>
        <v/>
      </c>
      <c r="D2689" s="400" t="str">
        <f t="shared" si="16"/>
        <v>IN</v>
      </c>
      <c r="E2689" s="403" t="str">
        <f t="array" ref="E2689">INDIRECT("Tableau!$AH$43")</f>
        <v/>
      </c>
    </row>
    <row r="2690">
      <c r="A2690" s="402">
        <f t="array" ref="A2690">INDIRECT("Tableau!$A$44")</f>
        <v>218</v>
      </c>
      <c r="B2690" s="398" t="s">
        <v>476</v>
      </c>
      <c r="C2690" s="400" t="str">
        <f t="array" ref="C2690">INDIRECT("Tableau!$AG$44")</f>
        <v/>
      </c>
      <c r="D2690" s="400" t="str">
        <f t="shared" si="16"/>
        <v>IN</v>
      </c>
      <c r="E2690" s="403" t="str">
        <f t="array" ref="E2690">INDIRECT("Tableau!$AH$44")</f>
        <v/>
      </c>
    </row>
    <row r="2691">
      <c r="A2691" s="397" t="str">
        <f t="array" ref="A2691">INDIRECT("Tableau!$A$45")</f>
        <v/>
      </c>
      <c r="B2691" s="398" t="s">
        <v>476</v>
      </c>
      <c r="C2691" s="400" t="str">
        <f t="array" ref="C2691">INDIRECT("Tableau!$AG$45")</f>
        <v/>
      </c>
      <c r="D2691" s="400" t="str">
        <f t="shared" si="16"/>
        <v>IN</v>
      </c>
      <c r="E2691" s="403" t="str">
        <f t="array" ref="E2691">INDIRECT("Tableau!$AH$45")</f>
        <v/>
      </c>
    </row>
    <row r="2692">
      <c r="A2692" s="402">
        <f t="array" ref="A2692">INDIRECT("Tableau!$A$46")</f>
        <v>220</v>
      </c>
      <c r="B2692" s="398" t="s">
        <v>476</v>
      </c>
      <c r="C2692" s="400" t="str">
        <f t="array" ref="C2692">INDIRECT("Tableau!$AG$46")</f>
        <v/>
      </c>
      <c r="D2692" s="400" t="str">
        <f t="shared" si="16"/>
        <v>IN</v>
      </c>
      <c r="E2692" s="403" t="str">
        <f t="array" ref="E2692">INDIRECT("Tableau!$AH$46")</f>
        <v/>
      </c>
    </row>
    <row r="2693">
      <c r="A2693" s="402">
        <f t="array" ref="A2693">INDIRECT("Tableau!$A$47")</f>
        <v>221</v>
      </c>
      <c r="B2693" s="398" t="s">
        <v>476</v>
      </c>
      <c r="C2693" s="400" t="str">
        <f t="array" ref="C2693">INDIRECT("Tableau!$AG$47")</f>
        <v/>
      </c>
      <c r="D2693" s="400" t="str">
        <f t="shared" si="16"/>
        <v>IN</v>
      </c>
      <c r="E2693" s="403" t="str">
        <f t="array" ref="E2693">INDIRECT("Tableau!$AH$47")</f>
        <v/>
      </c>
    </row>
    <row r="2694">
      <c r="A2694" s="402">
        <f t="array" ref="A2694">INDIRECT("Tableau!$A$48")</f>
        <v>226</v>
      </c>
      <c r="B2694" s="398" t="s">
        <v>476</v>
      </c>
      <c r="C2694" s="400" t="str">
        <f t="array" ref="C2694">INDIRECT("Tableau!$AG$48")</f>
        <v/>
      </c>
      <c r="D2694" s="400" t="str">
        <f t="shared" si="16"/>
        <v>IN</v>
      </c>
      <c r="E2694" s="403" t="str">
        <f t="array" ref="E2694">INDIRECT("Tableau!$AH$48")</f>
        <v/>
      </c>
    </row>
    <row r="2695">
      <c r="A2695" s="402">
        <f t="array" ref="A2695">INDIRECT("Tableau!$A$49")</f>
        <v>222</v>
      </c>
      <c r="B2695" s="398" t="s">
        <v>476</v>
      </c>
      <c r="C2695" s="400" t="str">
        <f t="array" ref="C2695">INDIRECT("Tableau!$AG$49")</f>
        <v/>
      </c>
      <c r="D2695" s="400" t="str">
        <f t="shared" si="16"/>
        <v>IN</v>
      </c>
      <c r="E2695" s="403" t="str">
        <f t="array" ref="E2695">INDIRECT("Tableau!$AH$49")</f>
        <v/>
      </c>
    </row>
    <row r="2696">
      <c r="A2696" s="402">
        <f t="array" ref="A2696">INDIRECT("Tableau!$A$50")</f>
        <v>224</v>
      </c>
      <c r="B2696" s="398" t="s">
        <v>476</v>
      </c>
      <c r="C2696" s="400" t="str">
        <f t="array" ref="C2696">INDIRECT("Tableau!$AG$50")</f>
        <v/>
      </c>
      <c r="D2696" s="400" t="str">
        <f t="shared" si="16"/>
        <v>IN</v>
      </c>
      <c r="E2696" s="403" t="str">
        <f t="array" ref="E2696">INDIRECT("Tableau!$AH$50")</f>
        <v/>
      </c>
    </row>
    <row r="2697">
      <c r="A2697" s="397">
        <f t="array" ref="A2697">INDIRECT("Tableau!$A$51")</f>
        <v>223</v>
      </c>
      <c r="B2697" s="398" t="s">
        <v>476</v>
      </c>
      <c r="C2697" s="400" t="str">
        <f t="array" ref="C2697">INDIRECT("Tableau!$AG$51")</f>
        <v/>
      </c>
      <c r="D2697" s="400" t="str">
        <f t="shared" si="16"/>
        <v>IN</v>
      </c>
      <c r="E2697" s="403" t="str">
        <f t="array" ref="E2697">INDIRECT("Tableau!$AH$51")</f>
        <v/>
      </c>
    </row>
    <row r="2698">
      <c r="A2698" s="402">
        <f t="array" ref="A2698">INDIRECT("Tableau!$A$52")</f>
        <v>225</v>
      </c>
      <c r="B2698" s="398" t="s">
        <v>476</v>
      </c>
      <c r="C2698" s="400" t="str">
        <f t="array" ref="C2698">INDIRECT("Tableau!$AG$52")</f>
        <v/>
      </c>
      <c r="D2698" s="400" t="str">
        <f t="shared" si="16"/>
        <v>IN</v>
      </c>
      <c r="E2698" s="403" t="str">
        <f t="array" ref="E2698">INDIRECT("Tableau!$AH$52")</f>
        <v/>
      </c>
    </row>
    <row r="2699">
      <c r="A2699" s="402">
        <f t="array" ref="A2699">INDIRECT("Tableau!$A$53")</f>
        <v>230</v>
      </c>
      <c r="B2699" s="398" t="s">
        <v>476</v>
      </c>
      <c r="C2699" s="400" t="str">
        <f t="array" ref="C2699">INDIRECT("Tableau!$AG$53")</f>
        <v>Grottes de Han</v>
      </c>
      <c r="D2699" s="400" t="str">
        <f t="shared" si="16"/>
        <v>IN</v>
      </c>
      <c r="E2699" s="403" t="str">
        <f t="array" ref="E2699">INDIRECT("Tableau!$AH$53")</f>
        <v/>
      </c>
    </row>
    <row r="2700">
      <c r="A2700" s="397">
        <f t="array" ref="A2700">INDIRECT("Tableau!$A$54")</f>
        <v>231</v>
      </c>
      <c r="B2700" s="398" t="s">
        <v>476</v>
      </c>
      <c r="C2700" s="400" t="str">
        <f t="array" ref="C2700">INDIRECT("Tableau!$AG$54")</f>
        <v/>
      </c>
      <c r="D2700" s="400" t="str">
        <f t="shared" si="16"/>
        <v>IN</v>
      </c>
      <c r="E2700" s="403" t="str">
        <f t="array" ref="E2700">INDIRECT("Tableau!$AH$54")</f>
        <v/>
      </c>
    </row>
    <row r="2701">
      <c r="A2701" s="397" t="str">
        <f t="array" ref="A2701">INDIRECT("Tableau!$A$55")</f>
        <v/>
      </c>
      <c r="B2701" s="398" t="s">
        <v>476</v>
      </c>
      <c r="C2701" s="400" t="str">
        <f t="array" ref="C2701">INDIRECT("Tableau!$AG$55")</f>
        <v/>
      </c>
      <c r="D2701" s="400" t="str">
        <f t="shared" si="16"/>
        <v>IN</v>
      </c>
      <c r="E2701" s="403" t="str">
        <f t="array" ref="E2701">INDIRECT("Tableau!$AH$55")</f>
        <v/>
      </c>
    </row>
    <row r="2702">
      <c r="A2702" s="397" t="str">
        <f t="array" ref="A2702">INDIRECT("Tableau!$A$56")</f>
        <v/>
      </c>
      <c r="B2702" s="398" t="s">
        <v>476</v>
      </c>
      <c r="C2702" s="400" t="str">
        <f t="array" ref="C2702">INDIRECT("Tableau!$AG$56")</f>
        <v/>
      </c>
      <c r="D2702" s="400" t="str">
        <f t="shared" si="16"/>
        <v>IN</v>
      </c>
      <c r="E2702" s="403" t="str">
        <f t="array" ref="E2702">INDIRECT("Tableau!$AH$56")</f>
        <v/>
      </c>
    </row>
    <row r="2703">
      <c r="A2703" s="397" t="str">
        <f t="array" ref="A2703">INDIRECT("Tableau!$A$57")</f>
        <v/>
      </c>
      <c r="B2703" s="398" t="s">
        <v>476</v>
      </c>
      <c r="C2703" s="400" t="str">
        <f t="array" ref="C2703">INDIRECT("Tableau!$AG$57")</f>
        <v/>
      </c>
      <c r="D2703" s="400" t="str">
        <f t="shared" si="16"/>
        <v>IN</v>
      </c>
      <c r="E2703" s="403" t="str">
        <f t="array" ref="E2703">INDIRECT("Tableau!$AH$57")</f>
        <v/>
      </c>
    </row>
    <row r="2704">
      <c r="A2704" s="397" t="str">
        <f t="array" ref="A2704">INDIRECT("Tableau!$A$58")</f>
        <v/>
      </c>
      <c r="B2704" s="398" t="s">
        <v>476</v>
      </c>
      <c r="C2704" s="400" t="str">
        <f t="array" ref="C2704">INDIRECT("Tableau!$AG$58")</f>
        <v/>
      </c>
      <c r="D2704" s="400" t="str">
        <f t="shared" si="16"/>
        <v>IN</v>
      </c>
      <c r="E2704" s="403" t="str">
        <f t="array" ref="E2704">INDIRECT("Tableau!$AH$58")</f>
        <v/>
      </c>
    </row>
    <row r="2705">
      <c r="A2705" s="397" t="str">
        <f t="array" ref="A2705">INDIRECT("Tableau!$A$59")</f>
        <v/>
      </c>
      <c r="B2705" s="398" t="s">
        <v>476</v>
      </c>
      <c r="C2705" s="400" t="str">
        <f t="array" ref="C2705">INDIRECT("Tableau!$AG$59")</f>
        <v/>
      </c>
      <c r="D2705" s="400" t="str">
        <f t="shared" si="16"/>
        <v>IN</v>
      </c>
      <c r="E2705" s="403" t="str">
        <f t="array" ref="E2705">INDIRECT("Tableau!$AH$59")</f>
        <v/>
      </c>
    </row>
    <row r="2706">
      <c r="A2706" s="397" t="str">
        <f t="array" ref="A2706">INDIRECT("Tableau!$A$60")</f>
        <v/>
      </c>
      <c r="B2706" s="398" t="s">
        <v>476</v>
      </c>
      <c r="C2706" s="400" t="str">
        <f t="array" ref="C2706">INDIRECT("Tableau!$AG$60")</f>
        <v/>
      </c>
      <c r="D2706" s="400" t="str">
        <f t="shared" si="16"/>
        <v>IN</v>
      </c>
      <c r="E2706" s="403" t="str">
        <f t="array" ref="E2706">INDIRECT("Tableau!$AH$60")</f>
        <v/>
      </c>
    </row>
    <row r="2707">
      <c r="A2707" s="397" t="str">
        <f t="array" ref="A2707">INDIRECT("Tableau!$A$61")</f>
        <v/>
      </c>
      <c r="B2707" s="398" t="s">
        <v>476</v>
      </c>
      <c r="C2707" s="400" t="str">
        <f t="array" ref="C2707">INDIRECT("Tableau!$AG$61")</f>
        <v/>
      </c>
      <c r="D2707" s="400" t="str">
        <f t="shared" si="16"/>
        <v>IN</v>
      </c>
      <c r="E2707" s="403" t="str">
        <f t="array" ref="E2707">INDIRECT("Tableau!$AH$61")</f>
        <v/>
      </c>
    </row>
    <row r="2708">
      <c r="A2708" s="397" t="str">
        <f t="array" ref="A2708">INDIRECT("Tableau!$A$62")</f>
        <v/>
      </c>
      <c r="B2708" s="398" t="s">
        <v>476</v>
      </c>
      <c r="C2708" s="400" t="str">
        <f t="array" ref="C2708">INDIRECT("Tableau!$AG$62")</f>
        <v/>
      </c>
      <c r="D2708" s="400" t="str">
        <f t="shared" si="16"/>
        <v>IN</v>
      </c>
      <c r="E2708" s="403" t="str">
        <f t="array" ref="E2708">INDIRECT("Tableau!$AH$62")</f>
        <v/>
      </c>
    </row>
    <row r="2709">
      <c r="A2709" s="397" t="str">
        <f t="array" ref="A2709">INDIRECT("Tableau!$A$63")</f>
        <v/>
      </c>
      <c r="B2709" s="398" t="s">
        <v>476</v>
      </c>
      <c r="C2709" s="400" t="str">
        <f t="array" ref="C2709">INDIRECT("Tableau!$AG$63")</f>
        <v/>
      </c>
      <c r="D2709" s="400" t="str">
        <f t="shared" si="16"/>
        <v>IN</v>
      </c>
      <c r="E2709" s="403" t="str">
        <f t="array" ref="E2709">INDIRECT("Tableau!$AH$63")</f>
        <v/>
      </c>
    </row>
    <row r="2710">
      <c r="A2710" s="397" t="str">
        <f t="array" ref="A2710">INDIRECT("Tableau!$A$64")</f>
        <v/>
      </c>
      <c r="B2710" s="398" t="s">
        <v>476</v>
      </c>
      <c r="C2710" s="400" t="str">
        <f t="array" ref="C2710">INDIRECT("Tableau!$AG$64")</f>
        <v/>
      </c>
      <c r="D2710" s="400" t="str">
        <f t="shared" si="16"/>
        <v>IN</v>
      </c>
      <c r="E2710" s="403" t="str">
        <f t="array" ref="E2710">INDIRECT("Tableau!$AH$64")</f>
        <v/>
      </c>
    </row>
    <row r="2711">
      <c r="A2711" s="402">
        <f t="array" ref="A2711">INDIRECT("Tableau!$A$65")</f>
        <v>301</v>
      </c>
      <c r="B2711" s="398" t="s">
        <v>476</v>
      </c>
      <c r="C2711" s="400" t="str">
        <f t="array" ref="C2711">INDIRECT("Tableau!$AG$65")</f>
        <v/>
      </c>
      <c r="D2711" s="400" t="str">
        <f t="shared" si="16"/>
        <v>IN</v>
      </c>
      <c r="E2711" s="403" t="str">
        <f t="array" ref="E2711">INDIRECT("Tableau!$AH$65")</f>
        <v/>
      </c>
    </row>
    <row r="2712">
      <c r="A2712" s="397" t="str">
        <f t="array" ref="A2712">INDIRECT("Tableau!$A$66")</f>
        <v/>
      </c>
      <c r="B2712" s="398" t="s">
        <v>476</v>
      </c>
      <c r="C2712" s="400" t="str">
        <f t="array" ref="C2712">INDIRECT("Tableau!$AG$66")</f>
        <v/>
      </c>
      <c r="D2712" s="400" t="str">
        <f t="shared" si="16"/>
        <v>IN</v>
      </c>
      <c r="E2712" s="403" t="str">
        <f t="array" ref="E2712">INDIRECT("Tableau!$AH$66")</f>
        <v/>
      </c>
    </row>
    <row r="2713">
      <c r="A2713" s="402">
        <f t="array" ref="A2713">INDIRECT("Tableau!$A$67")</f>
        <v>303</v>
      </c>
      <c r="B2713" s="398" t="s">
        <v>476</v>
      </c>
      <c r="C2713" s="400" t="str">
        <f t="array" ref="C2713">INDIRECT("Tableau!$AG$67")</f>
        <v/>
      </c>
      <c r="D2713" s="400" t="str">
        <f t="shared" si="16"/>
        <v>IN</v>
      </c>
      <c r="E2713" s="403" t="str">
        <f t="array" ref="E2713">INDIRECT("Tableau!$AH$67")</f>
        <v/>
      </c>
    </row>
    <row r="2714">
      <c r="A2714" s="402">
        <f t="array" ref="A2714">INDIRECT("Tableau!$A$68")</f>
        <v>304</v>
      </c>
      <c r="B2714" s="398" t="s">
        <v>476</v>
      </c>
      <c r="C2714" s="400" t="str">
        <f t="array" ref="C2714">INDIRECT("Tableau!$AG$68")</f>
        <v/>
      </c>
      <c r="D2714" s="400" t="str">
        <f t="shared" si="16"/>
        <v>IN</v>
      </c>
      <c r="E2714" s="403" t="str">
        <f t="array" ref="E2714">INDIRECT("Tableau!$AH$68")</f>
        <v/>
      </c>
    </row>
    <row r="2715">
      <c r="A2715" s="402">
        <f t="array" ref="A2715">INDIRECT("Tableau!$A$69")</f>
        <v>305</v>
      </c>
      <c r="B2715" s="398" t="s">
        <v>476</v>
      </c>
      <c r="C2715" s="400" t="str">
        <f t="array" ref="C2715">INDIRECT("Tableau!$AG$69")</f>
        <v/>
      </c>
      <c r="D2715" s="400" t="str">
        <f t="shared" si="16"/>
        <v>IN</v>
      </c>
      <c r="E2715" s="403" t="str">
        <f t="array" ref="E2715">INDIRECT("Tableau!$AH$69")</f>
        <v/>
      </c>
    </row>
    <row r="2716">
      <c r="A2716" s="402">
        <f t="array" ref="A2716">INDIRECT("Tableau!$A$70")</f>
        <v>306</v>
      </c>
      <c r="B2716" s="398" t="s">
        <v>476</v>
      </c>
      <c r="C2716" s="400" t="str">
        <f t="array" ref="C2716">INDIRECT("Tableau!$AG$70")</f>
        <v/>
      </c>
      <c r="D2716" s="400" t="str">
        <f t="shared" si="16"/>
        <v>IN</v>
      </c>
      <c r="E2716" s="403" t="str">
        <f t="array" ref="E2716">INDIRECT("Tableau!$AH$70")</f>
        <v/>
      </c>
    </row>
    <row r="2717">
      <c r="A2717" s="402">
        <f t="array" ref="A2717">INDIRECT("Tableau!$A$71")</f>
        <v>307</v>
      </c>
      <c r="B2717" s="398" t="s">
        <v>476</v>
      </c>
      <c r="C2717" s="400" t="str">
        <f t="array" ref="C2717">INDIRECT("Tableau!$AG$71")</f>
        <v/>
      </c>
      <c r="D2717" s="400" t="str">
        <f t="shared" si="16"/>
        <v>IN</v>
      </c>
      <c r="E2717" s="403" t="str">
        <f t="array" ref="E2717">INDIRECT("Tableau!$AH$71")</f>
        <v/>
      </c>
    </row>
    <row r="2718">
      <c r="A2718" s="397">
        <f t="array" ref="A2718">INDIRECT("Tableau!$A$72")</f>
        <v>367</v>
      </c>
      <c r="B2718" s="398" t="s">
        <v>476</v>
      </c>
      <c r="C2718" s="400" t="str">
        <f t="array" ref="C2718">INDIRECT("Tableau!$AG$72")</f>
        <v/>
      </c>
      <c r="D2718" s="400" t="str">
        <f t="shared" si="16"/>
        <v>IN</v>
      </c>
      <c r="E2718" s="403" t="str">
        <f t="array" ref="E2718">INDIRECT("Tableau!$AH$72")</f>
        <v/>
      </c>
    </row>
    <row r="2719">
      <c r="A2719" s="402">
        <f t="array" ref="A2719">INDIRECT("Tableau!$A$73")</f>
        <v>308</v>
      </c>
      <c r="B2719" s="398" t="s">
        <v>476</v>
      </c>
      <c r="C2719" s="400" t="str">
        <f t="array" ref="C2719">INDIRECT("Tableau!$AG$73")</f>
        <v/>
      </c>
      <c r="D2719" s="400" t="str">
        <f t="shared" si="16"/>
        <v>IN</v>
      </c>
      <c r="E2719" s="403" t="str">
        <f t="array" ref="E2719">INDIRECT("Tableau!$AH$73")</f>
        <v/>
      </c>
    </row>
    <row r="2720">
      <c r="A2720" s="397">
        <f t="array" ref="A2720">INDIRECT("Tableau!$A$74")</f>
        <v>319</v>
      </c>
      <c r="B2720" s="398" t="s">
        <v>476</v>
      </c>
      <c r="C2720" s="400" t="str">
        <f t="array" ref="C2720">INDIRECT("Tableau!$AG$74")</f>
        <v/>
      </c>
      <c r="D2720" s="400" t="str">
        <f t="shared" si="16"/>
        <v>IN</v>
      </c>
      <c r="E2720" s="403" t="str">
        <f t="array" ref="E2720">INDIRECT("Tableau!$AH$74")</f>
        <v/>
      </c>
    </row>
    <row r="2721">
      <c r="A2721" s="402">
        <f t="array" ref="A2721">INDIRECT("Tableau!$A$75")</f>
        <v>309</v>
      </c>
      <c r="B2721" s="398" t="s">
        <v>476</v>
      </c>
      <c r="C2721" s="400" t="str">
        <f t="array" ref="C2721">INDIRECT("Tableau!$AG$75")</f>
        <v/>
      </c>
      <c r="D2721" s="400" t="str">
        <f t="shared" si="16"/>
        <v>IN</v>
      </c>
      <c r="E2721" s="403" t="str">
        <f t="array" ref="E2721">INDIRECT("Tableau!$AH$75")</f>
        <v/>
      </c>
    </row>
    <row r="2722">
      <c r="A2722" s="402">
        <f t="array" ref="A2722">INDIRECT("Tableau!$A$76")</f>
        <v>310</v>
      </c>
      <c r="B2722" s="398" t="s">
        <v>476</v>
      </c>
      <c r="C2722" s="400" t="str">
        <f t="array" ref="C2722">INDIRECT("Tableau!$AG$76")</f>
        <v/>
      </c>
      <c r="D2722" s="400" t="str">
        <f t="shared" si="16"/>
        <v>IN</v>
      </c>
      <c r="E2722" s="403" t="str">
        <f t="array" ref="E2722">INDIRECT("Tableau!$AH$76")</f>
        <v/>
      </c>
    </row>
    <row r="2723">
      <c r="A2723" s="402">
        <f t="array" ref="A2723">INDIRECT("Tableau!$A$77")</f>
        <v>311</v>
      </c>
      <c r="B2723" s="398" t="s">
        <v>476</v>
      </c>
      <c r="C2723" s="400" t="str">
        <f t="array" ref="C2723">INDIRECT("Tableau!$AG$77")</f>
        <v/>
      </c>
      <c r="D2723" s="400" t="str">
        <f t="shared" si="16"/>
        <v>IN</v>
      </c>
      <c r="E2723" s="403" t="str">
        <f t="array" ref="E2723">INDIRECT("Tableau!$AH$77")</f>
        <v/>
      </c>
    </row>
    <row r="2724">
      <c r="A2724" s="402">
        <f t="array" ref="A2724">INDIRECT("Tableau!$A$78")</f>
        <v>312</v>
      </c>
      <c r="B2724" s="398" t="s">
        <v>476</v>
      </c>
      <c r="C2724" s="400" t="str">
        <f t="array" ref="C2724">INDIRECT("Tableau!$AG$78")</f>
        <v/>
      </c>
      <c r="D2724" s="400" t="str">
        <f t="shared" si="16"/>
        <v>IN</v>
      </c>
      <c r="E2724" s="403" t="str">
        <f t="array" ref="E2724">INDIRECT("Tableau!$AH$78")</f>
        <v/>
      </c>
    </row>
    <row r="2725">
      <c r="A2725" s="402">
        <f t="array" ref="A2725">INDIRECT("Tableau!$A$79")</f>
        <v>313</v>
      </c>
      <c r="B2725" s="398" t="s">
        <v>476</v>
      </c>
      <c r="C2725" s="400" t="str">
        <f t="array" ref="C2725">INDIRECT("Tableau!$AG$79")</f>
        <v/>
      </c>
      <c r="D2725" s="400" t="str">
        <f t="shared" si="16"/>
        <v>IN</v>
      </c>
      <c r="E2725" s="403" t="str">
        <f t="array" ref="E2725">INDIRECT("Tableau!$AH$79")</f>
        <v/>
      </c>
    </row>
    <row r="2726">
      <c r="A2726" s="402">
        <f t="array" ref="A2726">INDIRECT("Tableau!$A$80")</f>
        <v>314</v>
      </c>
      <c r="B2726" s="398" t="s">
        <v>476</v>
      </c>
      <c r="C2726" s="400" t="str">
        <f t="array" ref="C2726">INDIRECT("Tableau!$AG$80")</f>
        <v/>
      </c>
      <c r="D2726" s="400" t="str">
        <f t="shared" si="16"/>
        <v>IN</v>
      </c>
      <c r="E2726" s="403" t="str">
        <f t="array" ref="E2726">INDIRECT("Tableau!$AH$80")</f>
        <v/>
      </c>
    </row>
    <row r="2727">
      <c r="A2727" s="402">
        <f t="array" ref="A2727">INDIRECT("Tableau!$A$81")</f>
        <v>315</v>
      </c>
      <c r="B2727" s="398" t="s">
        <v>476</v>
      </c>
      <c r="C2727" s="400" t="str">
        <f t="array" ref="C2727">INDIRECT("Tableau!$AG$81")</f>
        <v/>
      </c>
      <c r="D2727" s="400" t="str">
        <f t="shared" si="16"/>
        <v>IN</v>
      </c>
      <c r="E2727" s="403" t="str">
        <f t="array" ref="E2727">INDIRECT("Tableau!$AH$81")</f>
        <v/>
      </c>
    </row>
    <row r="2728">
      <c r="A2728" s="402">
        <f t="array" ref="A2728">INDIRECT("Tableau!$A$82")</f>
        <v>316</v>
      </c>
      <c r="B2728" s="398" t="s">
        <v>476</v>
      </c>
      <c r="C2728" s="400" t="str">
        <f t="array" ref="C2728">INDIRECT("Tableau!$AG$82")</f>
        <v/>
      </c>
      <c r="D2728" s="400" t="str">
        <f t="shared" si="16"/>
        <v>IN</v>
      </c>
      <c r="E2728" s="403" t="str">
        <f t="array" ref="E2728">INDIRECT("Tableau!$AH$82")</f>
        <v/>
      </c>
    </row>
    <row r="2729">
      <c r="A2729" s="402">
        <f t="array" ref="A2729">INDIRECT("Tableau!$A$83")</f>
        <v>317</v>
      </c>
      <c r="B2729" s="398" t="s">
        <v>476</v>
      </c>
      <c r="C2729" s="400" t="str">
        <f t="array" ref="C2729">INDIRECT("Tableau!$AG$83")</f>
        <v/>
      </c>
      <c r="D2729" s="400" t="str">
        <f t="shared" si="16"/>
        <v>IN</v>
      </c>
      <c r="E2729" s="403" t="str">
        <f t="array" ref="E2729">INDIRECT("Tableau!$AH$83")</f>
        <v/>
      </c>
    </row>
    <row r="2730">
      <c r="A2730" s="402">
        <f t="array" ref="A2730">INDIRECT("Tableau!$A$84")</f>
        <v>318</v>
      </c>
      <c r="B2730" s="398" t="s">
        <v>476</v>
      </c>
      <c r="C2730" s="400" t="str">
        <f t="array" ref="C2730">INDIRECT("Tableau!$AG$84")</f>
        <v/>
      </c>
      <c r="D2730" s="400" t="str">
        <f t="shared" si="16"/>
        <v>IN</v>
      </c>
      <c r="E2730" s="403" t="str">
        <f t="array" ref="E2730">INDIRECT("Tableau!$AH$84")</f>
        <v/>
      </c>
    </row>
    <row r="2731">
      <c r="A2731" s="402">
        <f t="array" ref="A2731">INDIRECT("Tableau!$A$85")</f>
        <v>320</v>
      </c>
      <c r="B2731" s="398" t="s">
        <v>476</v>
      </c>
      <c r="C2731" s="400" t="str">
        <f t="array" ref="C2731">INDIRECT("Tableau!$AG$85")</f>
        <v/>
      </c>
      <c r="D2731" s="400" t="str">
        <f t="shared" si="16"/>
        <v>IN</v>
      </c>
      <c r="E2731" s="403" t="str">
        <f t="array" ref="E2731">INDIRECT("Tableau!$AH$85")</f>
        <v/>
      </c>
    </row>
    <row r="2732">
      <c r="A2732" s="402">
        <f t="array" ref="A2732">INDIRECT("Tableau!$A$86")</f>
        <v>321</v>
      </c>
      <c r="B2732" s="398" t="s">
        <v>476</v>
      </c>
      <c r="C2732" s="400" t="str">
        <f t="array" ref="C2732">INDIRECT("Tableau!$AG$86")</f>
        <v/>
      </c>
      <c r="D2732" s="400" t="str">
        <f t="shared" si="16"/>
        <v>IN</v>
      </c>
      <c r="E2732" s="403" t="str">
        <f t="array" ref="E2732">INDIRECT("Tableau!$AH$86")</f>
        <v/>
      </c>
    </row>
    <row r="2733">
      <c r="A2733" s="397" t="str">
        <f t="array" ref="A2733">INDIRECT("Tableau!$A$87")</f>
        <v/>
      </c>
      <c r="B2733" s="398" t="s">
        <v>476</v>
      </c>
      <c r="C2733" s="400" t="str">
        <f t="array" ref="C2733">INDIRECT("Tableau!$AG$87")</f>
        <v/>
      </c>
      <c r="D2733" s="400" t="str">
        <f t="shared" si="16"/>
        <v>IN</v>
      </c>
      <c r="E2733" s="403" t="str">
        <f t="array" ref="E2733">INDIRECT("Tableau!$AH$87")</f>
        <v/>
      </c>
    </row>
    <row r="2734">
      <c r="A2734" s="402">
        <f t="array" ref="A2734">INDIRECT("Tableau!$A$88")</f>
        <v>323</v>
      </c>
      <c r="B2734" s="398" t="s">
        <v>476</v>
      </c>
      <c r="C2734" s="400" t="str">
        <f t="array" ref="C2734">INDIRECT("Tableau!$AG$88")</f>
        <v/>
      </c>
      <c r="D2734" s="400" t="str">
        <f t="shared" si="16"/>
        <v>IN</v>
      </c>
      <c r="E2734" s="403" t="str">
        <f t="array" ref="E2734">INDIRECT("Tableau!$AH$88")</f>
        <v/>
      </c>
    </row>
    <row r="2735">
      <c r="A2735" s="402">
        <f t="array" ref="A2735">INDIRECT("Tableau!$A$89")</f>
        <v>324</v>
      </c>
      <c r="B2735" s="398" t="s">
        <v>476</v>
      </c>
      <c r="C2735" s="400" t="str">
        <f t="array" ref="C2735">INDIRECT("Tableau!$AG$89")</f>
        <v/>
      </c>
      <c r="D2735" s="400" t="str">
        <f t="shared" si="16"/>
        <v>IN</v>
      </c>
      <c r="E2735" s="403" t="str">
        <f t="array" ref="E2735">INDIRECT("Tableau!$AH$89")</f>
        <v/>
      </c>
    </row>
    <row r="2736">
      <c r="A2736" s="402">
        <f t="array" ref="A2736">INDIRECT("Tableau!$A$90")</f>
        <v>325</v>
      </c>
      <c r="B2736" s="398" t="s">
        <v>476</v>
      </c>
      <c r="C2736" s="400" t="str">
        <f t="array" ref="C2736">INDIRECT("Tableau!$AG$90")</f>
        <v/>
      </c>
      <c r="D2736" s="400" t="str">
        <f t="shared" si="16"/>
        <v>IN</v>
      </c>
      <c r="E2736" s="403" t="str">
        <f t="array" ref="E2736">INDIRECT("Tableau!$AH$90")</f>
        <v/>
      </c>
    </row>
    <row r="2737">
      <c r="A2737" s="402">
        <f t="array" ref="A2737">INDIRECT("Tableau!$A$91")</f>
        <v>326</v>
      </c>
      <c r="B2737" s="398" t="s">
        <v>476</v>
      </c>
      <c r="C2737" s="400" t="str">
        <f t="array" ref="C2737">INDIRECT("Tableau!$AG$91")</f>
        <v/>
      </c>
      <c r="D2737" s="400" t="str">
        <f t="shared" si="16"/>
        <v>IN</v>
      </c>
      <c r="E2737" s="403" t="str">
        <f t="array" ref="E2737">INDIRECT("Tableau!$AH$91")</f>
        <v/>
      </c>
    </row>
    <row r="2738">
      <c r="A2738" s="402">
        <f t="array" ref="A2738">INDIRECT("Tableau!$A$92")</f>
        <v>327</v>
      </c>
      <c r="B2738" s="398" t="s">
        <v>476</v>
      </c>
      <c r="C2738" s="400" t="str">
        <f t="array" ref="C2738">INDIRECT("Tableau!$AG$92")</f>
        <v>Grottes de Han</v>
      </c>
      <c r="D2738" s="400" t="str">
        <f t="shared" si="16"/>
        <v>IN</v>
      </c>
      <c r="E2738" s="403" t="str">
        <f t="array" ref="E2738">INDIRECT("Tableau!$AH$92")</f>
        <v/>
      </c>
    </row>
    <row r="2739">
      <c r="A2739" s="402">
        <f t="array" ref="A2739">INDIRECT("Tableau!$A$93")</f>
        <v>328</v>
      </c>
      <c r="B2739" s="398" t="s">
        <v>476</v>
      </c>
      <c r="C2739" s="400" t="str">
        <f t="array" ref="C2739">INDIRECT("Tableau!$AG$93")</f>
        <v/>
      </c>
      <c r="D2739" s="400" t="str">
        <f t="shared" si="16"/>
        <v>IN</v>
      </c>
      <c r="E2739" s="403" t="str">
        <f t="array" ref="E2739">INDIRECT("Tableau!$AH$93")</f>
        <v/>
      </c>
    </row>
    <row r="2740">
      <c r="A2740" s="402">
        <f t="array" ref="A2740">INDIRECT("Tableau!$A$94")</f>
        <v>329</v>
      </c>
      <c r="B2740" s="398" t="s">
        <v>476</v>
      </c>
      <c r="C2740" s="400" t="str">
        <f t="array" ref="C2740">INDIRECT("Tableau!$AG$94")</f>
        <v/>
      </c>
      <c r="D2740" s="400" t="str">
        <f t="shared" si="16"/>
        <v>IN</v>
      </c>
      <c r="E2740" s="403" t="str">
        <f t="array" ref="E2740">INDIRECT("Tableau!$AH$94")</f>
        <v/>
      </c>
    </row>
    <row r="2741">
      <c r="A2741" s="402">
        <f t="array" ref="A2741">INDIRECT("Tableau!$A$95")</f>
        <v>330</v>
      </c>
      <c r="B2741" s="398" t="s">
        <v>476</v>
      </c>
      <c r="C2741" s="400" t="str">
        <f t="array" ref="C2741">INDIRECT("Tableau!$AG$95")</f>
        <v/>
      </c>
      <c r="D2741" s="400" t="str">
        <f t="shared" si="16"/>
        <v>IN</v>
      </c>
      <c r="E2741" s="403" t="str">
        <f t="array" ref="E2741">INDIRECT("Tableau!$AH$95")</f>
        <v/>
      </c>
    </row>
    <row r="2742">
      <c r="A2742" s="402">
        <f t="array" ref="A2742">INDIRECT("Tableau!$A$96")</f>
        <v>331</v>
      </c>
      <c r="B2742" s="398" t="s">
        <v>476</v>
      </c>
      <c r="C2742" s="400" t="str">
        <f t="array" ref="C2742">INDIRECT("Tableau!$AG$96")</f>
        <v/>
      </c>
      <c r="D2742" s="400" t="str">
        <f t="shared" si="16"/>
        <v>IN</v>
      </c>
      <c r="E2742" s="403" t="str">
        <f t="array" ref="E2742">INDIRECT("Tableau!$AH$96")</f>
        <v/>
      </c>
    </row>
    <row r="2743">
      <c r="A2743" s="402">
        <f t="array" ref="A2743">INDIRECT("Tableau!$A$97")</f>
        <v>332</v>
      </c>
      <c r="B2743" s="398" t="s">
        <v>476</v>
      </c>
      <c r="C2743" s="400" t="str">
        <f t="array" ref="C2743">INDIRECT("Tableau!$AG$97")</f>
        <v>Immo Toma</v>
      </c>
      <c r="D2743" s="400" t="str">
        <f t="shared" si="16"/>
        <v>IN</v>
      </c>
      <c r="E2743" s="403" t="str">
        <f t="array" ref="E2743">INDIRECT("Tableau!$AH$97")</f>
        <v/>
      </c>
    </row>
    <row r="2744">
      <c r="A2744" s="402">
        <f t="array" ref="A2744">INDIRECT("Tableau!$A$98")</f>
        <v>333</v>
      </c>
      <c r="B2744" s="398" t="s">
        <v>476</v>
      </c>
      <c r="C2744" s="400" t="str">
        <f t="array" ref="C2744">INDIRECT("Tableau!$AG$98")</f>
        <v/>
      </c>
      <c r="D2744" s="400" t="str">
        <f t="shared" si="16"/>
        <v>IN</v>
      </c>
      <c r="E2744" s="403" t="str">
        <f t="array" ref="E2744">INDIRECT("Tableau!$AH$98")</f>
        <v/>
      </c>
    </row>
    <row r="2745">
      <c r="A2745" s="402">
        <f t="array" ref="A2745">INDIRECT("Tableau!$A$99")</f>
        <v>334</v>
      </c>
      <c r="B2745" s="398" t="s">
        <v>476</v>
      </c>
      <c r="C2745" s="400" t="str">
        <f t="array" ref="C2745">INDIRECT("Tableau!$AG$99")</f>
        <v/>
      </c>
      <c r="D2745" s="400" t="str">
        <f t="shared" si="16"/>
        <v>IN</v>
      </c>
      <c r="E2745" s="403" t="str">
        <f t="array" ref="E2745">INDIRECT("Tableau!$AH$99")</f>
        <v/>
      </c>
    </row>
    <row r="2746">
      <c r="A2746" s="402">
        <f t="array" ref="A2746">INDIRECT("Tableau!$A$100")</f>
        <v>335</v>
      </c>
      <c r="B2746" s="398" t="s">
        <v>476</v>
      </c>
      <c r="C2746" s="400" t="str">
        <f t="array" ref="C2746">INDIRECT("Tableau!$AG$100")</f>
        <v/>
      </c>
      <c r="D2746" s="400" t="str">
        <f t="shared" si="16"/>
        <v>IN</v>
      </c>
      <c r="E2746" s="403" t="str">
        <f t="array" ref="E2746">INDIRECT("Tableau!$AH$100")</f>
        <v/>
      </c>
    </row>
    <row r="2747">
      <c r="A2747" s="402">
        <f t="array" ref="A2747">INDIRECT("Tableau!$A$101")</f>
        <v>336</v>
      </c>
      <c r="B2747" s="398" t="s">
        <v>476</v>
      </c>
      <c r="C2747" s="400" t="str">
        <f t="array" ref="C2747">INDIRECT("Tableau!$AG$101")</f>
        <v/>
      </c>
      <c r="D2747" s="400" t="str">
        <f t="shared" si="16"/>
        <v>IN</v>
      </c>
      <c r="E2747" s="403" t="str">
        <f t="array" ref="E2747">INDIRECT("Tableau!$AH$101")</f>
        <v/>
      </c>
    </row>
    <row r="2748">
      <c r="A2748" s="402">
        <f t="array" ref="A2748">INDIRECT("Tableau!$A$102")</f>
        <v>337</v>
      </c>
      <c r="B2748" s="398" t="s">
        <v>476</v>
      </c>
      <c r="C2748" s="400" t="str">
        <f t="array" ref="C2748">INDIRECT("Tableau!$AG$102")</f>
        <v/>
      </c>
      <c r="D2748" s="400" t="str">
        <f t="shared" si="16"/>
        <v>IN</v>
      </c>
      <c r="E2748" s="403" t="str">
        <f t="array" ref="E2748">INDIRECT("Tableau!$AH$102")</f>
        <v/>
      </c>
    </row>
    <row r="2749">
      <c r="A2749" s="402">
        <f t="array" ref="A2749">INDIRECT("Tableau!$A$103")</f>
        <v>338</v>
      </c>
      <c r="B2749" s="398" t="s">
        <v>476</v>
      </c>
      <c r="C2749" s="400" t="str">
        <f t="array" ref="C2749">INDIRECT("Tableau!$AG$103")</f>
        <v/>
      </c>
      <c r="D2749" s="400" t="str">
        <f t="shared" si="16"/>
        <v>IN</v>
      </c>
      <c r="E2749" s="403" t="str">
        <f t="array" ref="E2749">INDIRECT("Tableau!$AH$103")</f>
        <v/>
      </c>
    </row>
    <row r="2750">
      <c r="A2750" s="402">
        <f t="array" ref="A2750">INDIRECT("Tableau!$A$104")</f>
        <v>339</v>
      </c>
      <c r="B2750" s="398" t="s">
        <v>476</v>
      </c>
      <c r="C2750" s="400" t="str">
        <f t="array" ref="C2750">INDIRECT("Tableau!$AG$104")</f>
        <v/>
      </c>
      <c r="D2750" s="400" t="str">
        <f t="shared" si="16"/>
        <v>IN</v>
      </c>
      <c r="E2750" s="403" t="str">
        <f t="array" ref="E2750">INDIRECT("Tableau!$AH$104")</f>
        <v/>
      </c>
    </row>
    <row r="2751">
      <c r="A2751" s="402">
        <f t="array" ref="A2751">INDIRECT("Tableau!$A$105")</f>
        <v>340</v>
      </c>
      <c r="B2751" s="398" t="s">
        <v>476</v>
      </c>
      <c r="C2751" s="400" t="str">
        <f t="array" ref="C2751">INDIRECT("Tableau!$AG$105")</f>
        <v/>
      </c>
      <c r="D2751" s="400" t="str">
        <f t="shared" si="16"/>
        <v>IN</v>
      </c>
      <c r="E2751" s="403" t="str">
        <f t="array" ref="E2751">INDIRECT("Tableau!$AH$105")</f>
        <v/>
      </c>
    </row>
    <row r="2752">
      <c r="A2752" s="402">
        <f t="array" ref="A2752">INDIRECT("Tableau!$A$106")</f>
        <v>341</v>
      </c>
      <c r="B2752" s="398" t="s">
        <v>476</v>
      </c>
      <c r="C2752" s="400" t="str">
        <f t="array" ref="C2752">INDIRECT("Tableau!$AG$106")</f>
        <v/>
      </c>
      <c r="D2752" s="400" t="str">
        <f t="shared" si="16"/>
        <v>IN</v>
      </c>
      <c r="E2752" s="403" t="str">
        <f t="array" ref="E2752">INDIRECT("Tableau!$AH$106")</f>
        <v/>
      </c>
    </row>
    <row r="2753">
      <c r="A2753" s="402">
        <f t="array" ref="A2753">INDIRECT("Tableau!$A$107")</f>
        <v>365</v>
      </c>
      <c r="B2753" s="398" t="s">
        <v>476</v>
      </c>
      <c r="C2753" s="400" t="str">
        <f t="array" ref="C2753">INDIRECT("Tableau!$AG$107")</f>
        <v>DPS</v>
      </c>
      <c r="D2753" s="400" t="str">
        <f t="shared" si="16"/>
        <v>IN</v>
      </c>
      <c r="E2753" s="403" t="str">
        <f t="array" ref="E2753">INDIRECT("Tableau!$AH$107")</f>
        <v/>
      </c>
    </row>
    <row r="2754">
      <c r="A2754" s="402">
        <f t="array" ref="A2754">INDIRECT("Tableau!$A$108")</f>
        <v>342</v>
      </c>
      <c r="B2754" s="398" t="s">
        <v>476</v>
      </c>
      <c r="C2754" s="400" t="str">
        <f t="array" ref="C2754">INDIRECT("Tableau!$AG$108")</f>
        <v/>
      </c>
      <c r="D2754" s="400" t="str">
        <f t="shared" si="16"/>
        <v>IN</v>
      </c>
      <c r="E2754" s="403" t="str">
        <f t="array" ref="E2754">INDIRECT("Tableau!$AH$108")</f>
        <v/>
      </c>
    </row>
    <row r="2755">
      <c r="A2755" s="402">
        <f t="array" ref="A2755">INDIRECT("Tableau!$A$109")</f>
        <v>343</v>
      </c>
      <c r="B2755" s="398" t="s">
        <v>476</v>
      </c>
      <c r="C2755" s="400" t="str">
        <f t="array" ref="C2755">INDIRECT("Tableau!$AG$109")</f>
        <v>Immo Toma</v>
      </c>
      <c r="D2755" s="400" t="str">
        <f t="shared" si="16"/>
        <v>IN</v>
      </c>
      <c r="E2755" s="403" t="str">
        <f t="array" ref="E2755">INDIRECT("Tableau!$AH$109")</f>
        <v/>
      </c>
    </row>
    <row r="2756">
      <c r="A2756" s="402">
        <f t="array" ref="A2756">INDIRECT("Tableau!$A$110")</f>
        <v>344</v>
      </c>
      <c r="B2756" s="398" t="s">
        <v>476</v>
      </c>
      <c r="C2756" s="400" t="str">
        <f t="array" ref="C2756">INDIRECT("Tableau!$AG$110")</f>
        <v/>
      </c>
      <c r="D2756" s="400" t="str">
        <f t="shared" si="16"/>
        <v>IN</v>
      </c>
      <c r="E2756" s="403" t="str">
        <f t="array" ref="E2756">INDIRECT("Tableau!$AH$110")</f>
        <v/>
      </c>
    </row>
    <row r="2757">
      <c r="A2757" s="402">
        <f t="array" ref="A2757">INDIRECT("Tableau!$A$111")</f>
        <v>363</v>
      </c>
      <c r="B2757" s="398" t="s">
        <v>476</v>
      </c>
      <c r="C2757" s="400" t="str">
        <f t="array" ref="C2757">INDIRECT("Tableau!$AG$111")</f>
        <v>Grottes de Han</v>
      </c>
      <c r="D2757" s="400" t="str">
        <f t="shared" si="16"/>
        <v>IN</v>
      </c>
      <c r="E2757" s="403" t="str">
        <f t="array" ref="E2757">INDIRECT("Tableau!$AH$111")</f>
        <v/>
      </c>
    </row>
    <row r="2758">
      <c r="A2758" s="402">
        <f t="array" ref="A2758">INDIRECT("Tableau!$A$112")</f>
        <v>345</v>
      </c>
      <c r="B2758" s="398" t="s">
        <v>476</v>
      </c>
      <c r="C2758" s="400" t="str">
        <f t="array" ref="C2758">INDIRECT("Tableau!$AG$112")</f>
        <v/>
      </c>
      <c r="D2758" s="400" t="str">
        <f t="shared" si="16"/>
        <v>IN</v>
      </c>
      <c r="E2758" s="403" t="str">
        <f t="array" ref="E2758">INDIRECT("Tableau!$AH$112")</f>
        <v/>
      </c>
    </row>
    <row r="2759">
      <c r="A2759" s="402">
        <f t="array" ref="A2759">INDIRECT("Tableau!$A$113")</f>
        <v>346</v>
      </c>
      <c r="B2759" s="398" t="s">
        <v>476</v>
      </c>
      <c r="C2759" s="400" t="str">
        <f t="array" ref="C2759">INDIRECT("Tableau!$AG$113")</f>
        <v/>
      </c>
      <c r="D2759" s="400" t="str">
        <f t="shared" si="16"/>
        <v>IN</v>
      </c>
      <c r="E2759" s="403" t="str">
        <f t="array" ref="E2759">INDIRECT("Tableau!$AH$113")</f>
        <v/>
      </c>
    </row>
    <row r="2760">
      <c r="A2760" s="402">
        <f t="array" ref="A2760">INDIRECT("Tableau!$A$114")</f>
        <v>359</v>
      </c>
      <c r="B2760" s="398" t="s">
        <v>476</v>
      </c>
      <c r="C2760" s="400" t="str">
        <f t="array" ref="C2760">INDIRECT("Tableau!$AG$114")</f>
        <v/>
      </c>
      <c r="D2760" s="400" t="str">
        <f t="shared" si="16"/>
        <v>IN</v>
      </c>
      <c r="E2760" s="403" t="str">
        <f t="array" ref="E2760">INDIRECT("Tableau!$AH$114")</f>
        <v/>
      </c>
    </row>
    <row r="2761">
      <c r="A2761" s="402">
        <f t="array" ref="A2761">INDIRECT("Tableau!$A$115")</f>
        <v>360</v>
      </c>
      <c r="B2761" s="398" t="s">
        <v>476</v>
      </c>
      <c r="C2761" s="400" t="str">
        <f t="array" ref="C2761">INDIRECT("Tableau!$AG$115")</f>
        <v/>
      </c>
      <c r="D2761" s="400" t="str">
        <f t="shared" si="16"/>
        <v>IN</v>
      </c>
      <c r="E2761" s="403" t="str">
        <f t="array" ref="E2761">INDIRECT("Tableau!$AH$115")</f>
        <v/>
      </c>
    </row>
    <row r="2762">
      <c r="A2762" s="402">
        <f t="array" ref="A2762">INDIRECT("Tableau!$A$116")</f>
        <v>361</v>
      </c>
      <c r="B2762" s="398" t="s">
        <v>476</v>
      </c>
      <c r="C2762" s="400" t="str">
        <f t="array" ref="C2762">INDIRECT("Tableau!$AG$116")</f>
        <v>Grottes de Han</v>
      </c>
      <c r="D2762" s="400" t="str">
        <f t="shared" si="16"/>
        <v>IN</v>
      </c>
      <c r="E2762" s="403" t="str">
        <f t="array" ref="E2762">INDIRECT("Tableau!$AH$116")</f>
        <v/>
      </c>
    </row>
    <row r="2763">
      <c r="A2763" s="397" t="str">
        <f t="array" ref="A2763">INDIRECT("Tableau!$A$117")</f>
        <v/>
      </c>
      <c r="B2763" s="398" t="s">
        <v>476</v>
      </c>
      <c r="C2763" s="400" t="str">
        <f t="array" ref="C2763">INDIRECT("Tableau!$AG$117")</f>
        <v/>
      </c>
      <c r="D2763" s="400" t="str">
        <f t="shared" si="16"/>
        <v>IN</v>
      </c>
      <c r="E2763" s="403" t="str">
        <f t="array" ref="E2763">INDIRECT("Tableau!$AH$117")</f>
        <v/>
      </c>
    </row>
    <row r="2764">
      <c r="A2764" s="402">
        <f t="array" ref="A2764">INDIRECT("Tableau!$A$118")</f>
        <v>347</v>
      </c>
      <c r="B2764" s="398" t="s">
        <v>476</v>
      </c>
      <c r="C2764" s="400" t="str">
        <f t="array" ref="C2764">INDIRECT("Tableau!$AG$118")</f>
        <v>BP Martelange</v>
      </c>
      <c r="D2764" s="400" t="str">
        <f t="shared" si="16"/>
        <v>IN</v>
      </c>
      <c r="E2764" s="403" t="str">
        <f t="array" ref="E2764">INDIRECT("Tableau!$AH$118")</f>
        <v/>
      </c>
    </row>
    <row r="2765">
      <c r="A2765" s="402">
        <f t="array" ref="A2765">INDIRECT("Tableau!$A$119")</f>
        <v>348</v>
      </c>
      <c r="B2765" s="398" t="s">
        <v>476</v>
      </c>
      <c r="C2765" s="400" t="str">
        <f t="array" ref="C2765">INDIRECT("Tableau!$AG$119")</f>
        <v/>
      </c>
      <c r="D2765" s="400" t="str">
        <f t="shared" si="16"/>
        <v>IN</v>
      </c>
      <c r="E2765" s="403" t="str">
        <f t="array" ref="E2765">INDIRECT("Tableau!$AH$119")</f>
        <v/>
      </c>
    </row>
    <row r="2766">
      <c r="A2766" s="402">
        <f t="array" ref="A2766">INDIRECT("Tableau!$A$120")</f>
        <v>349</v>
      </c>
      <c r="B2766" s="398" t="s">
        <v>476</v>
      </c>
      <c r="C2766" s="400" t="str">
        <f t="array" ref="C2766">INDIRECT("Tableau!$AG$120")</f>
        <v>Grottes de Han</v>
      </c>
      <c r="D2766" s="400" t="str">
        <f t="shared" si="16"/>
        <v>IN</v>
      </c>
      <c r="E2766" s="403" t="str">
        <f t="array" ref="E2766">INDIRECT("Tableau!$AH$120")</f>
        <v/>
      </c>
    </row>
    <row r="2767">
      <c r="A2767" s="402">
        <f t="array" ref="A2767">INDIRECT("Tableau!$A$121")</f>
        <v>350</v>
      </c>
      <c r="B2767" s="398" t="s">
        <v>476</v>
      </c>
      <c r="C2767" s="400" t="str">
        <f t="array" ref="C2767">INDIRECT("Tableau!$AG$121")</f>
        <v/>
      </c>
      <c r="D2767" s="400" t="str">
        <f t="shared" si="16"/>
        <v>IN</v>
      </c>
      <c r="E2767" s="403" t="str">
        <f t="array" ref="E2767">INDIRECT("Tableau!$AH$121")</f>
        <v/>
      </c>
    </row>
    <row r="2768">
      <c r="A2768" s="402">
        <f t="array" ref="A2768">INDIRECT("Tableau!$A$122")</f>
        <v>351</v>
      </c>
      <c r="B2768" s="398" t="s">
        <v>476</v>
      </c>
      <c r="C2768" s="400" t="str">
        <f t="array" ref="C2768">INDIRECT("Tableau!$AG$122")</f>
        <v/>
      </c>
      <c r="D2768" s="400" t="str">
        <f t="shared" si="16"/>
        <v>IN</v>
      </c>
      <c r="E2768" s="403" t="str">
        <f t="array" ref="E2768">INDIRECT("Tableau!$AH$122")</f>
        <v/>
      </c>
    </row>
    <row r="2769">
      <c r="A2769" s="402">
        <f t="array" ref="A2769">INDIRECT("Tableau!$A$123")</f>
        <v>352</v>
      </c>
      <c r="B2769" s="398" t="s">
        <v>476</v>
      </c>
      <c r="C2769" s="400" t="str">
        <f t="array" ref="C2769">INDIRECT("Tableau!$AG$123")</f>
        <v/>
      </c>
      <c r="D2769" s="400" t="str">
        <f t="shared" si="16"/>
        <v>IN</v>
      </c>
      <c r="E2769" s="403" t="str">
        <f t="array" ref="E2769">INDIRECT("Tableau!$AH$123")</f>
        <v/>
      </c>
    </row>
    <row r="2770">
      <c r="A2770" s="402">
        <f t="array" ref="A2770">INDIRECT("Tableau!$A$124")</f>
        <v>353</v>
      </c>
      <c r="B2770" s="398" t="s">
        <v>476</v>
      </c>
      <c r="C2770" s="400" t="str">
        <f t="array" ref="C2770">INDIRECT("Tableau!$AG$124")</f>
        <v/>
      </c>
      <c r="D2770" s="400" t="str">
        <f t="shared" si="16"/>
        <v>IN</v>
      </c>
      <c r="E2770" s="403" t="str">
        <f t="array" ref="E2770">INDIRECT("Tableau!$AH$124")</f>
        <v/>
      </c>
    </row>
    <row r="2771">
      <c r="A2771" s="397" t="str">
        <f t="array" ref="A2771">INDIRECT("Tableau!$A$125")</f>
        <v/>
      </c>
      <c r="B2771" s="398" t="s">
        <v>476</v>
      </c>
      <c r="C2771" s="400" t="str">
        <f t="array" ref="C2771">INDIRECT("Tableau!$AG$125")</f>
        <v/>
      </c>
      <c r="D2771" s="400" t="str">
        <f t="shared" si="16"/>
        <v>IN</v>
      </c>
      <c r="E2771" s="403" t="str">
        <f t="array" ref="E2771">INDIRECT("Tableau!$AH$125")</f>
        <v/>
      </c>
    </row>
    <row r="2772">
      <c r="A2772" s="402">
        <f t="array" ref="A2772">INDIRECT("Tableau!$A$126")</f>
        <v>354</v>
      </c>
      <c r="B2772" s="398" t="s">
        <v>476</v>
      </c>
      <c r="C2772" s="400" t="str">
        <f t="array" ref="C2772">INDIRECT("Tableau!$AG$126")</f>
        <v/>
      </c>
      <c r="D2772" s="400" t="str">
        <f t="shared" si="16"/>
        <v>IN</v>
      </c>
      <c r="E2772" s="403" t="str">
        <f t="array" ref="E2772">INDIRECT("Tableau!$AH$126")</f>
        <v/>
      </c>
    </row>
    <row r="2773">
      <c r="A2773" s="402">
        <f t="array" ref="A2773">INDIRECT("Tableau!$A$127")</f>
        <v>355</v>
      </c>
      <c r="B2773" s="398" t="s">
        <v>476</v>
      </c>
      <c r="C2773" s="400" t="str">
        <f t="array" ref="C2773">INDIRECT("Tableau!$AG$127")</f>
        <v/>
      </c>
      <c r="D2773" s="400" t="str">
        <f t="shared" si="16"/>
        <v>IN</v>
      </c>
      <c r="E2773" s="403" t="str">
        <f t="array" ref="E2773">INDIRECT("Tableau!$AH$127")</f>
        <v/>
      </c>
    </row>
    <row r="2774">
      <c r="A2774" s="402">
        <f t="array" ref="A2774">INDIRECT("Tableau!$A$128")</f>
        <v>356</v>
      </c>
      <c r="B2774" s="398" t="s">
        <v>476</v>
      </c>
      <c r="C2774" s="400" t="str">
        <f t="array" ref="C2774">INDIRECT("Tableau!$AG$128")</f>
        <v>Immo Toma</v>
      </c>
      <c r="D2774" s="400" t="str">
        <f t="shared" si="16"/>
        <v>IN</v>
      </c>
      <c r="E2774" s="403" t="str">
        <f t="array" ref="E2774">INDIRECT("Tableau!$AH$128")</f>
        <v/>
      </c>
    </row>
    <row r="2775">
      <c r="A2775" s="402">
        <f t="array" ref="A2775">INDIRECT("Tableau!$A$129")</f>
        <v>357</v>
      </c>
      <c r="B2775" s="398" t="s">
        <v>476</v>
      </c>
      <c r="C2775" s="400" t="str">
        <f t="array" ref="C2775">INDIRECT("Tableau!$AG$129")</f>
        <v/>
      </c>
      <c r="D2775" s="400" t="str">
        <f t="shared" si="16"/>
        <v>IN</v>
      </c>
      <c r="E2775" s="403" t="str">
        <f t="array" ref="E2775">INDIRECT("Tableau!$AH$129")</f>
        <v/>
      </c>
    </row>
    <row r="2776">
      <c r="A2776" s="397" t="str">
        <f t="array" ref="A2776">INDIRECT("Tableau!$A$130")</f>
        <v/>
      </c>
      <c r="B2776" s="398" t="s">
        <v>476</v>
      </c>
      <c r="C2776" s="400" t="str">
        <f t="array" ref="C2776">INDIRECT("Tableau!$AG$130")</f>
        <v/>
      </c>
      <c r="D2776" s="400" t="str">
        <f t="shared" si="16"/>
        <v>IN</v>
      </c>
      <c r="E2776" s="403" t="str">
        <f t="array" ref="E2776">INDIRECT("Tableau!$AH$130")</f>
        <v/>
      </c>
    </row>
    <row r="2777">
      <c r="A2777" s="397" t="str">
        <f t="array" ref="A2777">INDIRECT("Tableau!$A$131")</f>
        <v/>
      </c>
      <c r="B2777" s="398" t="s">
        <v>476</v>
      </c>
      <c r="C2777" s="400" t="str">
        <f t="array" ref="C2777">INDIRECT("Tableau!$AG$131")</f>
        <v/>
      </c>
      <c r="D2777" s="400" t="str">
        <f t="shared" si="16"/>
        <v>IN</v>
      </c>
      <c r="E2777" s="403" t="str">
        <f t="array" ref="E2777">INDIRECT("Tableau!$AH$131")</f>
        <v/>
      </c>
    </row>
    <row r="2778">
      <c r="A2778" s="397" t="str">
        <f t="array" ref="A2778">INDIRECT("Tableau!$A$132")</f>
        <v/>
      </c>
      <c r="B2778" s="398" t="s">
        <v>476</v>
      </c>
      <c r="C2778" s="400" t="str">
        <f t="array" ref="C2778">INDIRECT("Tableau!$AG$132")</f>
        <v/>
      </c>
      <c r="D2778" s="400" t="str">
        <f t="shared" si="16"/>
        <v>IN</v>
      </c>
      <c r="E2778" s="403" t="str">
        <f t="array" ref="E2778">INDIRECT("Tableau!$AH$132")</f>
        <v/>
      </c>
    </row>
    <row r="2779">
      <c r="A2779" s="397" t="str">
        <f t="array" ref="A2779">INDIRECT("Tableau!$A$133")</f>
        <v/>
      </c>
      <c r="B2779" s="398" t="s">
        <v>476</v>
      </c>
      <c r="C2779" s="400" t="str">
        <f t="array" ref="C2779">INDIRECT("Tableau!$AG$133")</f>
        <v/>
      </c>
      <c r="D2779" s="400" t="str">
        <f t="shared" si="16"/>
        <v>IN</v>
      </c>
      <c r="E2779" s="403" t="str">
        <f t="array" ref="E2779">INDIRECT("Tableau!$AH$133")</f>
        <v/>
      </c>
    </row>
    <row r="2780">
      <c r="A2780" s="397" t="str">
        <f t="array" ref="A2780">INDIRECT("Tableau!$A$134")</f>
        <v/>
      </c>
      <c r="B2780" s="398" t="s">
        <v>476</v>
      </c>
      <c r="C2780" s="400" t="str">
        <f t="array" ref="C2780">INDIRECT("Tableau!$AG$134")</f>
        <v/>
      </c>
      <c r="D2780" s="400" t="str">
        <f t="shared" si="16"/>
        <v>IN</v>
      </c>
      <c r="E2780" s="403" t="str">
        <f t="array" ref="E2780">INDIRECT("Tableau!$AH$134")</f>
        <v/>
      </c>
    </row>
    <row r="2781">
      <c r="A2781" s="402">
        <f t="array" ref="A2781">INDIRECT("Tableau!$A$135")</f>
        <v>401</v>
      </c>
      <c r="B2781" s="398" t="s">
        <v>476</v>
      </c>
      <c r="C2781" s="400" t="str">
        <f t="array" ref="C2781">INDIRECT("Tableau!$AG$135")</f>
        <v>Immo Toma</v>
      </c>
      <c r="D2781" s="400" t="str">
        <f t="shared" si="16"/>
        <v>IN</v>
      </c>
      <c r="E2781" s="403" t="str">
        <f t="array" ref="E2781">INDIRECT("Tableau!$AH$135")</f>
        <v/>
      </c>
    </row>
    <row r="2782">
      <c r="A2782" s="402">
        <f t="array" ref="A2782">INDIRECT("Tableau!$A$136")</f>
        <v>402</v>
      </c>
      <c r="B2782" s="398" t="s">
        <v>476</v>
      </c>
      <c r="C2782" s="400" t="str">
        <f t="array" ref="C2782">INDIRECT("Tableau!$AG$136")</f>
        <v>Grottes de Han</v>
      </c>
      <c r="D2782" s="400" t="str">
        <f t="shared" si="16"/>
        <v>IN</v>
      </c>
      <c r="E2782" s="403" t="str">
        <f t="array" ref="E2782">INDIRECT("Tableau!$AH$136")</f>
        <v/>
      </c>
    </row>
    <row r="2783">
      <c r="A2783" s="402">
        <f t="array" ref="A2783">INDIRECT("Tableau!$A$137")</f>
        <v>403</v>
      </c>
      <c r="B2783" s="398" t="s">
        <v>476</v>
      </c>
      <c r="C2783" s="400" t="str">
        <f t="array" ref="C2783">INDIRECT("Tableau!$AG$137")</f>
        <v/>
      </c>
      <c r="D2783" s="400" t="str">
        <f t="shared" si="16"/>
        <v>IN</v>
      </c>
      <c r="E2783" s="403" t="str">
        <f t="array" ref="E2783">INDIRECT("Tableau!$AH$137")</f>
        <v/>
      </c>
    </row>
    <row r="2784">
      <c r="A2784" s="402">
        <f t="array" ref="A2784">INDIRECT("Tableau!$A$138")</f>
        <v>404</v>
      </c>
      <c r="B2784" s="398" t="s">
        <v>476</v>
      </c>
      <c r="C2784" s="400" t="str">
        <f t="array" ref="C2784">INDIRECT("Tableau!$AG$138")</f>
        <v/>
      </c>
      <c r="D2784" s="400" t="str">
        <f t="shared" si="16"/>
        <v>IN</v>
      </c>
      <c r="E2784" s="403" t="str">
        <f t="array" ref="E2784">INDIRECT("Tableau!$AH$138")</f>
        <v/>
      </c>
    </row>
    <row r="2785">
      <c r="A2785" s="402">
        <f t="array" ref="A2785">INDIRECT("Tableau!$A$139")</f>
        <v>405</v>
      </c>
      <c r="B2785" s="398" t="s">
        <v>476</v>
      </c>
      <c r="C2785" s="400" t="str">
        <f t="array" ref="C2785">INDIRECT("Tableau!$AG$139")</f>
        <v/>
      </c>
      <c r="D2785" s="400" t="str">
        <f t="shared" si="16"/>
        <v>IN</v>
      </c>
      <c r="E2785" s="403" t="str">
        <f t="array" ref="E2785">INDIRECT("Tableau!$AH$139")</f>
        <v/>
      </c>
    </row>
    <row r="2786">
      <c r="A2786" s="402">
        <f t="array" ref="A2786">INDIRECT("Tableau!$A$140")</f>
        <v>406</v>
      </c>
      <c r="B2786" s="398" t="s">
        <v>476</v>
      </c>
      <c r="C2786" s="400" t="str">
        <f t="array" ref="C2786">INDIRECT("Tableau!$AG$140")</f>
        <v/>
      </c>
      <c r="D2786" s="400" t="str">
        <f t="shared" si="16"/>
        <v>IN</v>
      </c>
      <c r="E2786" s="403" t="str">
        <f t="array" ref="E2786">INDIRECT("Tableau!$AH$140")</f>
        <v/>
      </c>
    </row>
    <row r="2787">
      <c r="A2787" s="402">
        <f t="array" ref="A2787">INDIRECT("Tableau!$A$141")</f>
        <v>407</v>
      </c>
      <c r="B2787" s="398" t="s">
        <v>476</v>
      </c>
      <c r="C2787" s="400" t="str">
        <f t="array" ref="C2787">INDIRECT("Tableau!$AG$141")</f>
        <v/>
      </c>
      <c r="D2787" s="400" t="str">
        <f t="shared" si="16"/>
        <v>IN</v>
      </c>
      <c r="E2787" s="403" t="str">
        <f t="array" ref="E2787">INDIRECT("Tableau!$AH$141")</f>
        <v/>
      </c>
    </row>
    <row r="2788">
      <c r="A2788" s="402">
        <f t="array" ref="A2788">INDIRECT("Tableau!$A$142")</f>
        <v>408</v>
      </c>
      <c r="B2788" s="398" t="s">
        <v>476</v>
      </c>
      <c r="C2788" s="400" t="str">
        <f t="array" ref="C2788">INDIRECT("Tableau!$AG$142")</f>
        <v/>
      </c>
      <c r="D2788" s="400" t="str">
        <f t="shared" si="16"/>
        <v>IN</v>
      </c>
      <c r="E2788" s="403" t="str">
        <f t="array" ref="E2788">INDIRECT("Tableau!$AH$142")</f>
        <v/>
      </c>
    </row>
    <row r="2789">
      <c r="A2789" s="402">
        <f t="array" ref="A2789">INDIRECT("Tableau!$A$143")</f>
        <v>409</v>
      </c>
      <c r="B2789" s="398" t="s">
        <v>476</v>
      </c>
      <c r="C2789" s="400" t="str">
        <f t="array" ref="C2789">INDIRECT("Tableau!$AG$143")</f>
        <v/>
      </c>
      <c r="D2789" s="400" t="str">
        <f t="shared" si="16"/>
        <v>IN</v>
      </c>
      <c r="E2789" s="403" t="str">
        <f t="array" ref="E2789">INDIRECT("Tableau!$AH$143")</f>
        <v/>
      </c>
    </row>
    <row r="2790">
      <c r="A2790" s="397">
        <f t="array" ref="A2790">INDIRECT("Tableau!$A$144")</f>
        <v>415</v>
      </c>
      <c r="B2790" s="398" t="s">
        <v>476</v>
      </c>
      <c r="C2790" s="400" t="str">
        <f t="array" ref="C2790">INDIRECT("Tableau!$AG$144")</f>
        <v/>
      </c>
      <c r="D2790" s="400" t="str">
        <f t="shared" si="16"/>
        <v>IN</v>
      </c>
      <c r="E2790" s="403" t="str">
        <f t="array" ref="E2790">INDIRECT("Tableau!$AH$144")</f>
        <v/>
      </c>
    </row>
    <row r="2791">
      <c r="A2791" s="397" t="str">
        <f t="array" ref="A2791">INDIRECT("Tableau!$A$145")</f>
        <v/>
      </c>
      <c r="B2791" s="398" t="s">
        <v>476</v>
      </c>
      <c r="C2791" s="400" t="str">
        <f t="array" ref="C2791">INDIRECT("Tableau!$AG$145")</f>
        <v/>
      </c>
      <c r="D2791" s="400" t="str">
        <f t="shared" si="16"/>
        <v>IN</v>
      </c>
      <c r="E2791" s="403" t="str">
        <f t="array" ref="E2791">INDIRECT("Tableau!$AH$145")</f>
        <v/>
      </c>
    </row>
    <row r="2792">
      <c r="A2792" s="397" t="str">
        <f t="array" ref="A2792">INDIRECT("Tableau!$A$146")</f>
        <v/>
      </c>
      <c r="B2792" s="398" t="s">
        <v>476</v>
      </c>
      <c r="C2792" s="400" t="str">
        <f t="array" ref="C2792">INDIRECT("Tableau!$AG$146")</f>
        <v/>
      </c>
      <c r="D2792" s="400" t="str">
        <f t="shared" si="16"/>
        <v>IN</v>
      </c>
      <c r="E2792" s="403" t="str">
        <f t="array" ref="E2792">INDIRECT("Tableau!$AH$146")</f>
        <v/>
      </c>
    </row>
    <row r="2793">
      <c r="A2793" s="397" t="str">
        <f t="array" ref="A2793">INDIRECT("Tableau!$A$147")</f>
        <v/>
      </c>
      <c r="B2793" s="398" t="s">
        <v>476</v>
      </c>
      <c r="C2793" s="400" t="str">
        <f t="array" ref="C2793">INDIRECT("Tableau!$AG$147")</f>
        <v/>
      </c>
      <c r="D2793" s="400" t="str">
        <f t="shared" si="16"/>
        <v>IN</v>
      </c>
      <c r="E2793" s="403" t="str">
        <f t="array" ref="E2793">INDIRECT("Tableau!$AH$147")</f>
        <v/>
      </c>
    </row>
    <row r="2794">
      <c r="A2794" s="397" t="str">
        <f t="array" ref="A2794">INDIRECT("Tableau!$A$148")</f>
        <v/>
      </c>
      <c r="B2794" s="398" t="s">
        <v>476</v>
      </c>
      <c r="C2794" s="400" t="str">
        <f t="array" ref="C2794">INDIRECT("Tableau!$AG$148")</f>
        <v/>
      </c>
      <c r="D2794" s="400" t="str">
        <f t="shared" si="16"/>
        <v>IN</v>
      </c>
      <c r="E2794" s="403" t="str">
        <f t="array" ref="E2794">INDIRECT("Tableau!$AH$148")</f>
        <v/>
      </c>
    </row>
    <row r="2795">
      <c r="A2795" s="397" t="str">
        <f t="array" ref="A2795">INDIRECT("Tableau!$A$149")</f>
        <v/>
      </c>
      <c r="B2795" s="398" t="s">
        <v>476</v>
      </c>
      <c r="C2795" s="400" t="str">
        <f t="array" ref="C2795">INDIRECT("Tableau!$AG$149")</f>
        <v/>
      </c>
      <c r="D2795" s="400" t="str">
        <f t="shared" si="16"/>
        <v>IN</v>
      </c>
      <c r="E2795" s="403" t="str">
        <f t="array" ref="E2795">INDIRECT("Tableau!$AH$149")</f>
        <v/>
      </c>
    </row>
    <row r="2796">
      <c r="A2796" s="397" t="str">
        <f t="array" ref="A2796">INDIRECT("Tableau!$A$150")</f>
        <v/>
      </c>
      <c r="B2796" s="398" t="s">
        <v>476</v>
      </c>
      <c r="C2796" s="400" t="str">
        <f t="array" ref="C2796">INDIRECT("Tableau!$AG$150")</f>
        <v/>
      </c>
      <c r="D2796" s="400" t="str">
        <f t="shared" si="16"/>
        <v>IN</v>
      </c>
      <c r="E2796" s="403" t="str">
        <f t="array" ref="E2796">INDIRECT("Tableau!$AH$150")</f>
        <v/>
      </c>
    </row>
    <row r="2797">
      <c r="A2797" s="397" t="str">
        <f t="array" ref="A2797">INDIRECT("Tableau!$A$151")</f>
        <v/>
      </c>
      <c r="B2797" s="398" t="s">
        <v>476</v>
      </c>
      <c r="C2797" s="400" t="str">
        <f t="array" ref="C2797">INDIRECT("Tableau!$AG$151")</f>
        <v/>
      </c>
      <c r="D2797" s="400" t="str">
        <f t="shared" si="16"/>
        <v>IN</v>
      </c>
      <c r="E2797" s="403" t="str">
        <f t="array" ref="E2797">INDIRECT("Tableau!$AH$151")</f>
        <v/>
      </c>
    </row>
    <row r="2798">
      <c r="A2798" s="397" t="str">
        <f t="array" ref="A2798">INDIRECT("Tableau!$A$152")</f>
        <v/>
      </c>
      <c r="B2798" s="398" t="s">
        <v>476</v>
      </c>
      <c r="C2798" s="400" t="str">
        <f t="array" ref="C2798">INDIRECT("Tableau!$AG$152")</f>
        <v/>
      </c>
      <c r="D2798" s="400" t="str">
        <f t="shared" si="16"/>
        <v>IN</v>
      </c>
      <c r="E2798" s="403" t="str">
        <f t="array" ref="E2798">INDIRECT("Tableau!$AH$152")</f>
        <v/>
      </c>
    </row>
    <row r="2799">
      <c r="A2799" s="397" t="str">
        <f t="array" ref="A2799">INDIRECT("Tableau!$A$153")</f>
        <v/>
      </c>
      <c r="B2799" s="398" t="s">
        <v>476</v>
      </c>
      <c r="C2799" s="400" t="str">
        <f t="array" ref="C2799">INDIRECT("Tableau!$AG$153")</f>
        <v/>
      </c>
      <c r="D2799" s="400" t="str">
        <f t="shared" si="16"/>
        <v>IN</v>
      </c>
      <c r="E2799" s="403" t="str">
        <f t="array" ref="E2799">INDIRECT("Tableau!$AH$153")</f>
        <v/>
      </c>
    </row>
    <row r="2800">
      <c r="A2800" s="402">
        <f t="array" ref="A2800">INDIRECT("Tableau!$A$154")</f>
        <v>501</v>
      </c>
      <c r="B2800" s="398" t="s">
        <v>476</v>
      </c>
      <c r="C2800" s="400" t="str">
        <f t="array" ref="C2800">INDIRECT("Tableau!$AG$154")</f>
        <v/>
      </c>
      <c r="D2800" s="400" t="str">
        <f t="shared" si="16"/>
        <v>IN</v>
      </c>
      <c r="E2800" s="403" t="str">
        <f t="array" ref="E2800">INDIRECT("Tableau!$AH$154")</f>
        <v/>
      </c>
    </row>
    <row r="2801">
      <c r="A2801" s="402">
        <f t="array" ref="A2801">INDIRECT("Tableau!$A$155")</f>
        <v>502</v>
      </c>
      <c r="B2801" s="398" t="s">
        <v>476</v>
      </c>
      <c r="C2801" s="400" t="str">
        <f t="array" ref="C2801">INDIRECT("Tableau!$AG$155")</f>
        <v>DPS</v>
      </c>
      <c r="D2801" s="400" t="str">
        <f t="shared" si="16"/>
        <v>IN</v>
      </c>
      <c r="E2801" s="403" t="str">
        <f t="array" ref="E2801">INDIRECT("Tableau!$AH$155")</f>
        <v/>
      </c>
    </row>
    <row r="2802">
      <c r="A2802" s="397" t="str">
        <f t="array" ref="A2802">INDIRECT("Tableau!$A$156")</f>
        <v/>
      </c>
      <c r="B2802" s="398" t="s">
        <v>476</v>
      </c>
      <c r="C2802" s="400" t="str">
        <f t="array" ref="C2802">INDIRECT("Tableau!$AG$156")</f>
        <v/>
      </c>
      <c r="D2802" s="400" t="str">
        <f t="shared" si="16"/>
        <v>IN</v>
      </c>
      <c r="E2802" s="403" t="str">
        <f t="array" ref="E2802">INDIRECT("Tableau!$AH$156")</f>
        <v/>
      </c>
    </row>
    <row r="2803">
      <c r="A2803" s="397" t="str">
        <f t="array" ref="A2803">INDIRECT("Tableau!$A$157")</f>
        <v/>
      </c>
      <c r="B2803" s="398" t="s">
        <v>476</v>
      </c>
      <c r="C2803" s="400" t="str">
        <f t="array" ref="C2803">INDIRECT("Tableau!$AG$157")</f>
        <v/>
      </c>
      <c r="D2803" s="400" t="str">
        <f t="shared" si="16"/>
        <v>IN</v>
      </c>
      <c r="E2803" s="403" t="str">
        <f t="array" ref="E2803">INDIRECT("Tableau!$AH$157")</f>
        <v/>
      </c>
    </row>
    <row r="2804">
      <c r="A2804" s="402">
        <f t="array" ref="A2804">INDIRECT("Tableau!$A$158")</f>
        <v>505</v>
      </c>
      <c r="B2804" s="398" t="s">
        <v>476</v>
      </c>
      <c r="C2804" s="400" t="str">
        <f t="array" ref="C2804">INDIRECT("Tableau!$AG$158")</f>
        <v>DPS</v>
      </c>
      <c r="D2804" s="400" t="str">
        <f t="shared" si="16"/>
        <v>IN</v>
      </c>
      <c r="E2804" s="403" t="str">
        <f t="array" ref="E2804">INDIRECT("Tableau!$AH$158")</f>
        <v/>
      </c>
    </row>
    <row r="2805">
      <c r="A2805" s="402">
        <f t="array" ref="A2805">INDIRECT("Tableau!$A$159")</f>
        <v>506</v>
      </c>
      <c r="B2805" s="398" t="s">
        <v>476</v>
      </c>
      <c r="C2805" s="400" t="str">
        <f t="array" ref="C2805">INDIRECT("Tableau!$AG$159")</f>
        <v/>
      </c>
      <c r="D2805" s="400" t="str">
        <f t="shared" si="16"/>
        <v>IN</v>
      </c>
      <c r="E2805" s="403" t="str">
        <f t="array" ref="E2805">INDIRECT("Tableau!$AH$159")</f>
        <v/>
      </c>
    </row>
    <row r="2806">
      <c r="A2806" s="402">
        <f t="array" ref="A2806">INDIRECT("Tableau!$A$160")</f>
        <v>507</v>
      </c>
      <c r="B2806" s="398" t="s">
        <v>476</v>
      </c>
      <c r="C2806" s="400" t="str">
        <f t="array" ref="C2806">INDIRECT("Tableau!$AG$160")</f>
        <v>DPS</v>
      </c>
      <c r="D2806" s="400" t="str">
        <f t="shared" si="16"/>
        <v>IN</v>
      </c>
      <c r="E2806" s="403" t="str">
        <f t="array" ref="E2806">INDIRECT("Tableau!$AH$160")</f>
        <v/>
      </c>
    </row>
    <row r="2807">
      <c r="A2807" s="402">
        <f t="array" ref="A2807">INDIRECT("Tableau!$A$161")</f>
        <v>508</v>
      </c>
      <c r="B2807" s="398" t="s">
        <v>476</v>
      </c>
      <c r="C2807" s="400" t="str">
        <f t="array" ref="C2807">INDIRECT("Tableau!$AG$161")</f>
        <v/>
      </c>
      <c r="D2807" s="400" t="str">
        <f t="shared" si="16"/>
        <v>IN</v>
      </c>
      <c r="E2807" s="403" t="str">
        <f t="array" ref="E2807">INDIRECT("Tableau!$AH$161")</f>
        <v/>
      </c>
    </row>
    <row r="2808">
      <c r="A2808" s="402">
        <f t="array" ref="A2808">INDIRECT("Tableau!$A$162")</f>
        <v>509</v>
      </c>
      <c r="B2808" s="398" t="s">
        <v>476</v>
      </c>
      <c r="C2808" s="400" t="str">
        <f t="array" ref="C2808">INDIRECT("Tableau!$AG$162")</f>
        <v/>
      </c>
      <c r="D2808" s="400" t="str">
        <f t="shared" si="16"/>
        <v>IN</v>
      </c>
      <c r="E2808" s="403" t="str">
        <f t="array" ref="E2808">INDIRECT("Tableau!$AH$162")</f>
        <v/>
      </c>
    </row>
    <row r="2809">
      <c r="A2809" s="397">
        <f t="array" ref="A2809">INDIRECT("Tableau!$A$163")</f>
        <v>510</v>
      </c>
      <c r="B2809" s="398" t="s">
        <v>476</v>
      </c>
      <c r="C2809" s="400" t="str">
        <f t="array" ref="C2809">INDIRECT("Tableau!$AG$163")</f>
        <v>DPS</v>
      </c>
      <c r="D2809" s="400" t="str">
        <f t="shared" si="16"/>
        <v>IN</v>
      </c>
      <c r="E2809" s="403" t="str">
        <f t="array" ref="E2809">INDIRECT("Tableau!$AH$163")</f>
        <v/>
      </c>
    </row>
    <row r="2810">
      <c r="A2810" s="397" t="str">
        <f t="array" ref="A2810">INDIRECT("Tableau!$A$164")</f>
        <v/>
      </c>
      <c r="B2810" s="398" t="s">
        <v>476</v>
      </c>
      <c r="C2810" s="400" t="str">
        <f t="array" ref="C2810">INDIRECT("Tableau!$AG$164")</f>
        <v/>
      </c>
      <c r="D2810" s="400" t="str">
        <f t="shared" si="16"/>
        <v>IN</v>
      </c>
      <c r="E2810" s="403" t="str">
        <f t="array" ref="E2810">INDIRECT("Tableau!$AH$164")</f>
        <v/>
      </c>
    </row>
    <row r="2811">
      <c r="A2811" s="397" t="str">
        <f t="array" ref="A2811">INDIRECT("Tableau!$A$165")</f>
        <v/>
      </c>
      <c r="B2811" s="398" t="s">
        <v>476</v>
      </c>
      <c r="C2811" s="400" t="str">
        <f t="array" ref="C2811">INDIRECT("Tableau!$AG$165")</f>
        <v/>
      </c>
      <c r="D2811" s="400" t="str">
        <f t="shared" si="16"/>
        <v>IN</v>
      </c>
      <c r="E2811" s="403" t="str">
        <f t="array" ref="E2811">INDIRECT("Tableau!$AH$165")</f>
        <v/>
      </c>
    </row>
    <row r="2812">
      <c r="A2812" s="402">
        <f t="array" ref="A2812">INDIRECT("Tableau!$A$166")</f>
        <v>527</v>
      </c>
      <c r="B2812" s="398" t="s">
        <v>476</v>
      </c>
      <c r="C2812" s="400" t="str">
        <f t="array" ref="C2812">INDIRECT("Tableau!$AG$166")</f>
        <v/>
      </c>
      <c r="D2812" s="400" t="str">
        <f t="shared" si="16"/>
        <v>IN</v>
      </c>
      <c r="E2812" s="403" t="str">
        <f t="array" ref="E2812">INDIRECT("Tableau!$AH$166")</f>
        <v/>
      </c>
    </row>
    <row r="2813">
      <c r="A2813" s="402">
        <f t="array" ref="A2813">INDIRECT("Tableau!$A$167")</f>
        <v>512</v>
      </c>
      <c r="B2813" s="398" t="s">
        <v>476</v>
      </c>
      <c r="C2813" s="400" t="str">
        <f t="array" ref="C2813">INDIRECT("Tableau!$AG$167")</f>
        <v>Grottes de Han</v>
      </c>
      <c r="D2813" s="400" t="str">
        <f t="shared" si="16"/>
        <v>IN</v>
      </c>
      <c r="E2813" s="403" t="str">
        <f t="array" ref="E2813">INDIRECT("Tableau!$AH$167")</f>
        <v/>
      </c>
    </row>
    <row r="2814">
      <c r="A2814" s="402">
        <f t="array" ref="A2814">INDIRECT("Tableau!$A$168")</f>
        <v>513</v>
      </c>
      <c r="B2814" s="398" t="s">
        <v>476</v>
      </c>
      <c r="C2814" s="400" t="str">
        <f t="array" ref="C2814">INDIRECT("Tableau!$AG$168")</f>
        <v/>
      </c>
      <c r="D2814" s="400" t="str">
        <f t="shared" si="16"/>
        <v>IN</v>
      </c>
      <c r="E2814" s="403" t="str">
        <f t="array" ref="E2814">INDIRECT("Tableau!$AH$168")</f>
        <v/>
      </c>
    </row>
    <row r="2815">
      <c r="A2815" s="402">
        <f t="array" ref="A2815">INDIRECT("Tableau!$A$169")</f>
        <v>514</v>
      </c>
      <c r="B2815" s="398" t="s">
        <v>476</v>
      </c>
      <c r="C2815" s="400" t="str">
        <f t="array" ref="C2815">INDIRECT("Tableau!$AG$169")</f>
        <v/>
      </c>
      <c r="D2815" s="400" t="str">
        <f t="shared" si="16"/>
        <v>IN</v>
      </c>
      <c r="E2815" s="403" t="str">
        <f t="array" ref="E2815">INDIRECT("Tableau!$AH$169")</f>
        <v/>
      </c>
    </row>
    <row r="2816">
      <c r="A2816" s="402">
        <f t="array" ref="A2816">INDIRECT("Tableau!$A$170")</f>
        <v>515</v>
      </c>
      <c r="B2816" s="398" t="s">
        <v>476</v>
      </c>
      <c r="C2816" s="400" t="str">
        <f t="array" ref="C2816">INDIRECT("Tableau!$AG$170")</f>
        <v/>
      </c>
      <c r="D2816" s="400" t="str">
        <f t="shared" si="16"/>
        <v>IN</v>
      </c>
      <c r="E2816" s="403" t="str">
        <f t="array" ref="E2816">INDIRECT("Tableau!$AH$170")</f>
        <v/>
      </c>
    </row>
    <row r="2817">
      <c r="A2817" s="402">
        <f t="array" ref="A2817">INDIRECT("Tableau!$A$171")</f>
        <v>517</v>
      </c>
      <c r="B2817" s="398" t="s">
        <v>476</v>
      </c>
      <c r="C2817" s="400" t="str">
        <f t="array" ref="C2817">INDIRECT("Tableau!$AG$171")</f>
        <v/>
      </c>
      <c r="D2817" s="400" t="str">
        <f t="shared" si="16"/>
        <v>IN</v>
      </c>
      <c r="E2817" s="403" t="str">
        <f t="array" ref="E2817">INDIRECT("Tableau!$AH$171")</f>
        <v/>
      </c>
    </row>
    <row r="2818">
      <c r="A2818" s="402">
        <f t="array" ref="A2818">INDIRECT("Tableau!$A$172")</f>
        <v>518</v>
      </c>
      <c r="B2818" s="398" t="s">
        <v>476</v>
      </c>
      <c r="C2818" s="400" t="str">
        <f t="array" ref="C2818">INDIRECT("Tableau!$AG$172")</f>
        <v/>
      </c>
      <c r="D2818" s="400" t="str">
        <f t="shared" si="16"/>
        <v>IN</v>
      </c>
      <c r="E2818" s="403" t="str">
        <f t="array" ref="E2818">INDIRECT("Tableau!$AH$172")</f>
        <v/>
      </c>
    </row>
    <row r="2819">
      <c r="A2819" s="397" t="str">
        <f t="array" ref="A2819">INDIRECT("Tableau!$A$173")</f>
        <v/>
      </c>
      <c r="B2819" s="398" t="s">
        <v>476</v>
      </c>
      <c r="C2819" s="400" t="str">
        <f t="array" ref="C2819">INDIRECT("Tableau!$AG$173")</f>
        <v/>
      </c>
      <c r="D2819" s="400" t="str">
        <f t="shared" si="16"/>
        <v>IN</v>
      </c>
      <c r="E2819" s="403" t="str">
        <f t="array" ref="E2819">INDIRECT("Tableau!$AH$173")</f>
        <v/>
      </c>
    </row>
    <row r="2820">
      <c r="A2820" s="402">
        <f t="array" ref="A2820">INDIRECT("Tableau!$A$174")</f>
        <v>520</v>
      </c>
      <c r="B2820" s="398" t="s">
        <v>476</v>
      </c>
      <c r="C2820" s="400" t="str">
        <f t="array" ref="C2820">INDIRECT("Tableau!$AG$174")</f>
        <v/>
      </c>
      <c r="D2820" s="400" t="str">
        <f t="shared" si="16"/>
        <v>IN</v>
      </c>
      <c r="E2820" s="403" t="str">
        <f t="array" ref="E2820">INDIRECT("Tableau!$AH$174")</f>
        <v/>
      </c>
    </row>
    <row r="2821">
      <c r="A2821" s="402">
        <f t="array" ref="A2821">INDIRECT("Tableau!$A$175")</f>
        <v>521</v>
      </c>
      <c r="B2821" s="398" t="s">
        <v>476</v>
      </c>
      <c r="C2821" s="400" t="str">
        <f t="array" ref="C2821">INDIRECT("Tableau!$AG$175")</f>
        <v>Grottes de Han</v>
      </c>
      <c r="D2821" s="400" t="str">
        <f t="shared" si="16"/>
        <v>IN</v>
      </c>
      <c r="E2821" s="403" t="str">
        <f t="array" ref="E2821">INDIRECT("Tableau!$AH$175")</f>
        <v/>
      </c>
    </row>
    <row r="2822">
      <c r="A2822" s="402">
        <f t="array" ref="A2822">INDIRECT("Tableau!$A$176")</f>
        <v>525</v>
      </c>
      <c r="B2822" s="398" t="s">
        <v>476</v>
      </c>
      <c r="C2822" s="400" t="str">
        <f t="array" ref="C2822">INDIRECT("Tableau!$AG$176")</f>
        <v>Grottes de Han</v>
      </c>
      <c r="D2822" s="400" t="str">
        <f t="shared" si="16"/>
        <v>IN</v>
      </c>
      <c r="E2822" s="403" t="str">
        <f t="array" ref="E2822">INDIRECT("Tableau!$AH$176")</f>
        <v/>
      </c>
    </row>
    <row r="2823">
      <c r="A2823" s="402">
        <f t="array" ref="A2823">INDIRECT("Tableau!$A$177")</f>
        <v>530</v>
      </c>
      <c r="B2823" s="398" t="s">
        <v>476</v>
      </c>
      <c r="C2823" s="400" t="str">
        <f t="array" ref="C2823">INDIRECT("Tableau!$AG$177")</f>
        <v>Grottes de Han</v>
      </c>
      <c r="D2823" s="400" t="str">
        <f t="shared" si="16"/>
        <v>IN</v>
      </c>
      <c r="E2823" s="403" t="str">
        <f t="array" ref="E2823">INDIRECT("Tableau!$AH$177")</f>
        <v/>
      </c>
    </row>
    <row r="2824">
      <c r="A2824" s="397" t="str">
        <f t="array" ref="A2824">INDIRECT("Tableau!$A$178")</f>
        <v/>
      </c>
      <c r="B2824" s="398" t="s">
        <v>476</v>
      </c>
      <c r="C2824" s="400" t="str">
        <f t="array" ref="C2824">INDIRECT("Tableau!$AG$178")</f>
        <v/>
      </c>
      <c r="D2824" s="400" t="str">
        <f t="shared" si="16"/>
        <v>IN</v>
      </c>
      <c r="E2824" s="403" t="str">
        <f t="array" ref="E2824">INDIRECT("Tableau!$AH$178")</f>
        <v/>
      </c>
    </row>
    <row r="2825">
      <c r="A2825" s="397" t="str">
        <f t="array" ref="A2825">INDIRECT("Tableau!$A$179")</f>
        <v/>
      </c>
      <c r="B2825" s="398" t="s">
        <v>476</v>
      </c>
      <c r="C2825" s="400" t="str">
        <f t="array" ref="C2825">INDIRECT("Tableau!$AG$179")</f>
        <v/>
      </c>
      <c r="D2825" s="400" t="str">
        <f t="shared" si="16"/>
        <v>IN</v>
      </c>
      <c r="E2825" s="403" t="str">
        <f t="array" ref="E2825">INDIRECT("Tableau!$AH$179")</f>
        <v/>
      </c>
    </row>
    <row r="2826">
      <c r="A2826" s="397" t="str">
        <f t="array" ref="A2826">INDIRECT("Tableau!$A$180")</f>
        <v/>
      </c>
      <c r="B2826" s="398" t="s">
        <v>476</v>
      </c>
      <c r="C2826" s="400" t="str">
        <f t="array" ref="C2826">INDIRECT("Tableau!$AG$180")</f>
        <v/>
      </c>
      <c r="D2826" s="400" t="str">
        <f t="shared" si="16"/>
        <v>IN</v>
      </c>
      <c r="E2826" s="403" t="str">
        <f t="array" ref="E2826">INDIRECT("Tableau!$AH$180")</f>
        <v/>
      </c>
    </row>
    <row r="2827">
      <c r="A2827" s="397" t="str">
        <f t="array" ref="A2827">INDIRECT("Tableau!$A$181")</f>
        <v/>
      </c>
      <c r="B2827" s="398" t="s">
        <v>476</v>
      </c>
      <c r="C2827" s="400" t="str">
        <f t="array" ref="C2827">INDIRECT("Tableau!$AG$181")</f>
        <v/>
      </c>
      <c r="D2827" s="400" t="str">
        <f t="shared" si="16"/>
        <v>IN</v>
      </c>
      <c r="E2827" s="403" t="str">
        <f t="array" ref="E2827">INDIRECT("Tableau!$AH$181")</f>
        <v/>
      </c>
    </row>
    <row r="2828">
      <c r="A2828" s="397" t="str">
        <f t="array" ref="A2828">INDIRECT("Tableau!$A$182")</f>
        <v/>
      </c>
      <c r="B2828" s="398" t="s">
        <v>476</v>
      </c>
      <c r="C2828" s="400" t="str">
        <f t="array" ref="C2828">INDIRECT("Tableau!$AG$182")</f>
        <v/>
      </c>
      <c r="D2828" s="400" t="str">
        <f t="shared" si="16"/>
        <v>IN</v>
      </c>
      <c r="E2828" s="403" t="str">
        <f t="array" ref="E2828">INDIRECT("Tableau!$AH$182")</f>
        <v/>
      </c>
    </row>
    <row r="2829">
      <c r="A2829" s="397" t="str">
        <f t="array" ref="A2829">INDIRECT("Tableau!$A$183")</f>
        <v/>
      </c>
      <c r="B2829" s="398" t="s">
        <v>476</v>
      </c>
      <c r="C2829" s="400" t="str">
        <f t="array" ref="C2829">INDIRECT("Tableau!$AG$183")</f>
        <v/>
      </c>
      <c r="D2829" s="400" t="str">
        <f t="shared" si="16"/>
        <v>IN</v>
      </c>
      <c r="E2829" s="403" t="str">
        <f t="array" ref="E2829">INDIRECT("Tableau!$AH$183")</f>
        <v/>
      </c>
    </row>
    <row r="2830">
      <c r="A2830" s="397" t="str">
        <f t="array" ref="A2830">INDIRECT("Tableau!$A$184")</f>
        <v/>
      </c>
      <c r="B2830" s="398" t="s">
        <v>476</v>
      </c>
      <c r="C2830" s="400" t="str">
        <f t="array" ref="C2830">INDIRECT("Tableau!$AG$184")</f>
        <v/>
      </c>
      <c r="D2830" s="400" t="str">
        <f t="shared" si="16"/>
        <v>IN</v>
      </c>
      <c r="E2830" s="403" t="str">
        <f t="array" ref="E2830">INDIRECT("Tableau!$AH$184")</f>
        <v/>
      </c>
    </row>
    <row r="2831">
      <c r="A2831" s="397" t="str">
        <f t="array" ref="A2831">INDIRECT("Tableau!$A$185")</f>
        <v/>
      </c>
      <c r="B2831" s="398" t="s">
        <v>476</v>
      </c>
      <c r="C2831" s="400" t="str">
        <f t="array" ref="C2831">INDIRECT("Tableau!$AG$185")</f>
        <v/>
      </c>
      <c r="D2831" s="400" t="str">
        <f t="shared" si="16"/>
        <v>IN</v>
      </c>
      <c r="E2831" s="403" t="str">
        <f t="array" ref="E2831">INDIRECT("Tableau!$AH$185")</f>
        <v/>
      </c>
    </row>
    <row r="2832">
      <c r="A2832" s="397" t="str">
        <f t="array" ref="A2832">INDIRECT("Tableau!$A$186")</f>
        <v/>
      </c>
      <c r="B2832" s="398" t="s">
        <v>476</v>
      </c>
      <c r="C2832" s="400" t="str">
        <f t="array" ref="C2832">INDIRECT("Tableau!$AG$186")</f>
        <v/>
      </c>
      <c r="D2832" s="400" t="str">
        <f t="shared" si="16"/>
        <v>IN</v>
      </c>
      <c r="E2832" s="403" t="str">
        <f t="array" ref="E2832">INDIRECT("Tableau!$AH$186")</f>
        <v/>
      </c>
    </row>
    <row r="2833">
      <c r="A2833" s="397" t="str">
        <f t="array" ref="A2833">INDIRECT("Tableau!$A$187")</f>
        <v/>
      </c>
      <c r="B2833" s="398" t="s">
        <v>476</v>
      </c>
      <c r="C2833" s="400" t="str">
        <f t="array" ref="C2833">INDIRECT("Tableau!$AG$187")</f>
        <v/>
      </c>
      <c r="D2833" s="400" t="str">
        <f t="shared" si="16"/>
        <v>IN</v>
      </c>
      <c r="E2833" s="403" t="str">
        <f t="array" ref="E2833">INDIRECT("Tableau!$AH$187")</f>
        <v/>
      </c>
    </row>
    <row r="2834">
      <c r="A2834" s="397" t="str">
        <f t="array" ref="A2834">INDIRECT("Tableau!$A$188")</f>
        <v/>
      </c>
      <c r="B2834" s="398" t="s">
        <v>476</v>
      </c>
      <c r="C2834" s="400" t="str">
        <f t="array" ref="C2834">INDIRECT("Tableau!$AG$188")</f>
        <v/>
      </c>
      <c r="D2834" s="400" t="str">
        <f t="shared" si="16"/>
        <v>IN</v>
      </c>
      <c r="E2834" s="403" t="str">
        <f t="array" ref="E2834">INDIRECT("Tableau!$AH$188")</f>
        <v/>
      </c>
    </row>
    <row r="2835">
      <c r="A2835" s="397" t="str">
        <f t="array" ref="A2835">INDIRECT("Tableau!$A$189")</f>
        <v/>
      </c>
      <c r="B2835" s="398" t="s">
        <v>476</v>
      </c>
      <c r="C2835" s="400" t="str">
        <f t="array" ref="C2835">INDIRECT("Tableau!$AG$189")</f>
        <v/>
      </c>
      <c r="D2835" s="400" t="str">
        <f t="shared" si="16"/>
        <v>IN</v>
      </c>
      <c r="E2835" s="403" t="str">
        <f t="array" ref="E2835">INDIRECT("Tableau!$AH$189")</f>
        <v/>
      </c>
    </row>
    <row r="2836">
      <c r="A2836" s="397" t="str">
        <f t="array" ref="A2836">INDIRECT("Tableau!$A$190")</f>
        <v/>
      </c>
      <c r="B2836" s="398" t="s">
        <v>476</v>
      </c>
      <c r="C2836" s="400" t="str">
        <f t="array" ref="C2836">INDIRECT("Tableau!$AG$190")</f>
        <v/>
      </c>
      <c r="D2836" s="400" t="str">
        <f t="shared" si="16"/>
        <v>IN</v>
      </c>
      <c r="E2836" s="403" t="str">
        <f t="array" ref="E2836">INDIRECT("Tableau!$AH$190")</f>
        <v/>
      </c>
    </row>
    <row r="2837">
      <c r="A2837" s="397" t="str">
        <f t="array" ref="A2837">INDIRECT("Tableau!$A$2")</f>
        <v/>
      </c>
      <c r="B2837" s="398" t="s">
        <v>476</v>
      </c>
      <c r="C2837" s="400" t="str">
        <f t="array" ref="C2837">INDIRECT("Tableau!$AI$2")</f>
        <v/>
      </c>
      <c r="D2837" s="400" t="str">
        <f t="shared" ref="D2837:D3025" si="17">INDIRECT("Tableau!$AJ$1")</f>
        <v>OUT</v>
      </c>
      <c r="E2837" s="403" t="str">
        <f t="array" ref="E2837">INDIRECT("Tableau!$AJ$2")</f>
        <v/>
      </c>
    </row>
    <row r="2838">
      <c r="A2838" s="402">
        <f t="array" ref="A2838">INDIRECT("Tableau!$A$3")</f>
        <v>102</v>
      </c>
      <c r="B2838" s="398" t="s">
        <v>476</v>
      </c>
      <c r="C2838" s="400" t="str">
        <f t="array" ref="C2838">INDIRECT("Tableau!$AI$3")</f>
        <v/>
      </c>
      <c r="D2838" s="400" t="str">
        <f t="shared" si="17"/>
        <v>OUT</v>
      </c>
      <c r="E2838" s="403" t="str">
        <f t="array" ref="E2838">INDIRECT("Tableau!$AJ$3")</f>
        <v/>
      </c>
    </row>
    <row r="2839">
      <c r="A2839" s="397" t="str">
        <f t="array" ref="A2839">INDIRECT("Tableau!$A$4")</f>
        <v/>
      </c>
      <c r="B2839" s="398" t="s">
        <v>476</v>
      </c>
      <c r="C2839" s="400" t="str">
        <f t="array" ref="C2839">INDIRECT("Tableau!$AI$4")</f>
        <v/>
      </c>
      <c r="D2839" s="400" t="str">
        <f t="shared" si="17"/>
        <v>OUT</v>
      </c>
      <c r="E2839" s="403" t="str">
        <f t="array" ref="E2839">INDIRECT("Tableau!$AJ$4")</f>
        <v/>
      </c>
    </row>
    <row r="2840">
      <c r="A2840" s="402">
        <f t="array" ref="A2840">INDIRECT("Tableau!$A$5")</f>
        <v>104</v>
      </c>
      <c r="B2840" s="398" t="s">
        <v>476</v>
      </c>
      <c r="C2840" s="400" t="str">
        <f t="array" ref="C2840">INDIRECT("Tableau!$AI$5")</f>
        <v/>
      </c>
      <c r="D2840" s="400" t="str">
        <f t="shared" si="17"/>
        <v>OUT</v>
      </c>
      <c r="E2840" s="403" t="str">
        <f t="array" ref="E2840">INDIRECT("Tableau!$AJ$5")</f>
        <v/>
      </c>
    </row>
    <row r="2841">
      <c r="A2841" s="402">
        <f t="array" ref="A2841">INDIRECT("Tableau!$A$6")</f>
        <v>105</v>
      </c>
      <c r="B2841" s="398" t="s">
        <v>476</v>
      </c>
      <c r="C2841" s="400" t="str">
        <f t="array" ref="C2841">INDIRECT("Tableau!$AI$6")</f>
        <v/>
      </c>
      <c r="D2841" s="400" t="str">
        <f t="shared" si="17"/>
        <v>OUT</v>
      </c>
      <c r="E2841" s="403" t="str">
        <f t="array" ref="E2841">INDIRECT("Tableau!$AJ$6")</f>
        <v/>
      </c>
    </row>
    <row r="2842">
      <c r="A2842" s="402">
        <f t="array" ref="A2842">INDIRECT("Tableau!$A$7")</f>
        <v>106</v>
      </c>
      <c r="B2842" s="398" t="s">
        <v>476</v>
      </c>
      <c r="C2842" s="400" t="str">
        <f t="array" ref="C2842">INDIRECT("Tableau!$AI$7")</f>
        <v/>
      </c>
      <c r="D2842" s="400" t="str">
        <f t="shared" si="17"/>
        <v>OUT</v>
      </c>
      <c r="E2842" s="403" t="str">
        <f t="array" ref="E2842">INDIRECT("Tableau!$AJ$7")</f>
        <v/>
      </c>
    </row>
    <row r="2843">
      <c r="A2843" s="402">
        <f t="array" ref="A2843">INDIRECT("Tableau!$A$8")</f>
        <v>107</v>
      </c>
      <c r="B2843" s="398" t="s">
        <v>476</v>
      </c>
      <c r="C2843" s="400" t="str">
        <f t="array" ref="C2843">INDIRECT("Tableau!$AI$8")</f>
        <v/>
      </c>
      <c r="D2843" s="400" t="str">
        <f t="shared" si="17"/>
        <v>OUT</v>
      </c>
      <c r="E2843" s="403" t="str">
        <f t="array" ref="E2843">INDIRECT("Tableau!$AJ$8")</f>
        <v/>
      </c>
    </row>
    <row r="2844">
      <c r="A2844" s="397">
        <f t="array" ref="A2844">INDIRECT("Tableau!$A$9")</f>
        <v>108</v>
      </c>
      <c r="B2844" s="398" t="s">
        <v>476</v>
      </c>
      <c r="C2844" s="400" t="str">
        <f t="array" ref="C2844">INDIRECT("Tableau!$AI$9")</f>
        <v/>
      </c>
      <c r="D2844" s="400" t="str">
        <f t="shared" si="17"/>
        <v>OUT</v>
      </c>
      <c r="E2844" s="403" t="str">
        <f t="array" ref="E2844">INDIRECT("Tableau!$AJ$9")</f>
        <v/>
      </c>
    </row>
    <row r="2845">
      <c r="A2845" s="402">
        <f t="array" ref="A2845">INDIRECT("Tableau!$A$10")</f>
        <v>109</v>
      </c>
      <c r="B2845" s="398" t="s">
        <v>476</v>
      </c>
      <c r="C2845" s="400" t="str">
        <f t="array" ref="C2845">INDIRECT("Tableau!$AI$10")</f>
        <v/>
      </c>
      <c r="D2845" s="400" t="str">
        <f t="shared" si="17"/>
        <v>OUT</v>
      </c>
      <c r="E2845" s="403" t="str">
        <f t="array" ref="E2845">INDIRECT("Tableau!$AJ$10")</f>
        <v/>
      </c>
    </row>
    <row r="2846">
      <c r="A2846" s="402">
        <f t="array" ref="A2846">INDIRECT("Tableau!$A$11")</f>
        <v>110</v>
      </c>
      <c r="B2846" s="398" t="s">
        <v>476</v>
      </c>
      <c r="C2846" s="400" t="str">
        <f t="array" ref="C2846">INDIRECT("Tableau!$AI$11")</f>
        <v/>
      </c>
      <c r="D2846" s="400" t="str">
        <f t="shared" si="17"/>
        <v>OUT</v>
      </c>
      <c r="E2846" s="403" t="str">
        <f t="array" ref="E2846">INDIRECT("Tableau!$AJ$11")</f>
        <v/>
      </c>
    </row>
    <row r="2847">
      <c r="A2847" s="402">
        <f t="array" ref="A2847">INDIRECT("Tableau!$A$12")</f>
        <v>111</v>
      </c>
      <c r="B2847" s="398" t="s">
        <v>476</v>
      </c>
      <c r="C2847" s="400" t="str">
        <f t="array" ref="C2847">INDIRECT("Tableau!$AI$12")</f>
        <v/>
      </c>
      <c r="D2847" s="400" t="str">
        <f t="shared" si="17"/>
        <v>OUT</v>
      </c>
      <c r="E2847" s="403" t="str">
        <f t="array" ref="E2847">INDIRECT("Tableau!$AJ$12")</f>
        <v/>
      </c>
    </row>
    <row r="2848">
      <c r="A2848" s="402">
        <f t="array" ref="A2848">INDIRECT("Tableau!$A$13")</f>
        <v>112</v>
      </c>
      <c r="B2848" s="398" t="s">
        <v>476</v>
      </c>
      <c r="C2848" s="400" t="str">
        <f t="array" ref="C2848">INDIRECT("Tableau!$AI$13")</f>
        <v/>
      </c>
      <c r="D2848" s="400" t="str">
        <f t="shared" si="17"/>
        <v>OUT</v>
      </c>
      <c r="E2848" s="403" t="str">
        <f t="array" ref="E2848">INDIRECT("Tableau!$AJ$13")</f>
        <v/>
      </c>
    </row>
    <row r="2849">
      <c r="A2849" s="402">
        <f t="array" ref="A2849">INDIRECT("Tableau!$A$14")</f>
        <v>113</v>
      </c>
      <c r="B2849" s="398" t="s">
        <v>476</v>
      </c>
      <c r="C2849" s="400" t="str">
        <f t="array" ref="C2849">INDIRECT("Tableau!$AI$14")</f>
        <v/>
      </c>
      <c r="D2849" s="400" t="str">
        <f t="shared" si="17"/>
        <v>OUT</v>
      </c>
      <c r="E2849" s="403" t="str">
        <f t="array" ref="E2849">INDIRECT("Tableau!$AJ$14")</f>
        <v/>
      </c>
    </row>
    <row r="2850">
      <c r="A2850" s="397">
        <f t="array" ref="A2850">INDIRECT("Tableau!$A$15")</f>
        <v>114</v>
      </c>
      <c r="B2850" s="398" t="s">
        <v>476</v>
      </c>
      <c r="C2850" s="400" t="str">
        <f t="array" ref="C2850">INDIRECT("Tableau!$AI$15")</f>
        <v/>
      </c>
      <c r="D2850" s="400" t="str">
        <f t="shared" si="17"/>
        <v>OUT</v>
      </c>
      <c r="E2850" s="403" t="str">
        <f t="array" ref="E2850">INDIRECT("Tableau!$AJ$15")</f>
        <v/>
      </c>
    </row>
    <row r="2851">
      <c r="A2851" s="397" t="str">
        <f t="array" ref="A2851">INDIRECT("Tableau!$A$16")</f>
        <v/>
      </c>
      <c r="B2851" s="398" t="s">
        <v>476</v>
      </c>
      <c r="C2851" s="400" t="str">
        <f t="array" ref="C2851">INDIRECT("Tableau!$AI$16")</f>
        <v/>
      </c>
      <c r="D2851" s="400" t="str">
        <f t="shared" si="17"/>
        <v>OUT</v>
      </c>
      <c r="E2851" s="403" t="str">
        <f t="array" ref="E2851">INDIRECT("Tableau!$AJ$16")</f>
        <v/>
      </c>
    </row>
    <row r="2852">
      <c r="A2852" s="397" t="str">
        <f t="array" ref="A2852">INDIRECT("Tableau!$A$17")</f>
        <v/>
      </c>
      <c r="B2852" s="398" t="s">
        <v>476</v>
      </c>
      <c r="C2852" s="400" t="str">
        <f t="array" ref="C2852">INDIRECT("Tableau!$AI$17")</f>
        <v/>
      </c>
      <c r="D2852" s="400" t="str">
        <f t="shared" si="17"/>
        <v>OUT</v>
      </c>
      <c r="E2852" s="403" t="str">
        <f t="array" ref="E2852">INDIRECT("Tableau!$AJ$17")</f>
        <v/>
      </c>
    </row>
    <row r="2853">
      <c r="A2853" s="397" t="str">
        <f t="array" ref="A2853">INDIRECT("Tableau!$A$18")</f>
        <v/>
      </c>
      <c r="B2853" s="398" t="s">
        <v>476</v>
      </c>
      <c r="C2853" s="400" t="str">
        <f t="array" ref="C2853">INDIRECT("Tableau!$AI$18")</f>
        <v/>
      </c>
      <c r="D2853" s="400" t="str">
        <f t="shared" si="17"/>
        <v>OUT</v>
      </c>
      <c r="E2853" s="403" t="str">
        <f t="array" ref="E2853">INDIRECT("Tableau!$AJ$18")</f>
        <v/>
      </c>
    </row>
    <row r="2854">
      <c r="A2854" s="397" t="str">
        <f t="array" ref="A2854">INDIRECT("Tableau!$A$19")</f>
        <v/>
      </c>
      <c r="B2854" s="398" t="s">
        <v>476</v>
      </c>
      <c r="C2854" s="400" t="str">
        <f t="array" ref="C2854">INDIRECT("Tableau!$AI$19")</f>
        <v/>
      </c>
      <c r="D2854" s="400" t="str">
        <f t="shared" si="17"/>
        <v>OUT</v>
      </c>
      <c r="E2854" s="403" t="str">
        <f t="array" ref="E2854">INDIRECT("Tableau!$AJ$19")</f>
        <v/>
      </c>
    </row>
    <row r="2855">
      <c r="A2855" s="397" t="str">
        <f t="array" ref="A2855">INDIRECT("Tableau!$A$20")</f>
        <v/>
      </c>
      <c r="B2855" s="398" t="s">
        <v>476</v>
      </c>
      <c r="C2855" s="400" t="str">
        <f t="array" ref="C2855">INDIRECT("Tableau!$AI$20")</f>
        <v/>
      </c>
      <c r="D2855" s="400" t="str">
        <f t="shared" si="17"/>
        <v>OUT</v>
      </c>
      <c r="E2855" s="403" t="str">
        <f t="array" ref="E2855">INDIRECT("Tableau!$AJ$20")</f>
        <v/>
      </c>
    </row>
    <row r="2856">
      <c r="A2856" s="397" t="str">
        <f t="array" ref="A2856">INDIRECT("Tableau!$A$21")</f>
        <v/>
      </c>
      <c r="B2856" s="398" t="s">
        <v>476</v>
      </c>
      <c r="C2856" s="400" t="str">
        <f t="array" ref="C2856">INDIRECT("Tableau!$AI$21")</f>
        <v/>
      </c>
      <c r="D2856" s="400" t="str">
        <f t="shared" si="17"/>
        <v>OUT</v>
      </c>
      <c r="E2856" s="403" t="str">
        <f t="array" ref="E2856">INDIRECT("Tableau!$AJ$21")</f>
        <v/>
      </c>
    </row>
    <row r="2857">
      <c r="A2857" s="397" t="str">
        <f t="array" ref="A2857">INDIRECT("Tableau!$A$22")</f>
        <v/>
      </c>
      <c r="B2857" s="398" t="s">
        <v>476</v>
      </c>
      <c r="C2857" s="400" t="str">
        <f t="array" ref="C2857">INDIRECT("Tableau!$AI$22")</f>
        <v/>
      </c>
      <c r="D2857" s="400" t="str">
        <f t="shared" si="17"/>
        <v>OUT</v>
      </c>
      <c r="E2857" s="403" t="str">
        <f t="array" ref="E2857">INDIRECT("Tableau!$AJ$22")</f>
        <v/>
      </c>
    </row>
    <row r="2858">
      <c r="A2858" s="397" t="str">
        <f t="array" ref="A2858">INDIRECT("Tableau!$A$23")</f>
        <v/>
      </c>
      <c r="B2858" s="398" t="s">
        <v>476</v>
      </c>
      <c r="C2858" s="400" t="str">
        <f t="array" ref="C2858">INDIRECT("Tableau!$AI$23")</f>
        <v/>
      </c>
      <c r="D2858" s="400" t="str">
        <f t="shared" si="17"/>
        <v>OUT</v>
      </c>
      <c r="E2858" s="403" t="str">
        <f t="array" ref="E2858">INDIRECT("Tableau!$AJ$23")</f>
        <v/>
      </c>
    </row>
    <row r="2859">
      <c r="A2859" s="397" t="str">
        <f t="array" ref="A2859">INDIRECT("Tableau!$A$24")</f>
        <v/>
      </c>
      <c r="B2859" s="398" t="s">
        <v>476</v>
      </c>
      <c r="C2859" s="400" t="str">
        <f t="array" ref="C2859">INDIRECT("Tableau!$AI$24")</f>
        <v/>
      </c>
      <c r="D2859" s="400" t="str">
        <f t="shared" si="17"/>
        <v>OUT</v>
      </c>
      <c r="E2859" s="403" t="str">
        <f t="array" ref="E2859">INDIRECT("Tableau!$AJ$24")</f>
        <v/>
      </c>
    </row>
    <row r="2860">
      <c r="A2860" s="397" t="str">
        <f t="array" ref="A2860">INDIRECT("Tableau!$A$25")</f>
        <v/>
      </c>
      <c r="B2860" s="398" t="s">
        <v>476</v>
      </c>
      <c r="C2860" s="400" t="str">
        <f t="array" ref="C2860">INDIRECT("Tableau!$AI$25")</f>
        <v/>
      </c>
      <c r="D2860" s="400" t="str">
        <f t="shared" si="17"/>
        <v>OUT</v>
      </c>
      <c r="E2860" s="403" t="str">
        <f t="array" ref="E2860">INDIRECT("Tableau!$AJ$25")</f>
        <v/>
      </c>
    </row>
    <row r="2861">
      <c r="A2861" s="402">
        <f t="array" ref="A2861">INDIRECT("Tableau!$A$26")</f>
        <v>201</v>
      </c>
      <c r="B2861" s="398" t="s">
        <v>476</v>
      </c>
      <c r="C2861" s="400" t="str">
        <f t="array" ref="C2861">INDIRECT("Tableau!$AI$26")</f>
        <v/>
      </c>
      <c r="D2861" s="400" t="str">
        <f t="shared" si="17"/>
        <v>OUT</v>
      </c>
      <c r="E2861" s="403" t="str">
        <f t="array" ref="E2861">INDIRECT("Tableau!$AJ$26")</f>
        <v/>
      </c>
    </row>
    <row r="2862">
      <c r="A2862" s="402">
        <f t="array" ref="A2862">INDIRECT("Tableau!$A$27")</f>
        <v>202</v>
      </c>
      <c r="B2862" s="398" t="s">
        <v>476</v>
      </c>
      <c r="C2862" s="400" t="str">
        <f t="array" ref="C2862">INDIRECT("Tableau!$AI$27")</f>
        <v/>
      </c>
      <c r="D2862" s="400" t="str">
        <f t="shared" si="17"/>
        <v>OUT</v>
      </c>
      <c r="E2862" s="403" t="str">
        <f t="array" ref="E2862">INDIRECT("Tableau!$AJ$27")</f>
        <v/>
      </c>
    </row>
    <row r="2863">
      <c r="A2863" s="402">
        <f t="array" ref="A2863">INDIRECT("Tableau!$A$28")</f>
        <v>203</v>
      </c>
      <c r="B2863" s="398" t="s">
        <v>476</v>
      </c>
      <c r="C2863" s="400" t="str">
        <f t="array" ref="C2863">INDIRECT("Tableau!$AI$28")</f>
        <v/>
      </c>
      <c r="D2863" s="400" t="str">
        <f t="shared" si="17"/>
        <v>OUT</v>
      </c>
      <c r="E2863" s="403" t="str">
        <f t="array" ref="E2863">INDIRECT("Tableau!$AJ$28")</f>
        <v/>
      </c>
    </row>
    <row r="2864">
      <c r="A2864" s="402">
        <f t="array" ref="A2864">INDIRECT("Tableau!$A$29")</f>
        <v>204</v>
      </c>
      <c r="B2864" s="398" t="s">
        <v>476</v>
      </c>
      <c r="C2864" s="400" t="str">
        <f t="array" ref="C2864">INDIRECT("Tableau!$AI$29")</f>
        <v/>
      </c>
      <c r="D2864" s="400" t="str">
        <f t="shared" si="17"/>
        <v>OUT</v>
      </c>
      <c r="E2864" s="403" t="str">
        <f t="array" ref="E2864">INDIRECT("Tableau!$AJ$29")</f>
        <v/>
      </c>
    </row>
    <row r="2865">
      <c r="A2865" s="402">
        <f t="array" ref="A2865">INDIRECT("Tableau!$A$30")</f>
        <v>205</v>
      </c>
      <c r="B2865" s="398" t="s">
        <v>476</v>
      </c>
      <c r="C2865" s="400" t="str">
        <f t="array" ref="C2865">INDIRECT("Tableau!$AI$30")</f>
        <v/>
      </c>
      <c r="D2865" s="400" t="str">
        <f t="shared" si="17"/>
        <v>OUT</v>
      </c>
      <c r="E2865" s="403" t="str">
        <f t="array" ref="E2865">INDIRECT("Tableau!$AJ$30")</f>
        <v/>
      </c>
    </row>
    <row r="2866">
      <c r="A2866" s="402">
        <f t="array" ref="A2866">INDIRECT("Tableau!$A$31")</f>
        <v>206</v>
      </c>
      <c r="B2866" s="398" t="s">
        <v>476</v>
      </c>
      <c r="C2866" s="400" t="str">
        <f t="array" ref="C2866">INDIRECT("Tableau!$AI$31")</f>
        <v/>
      </c>
      <c r="D2866" s="400" t="str">
        <f t="shared" si="17"/>
        <v>OUT</v>
      </c>
      <c r="E2866" s="403" t="str">
        <f t="array" ref="E2866">INDIRECT("Tableau!$AJ$31")</f>
        <v/>
      </c>
    </row>
    <row r="2867">
      <c r="A2867" s="402">
        <f t="array" ref="A2867">INDIRECT("Tableau!$A$32")</f>
        <v>207</v>
      </c>
      <c r="B2867" s="398" t="s">
        <v>476</v>
      </c>
      <c r="C2867" s="400" t="str">
        <f t="array" ref="C2867">INDIRECT("Tableau!$AI$32")</f>
        <v/>
      </c>
      <c r="D2867" s="400" t="str">
        <f t="shared" si="17"/>
        <v>OUT</v>
      </c>
      <c r="E2867" s="403" t="str">
        <f t="array" ref="E2867">INDIRECT("Tableau!$AJ$32")</f>
        <v/>
      </c>
    </row>
    <row r="2868">
      <c r="A2868" s="402">
        <f t="array" ref="A2868">INDIRECT("Tableau!$A$33")</f>
        <v>208</v>
      </c>
      <c r="B2868" s="398" t="s">
        <v>476</v>
      </c>
      <c r="C2868" s="400" t="str">
        <f t="array" ref="C2868">INDIRECT("Tableau!$AI$33")</f>
        <v/>
      </c>
      <c r="D2868" s="400" t="str">
        <f t="shared" si="17"/>
        <v>OUT</v>
      </c>
      <c r="E2868" s="403" t="str">
        <f t="array" ref="E2868">INDIRECT("Tableau!$AJ$33")</f>
        <v/>
      </c>
    </row>
    <row r="2869">
      <c r="A2869" s="402">
        <f t="array" ref="A2869">INDIRECT("Tableau!$A$34")</f>
        <v>209</v>
      </c>
      <c r="B2869" s="398" t="s">
        <v>476</v>
      </c>
      <c r="C2869" s="400" t="str">
        <f t="array" ref="C2869">INDIRECT("Tableau!$AI$34")</f>
        <v/>
      </c>
      <c r="D2869" s="400" t="str">
        <f t="shared" si="17"/>
        <v>OUT</v>
      </c>
      <c r="E2869" s="403" t="str">
        <f t="array" ref="E2869">INDIRECT("Tableau!$AJ$34")</f>
        <v/>
      </c>
    </row>
    <row r="2870">
      <c r="A2870" s="402">
        <f t="array" ref="A2870">INDIRECT("Tableau!$A$35")</f>
        <v>210</v>
      </c>
      <c r="B2870" s="398" t="s">
        <v>476</v>
      </c>
      <c r="C2870" s="400" t="str">
        <f t="array" ref="C2870">INDIRECT("Tableau!$AI$35")</f>
        <v/>
      </c>
      <c r="D2870" s="400" t="str">
        <f t="shared" si="17"/>
        <v>OUT</v>
      </c>
      <c r="E2870" s="403" t="str">
        <f t="array" ref="E2870">INDIRECT("Tableau!$AJ$35")</f>
        <v/>
      </c>
    </row>
    <row r="2871">
      <c r="A2871" s="402">
        <f t="array" ref="A2871">INDIRECT("Tableau!$A$36")</f>
        <v>211</v>
      </c>
      <c r="B2871" s="398" t="s">
        <v>476</v>
      </c>
      <c r="C2871" s="400" t="str">
        <f t="array" ref="C2871">INDIRECT("Tableau!$AI$36")</f>
        <v/>
      </c>
      <c r="D2871" s="400" t="str">
        <f t="shared" si="17"/>
        <v>OUT</v>
      </c>
      <c r="E2871" s="403" t="str">
        <f t="array" ref="E2871">INDIRECT("Tableau!$AJ$36")</f>
        <v/>
      </c>
    </row>
    <row r="2872">
      <c r="A2872" s="402">
        <f t="array" ref="A2872">INDIRECT("Tableau!$A$37")</f>
        <v>212</v>
      </c>
      <c r="B2872" s="398" t="s">
        <v>476</v>
      </c>
      <c r="C2872" s="400" t="str">
        <f t="array" ref="C2872">INDIRECT("Tableau!$AI$37")</f>
        <v/>
      </c>
      <c r="D2872" s="400" t="str">
        <f t="shared" si="17"/>
        <v>OUT</v>
      </c>
      <c r="E2872" s="403" t="str">
        <f t="array" ref="E2872">INDIRECT("Tableau!$AJ$37")</f>
        <v/>
      </c>
    </row>
    <row r="2873">
      <c r="A2873" s="402">
        <f t="array" ref="A2873">INDIRECT("Tableau!$A$38")</f>
        <v>213</v>
      </c>
      <c r="B2873" s="398" t="s">
        <v>476</v>
      </c>
      <c r="C2873" s="400" t="str">
        <f t="array" ref="C2873">INDIRECT("Tableau!$AI$38")</f>
        <v/>
      </c>
      <c r="D2873" s="400" t="str">
        <f t="shared" si="17"/>
        <v>OUT</v>
      </c>
      <c r="E2873" s="403" t="str">
        <f t="array" ref="E2873">INDIRECT("Tableau!$AJ$38")</f>
        <v/>
      </c>
    </row>
    <row r="2874">
      <c r="A2874" s="402">
        <f t="array" ref="A2874">INDIRECT("Tableau!$A$39")</f>
        <v>214</v>
      </c>
      <c r="B2874" s="398" t="s">
        <v>476</v>
      </c>
      <c r="C2874" s="400" t="str">
        <f t="array" ref="C2874">INDIRECT("Tableau!$AI$39")</f>
        <v/>
      </c>
      <c r="D2874" s="400" t="str">
        <f t="shared" si="17"/>
        <v>OUT</v>
      </c>
      <c r="E2874" s="403" t="str">
        <f t="array" ref="E2874">INDIRECT("Tableau!$AJ$39")</f>
        <v/>
      </c>
    </row>
    <row r="2875">
      <c r="A2875" s="402">
        <f t="array" ref="A2875">INDIRECT("Tableau!$A$40")</f>
        <v>215</v>
      </c>
      <c r="B2875" s="398" t="s">
        <v>476</v>
      </c>
      <c r="C2875" s="400" t="str">
        <f t="array" ref="C2875">INDIRECT("Tableau!$AI$40")</f>
        <v/>
      </c>
      <c r="D2875" s="400" t="str">
        <f t="shared" si="17"/>
        <v>OUT</v>
      </c>
      <c r="E2875" s="403" t="str">
        <f t="array" ref="E2875">INDIRECT("Tableau!$AJ$40")</f>
        <v/>
      </c>
    </row>
    <row r="2876">
      <c r="A2876" s="402">
        <f t="array" ref="A2876">INDIRECT("Tableau!$A$41")</f>
        <v>216</v>
      </c>
      <c r="B2876" s="398" t="s">
        <v>476</v>
      </c>
      <c r="C2876" s="400" t="str">
        <f t="array" ref="C2876">INDIRECT("Tableau!$AI$41")</f>
        <v/>
      </c>
      <c r="D2876" s="400" t="str">
        <f t="shared" si="17"/>
        <v>OUT</v>
      </c>
      <c r="E2876" s="403" t="str">
        <f t="array" ref="E2876">INDIRECT("Tableau!$AJ$41")</f>
        <v/>
      </c>
    </row>
    <row r="2877">
      <c r="A2877" s="402">
        <f t="array" ref="A2877">INDIRECT("Tableau!$A$42")</f>
        <v>227</v>
      </c>
      <c r="B2877" s="398" t="s">
        <v>476</v>
      </c>
      <c r="C2877" s="400" t="str">
        <f t="array" ref="C2877">INDIRECT("Tableau!$AI$42")</f>
        <v/>
      </c>
      <c r="D2877" s="400" t="str">
        <f t="shared" si="17"/>
        <v>OUT</v>
      </c>
      <c r="E2877" s="403" t="str">
        <f t="array" ref="E2877">INDIRECT("Tableau!$AJ$42")</f>
        <v/>
      </c>
    </row>
    <row r="2878">
      <c r="A2878" s="402">
        <f t="array" ref="A2878">INDIRECT("Tableau!$A$43")</f>
        <v>217</v>
      </c>
      <c r="B2878" s="398" t="s">
        <v>476</v>
      </c>
      <c r="C2878" s="400" t="str">
        <f t="array" ref="C2878">INDIRECT("Tableau!$AI$43")</f>
        <v/>
      </c>
      <c r="D2878" s="400" t="str">
        <f t="shared" si="17"/>
        <v>OUT</v>
      </c>
      <c r="E2878" s="403" t="str">
        <f t="array" ref="E2878">INDIRECT("Tableau!$AJ$43")</f>
        <v/>
      </c>
    </row>
    <row r="2879">
      <c r="A2879" s="402">
        <f t="array" ref="A2879">INDIRECT("Tableau!$A$44")</f>
        <v>218</v>
      </c>
      <c r="B2879" s="398" t="s">
        <v>476</v>
      </c>
      <c r="C2879" s="400" t="str">
        <f t="array" ref="C2879">INDIRECT("Tableau!$AI$44")</f>
        <v/>
      </c>
      <c r="D2879" s="400" t="str">
        <f t="shared" si="17"/>
        <v>OUT</v>
      </c>
      <c r="E2879" s="403" t="str">
        <f t="array" ref="E2879">INDIRECT("Tableau!$AJ$44")</f>
        <v/>
      </c>
    </row>
    <row r="2880">
      <c r="A2880" s="397" t="str">
        <f t="array" ref="A2880">INDIRECT("Tableau!$A$45")</f>
        <v/>
      </c>
      <c r="B2880" s="398" t="s">
        <v>476</v>
      </c>
      <c r="C2880" s="400" t="str">
        <f t="array" ref="C2880">INDIRECT("Tableau!$AI$45")</f>
        <v/>
      </c>
      <c r="D2880" s="400" t="str">
        <f t="shared" si="17"/>
        <v>OUT</v>
      </c>
      <c r="E2880" s="403" t="str">
        <f t="array" ref="E2880">INDIRECT("Tableau!$AJ$45")</f>
        <v/>
      </c>
    </row>
    <row r="2881">
      <c r="A2881" s="402">
        <f t="array" ref="A2881">INDIRECT("Tableau!$A$46")</f>
        <v>220</v>
      </c>
      <c r="B2881" s="398" t="s">
        <v>476</v>
      </c>
      <c r="C2881" s="400" t="str">
        <f t="array" ref="C2881">INDIRECT("Tableau!$AI$46")</f>
        <v/>
      </c>
      <c r="D2881" s="400" t="str">
        <f t="shared" si="17"/>
        <v>OUT</v>
      </c>
      <c r="E2881" s="403" t="str">
        <f t="array" ref="E2881">INDIRECT("Tableau!$AJ$46")</f>
        <v/>
      </c>
    </row>
    <row r="2882">
      <c r="A2882" s="402">
        <f t="array" ref="A2882">INDIRECT("Tableau!$A$47")</f>
        <v>221</v>
      </c>
      <c r="B2882" s="398" t="s">
        <v>476</v>
      </c>
      <c r="C2882" s="400" t="str">
        <f t="array" ref="C2882">INDIRECT("Tableau!$AI$47")</f>
        <v/>
      </c>
      <c r="D2882" s="400" t="str">
        <f t="shared" si="17"/>
        <v>OUT</v>
      </c>
      <c r="E2882" s="403" t="str">
        <f t="array" ref="E2882">INDIRECT("Tableau!$AJ$47")</f>
        <v/>
      </c>
    </row>
    <row r="2883">
      <c r="A2883" s="402">
        <f t="array" ref="A2883">INDIRECT("Tableau!$A$48")</f>
        <v>226</v>
      </c>
      <c r="B2883" s="398" t="s">
        <v>476</v>
      </c>
      <c r="C2883" s="400" t="str">
        <f t="array" ref="C2883">INDIRECT("Tableau!$AI$48")</f>
        <v/>
      </c>
      <c r="D2883" s="400" t="str">
        <f t="shared" si="17"/>
        <v>OUT</v>
      </c>
      <c r="E2883" s="403" t="str">
        <f t="array" ref="E2883">INDIRECT("Tableau!$AJ$48")</f>
        <v/>
      </c>
    </row>
    <row r="2884">
      <c r="A2884" s="402">
        <f t="array" ref="A2884">INDIRECT("Tableau!$A$49")</f>
        <v>222</v>
      </c>
      <c r="B2884" s="398" t="s">
        <v>476</v>
      </c>
      <c r="C2884" s="400" t="str">
        <f t="array" ref="C2884">INDIRECT("Tableau!$AI$49")</f>
        <v/>
      </c>
      <c r="D2884" s="400" t="str">
        <f t="shared" si="17"/>
        <v>OUT</v>
      </c>
      <c r="E2884" s="403" t="str">
        <f t="array" ref="E2884">INDIRECT("Tableau!$AJ$49")</f>
        <v/>
      </c>
    </row>
    <row r="2885">
      <c r="A2885" s="402">
        <f t="array" ref="A2885">INDIRECT("Tableau!$A$50")</f>
        <v>224</v>
      </c>
      <c r="B2885" s="398" t="s">
        <v>476</v>
      </c>
      <c r="C2885" s="400" t="str">
        <f t="array" ref="C2885">INDIRECT("Tableau!$AI$50")</f>
        <v/>
      </c>
      <c r="D2885" s="400" t="str">
        <f t="shared" si="17"/>
        <v>OUT</v>
      </c>
      <c r="E2885" s="403" t="str">
        <f t="array" ref="E2885">INDIRECT("Tableau!$AJ$50")</f>
        <v/>
      </c>
    </row>
    <row r="2886">
      <c r="A2886" s="397">
        <f t="array" ref="A2886">INDIRECT("Tableau!$A$51")</f>
        <v>223</v>
      </c>
      <c r="B2886" s="398" t="s">
        <v>476</v>
      </c>
      <c r="C2886" s="400" t="str">
        <f t="array" ref="C2886">INDIRECT("Tableau!$AI$51")</f>
        <v/>
      </c>
      <c r="D2886" s="400" t="str">
        <f t="shared" si="17"/>
        <v>OUT</v>
      </c>
      <c r="E2886" s="403" t="str">
        <f t="array" ref="E2886">INDIRECT("Tableau!$AJ$51")</f>
        <v/>
      </c>
    </row>
    <row r="2887">
      <c r="A2887" s="402">
        <f t="array" ref="A2887">INDIRECT("Tableau!$A$52")</f>
        <v>225</v>
      </c>
      <c r="B2887" s="398" t="s">
        <v>476</v>
      </c>
      <c r="C2887" s="400" t="str">
        <f t="array" ref="C2887">INDIRECT("Tableau!$AI$52")</f>
        <v/>
      </c>
      <c r="D2887" s="400" t="str">
        <f t="shared" si="17"/>
        <v>OUT</v>
      </c>
      <c r="E2887" s="403" t="str">
        <f t="array" ref="E2887">INDIRECT("Tableau!$AJ$52")</f>
        <v/>
      </c>
    </row>
    <row r="2888">
      <c r="A2888" s="402">
        <f t="array" ref="A2888">INDIRECT("Tableau!$A$53")</f>
        <v>230</v>
      </c>
      <c r="B2888" s="398" t="s">
        <v>476</v>
      </c>
      <c r="C2888" s="400" t="str">
        <f t="array" ref="C2888">INDIRECT("Tableau!$AI$53")</f>
        <v/>
      </c>
      <c r="D2888" s="400" t="str">
        <f t="shared" si="17"/>
        <v>OUT</v>
      </c>
      <c r="E2888" s="403" t="str">
        <f t="array" ref="E2888">INDIRECT("Tableau!$AJ$53")</f>
        <v/>
      </c>
    </row>
    <row r="2889">
      <c r="A2889" s="397">
        <f t="array" ref="A2889">INDIRECT("Tableau!$A$54")</f>
        <v>231</v>
      </c>
      <c r="B2889" s="398" t="s">
        <v>476</v>
      </c>
      <c r="C2889" s="400" t="str">
        <f t="array" ref="C2889">INDIRECT("Tableau!$AI$54")</f>
        <v/>
      </c>
      <c r="D2889" s="400" t="str">
        <f t="shared" si="17"/>
        <v>OUT</v>
      </c>
      <c r="E2889" s="403" t="str">
        <f t="array" ref="E2889">INDIRECT("Tableau!$AJ$54")</f>
        <v/>
      </c>
    </row>
    <row r="2890">
      <c r="A2890" s="397" t="str">
        <f t="array" ref="A2890">INDIRECT("Tableau!$A$55")</f>
        <v/>
      </c>
      <c r="B2890" s="398" t="s">
        <v>476</v>
      </c>
      <c r="C2890" s="400" t="str">
        <f t="array" ref="C2890">INDIRECT("Tableau!$AI$55")</f>
        <v/>
      </c>
      <c r="D2890" s="400" t="str">
        <f t="shared" si="17"/>
        <v>OUT</v>
      </c>
      <c r="E2890" s="403" t="str">
        <f t="array" ref="E2890">INDIRECT("Tableau!$AJ$55")</f>
        <v/>
      </c>
    </row>
    <row r="2891">
      <c r="A2891" s="397" t="str">
        <f t="array" ref="A2891">INDIRECT("Tableau!$A$56")</f>
        <v/>
      </c>
      <c r="B2891" s="398" t="s">
        <v>476</v>
      </c>
      <c r="C2891" s="400" t="str">
        <f t="array" ref="C2891">INDIRECT("Tableau!$AI$56")</f>
        <v/>
      </c>
      <c r="D2891" s="400" t="str">
        <f t="shared" si="17"/>
        <v>OUT</v>
      </c>
      <c r="E2891" s="403" t="str">
        <f t="array" ref="E2891">INDIRECT("Tableau!$AJ$56")</f>
        <v/>
      </c>
    </row>
    <row r="2892">
      <c r="A2892" s="397" t="str">
        <f t="array" ref="A2892">INDIRECT("Tableau!$A$57")</f>
        <v/>
      </c>
      <c r="B2892" s="398" t="s">
        <v>476</v>
      </c>
      <c r="C2892" s="400" t="str">
        <f t="array" ref="C2892">INDIRECT("Tableau!$AI$57")</f>
        <v/>
      </c>
      <c r="D2892" s="400" t="str">
        <f t="shared" si="17"/>
        <v>OUT</v>
      </c>
      <c r="E2892" s="403" t="str">
        <f t="array" ref="E2892">INDIRECT("Tableau!$AJ$57")</f>
        <v/>
      </c>
    </row>
    <row r="2893">
      <c r="A2893" s="397" t="str">
        <f t="array" ref="A2893">INDIRECT("Tableau!$A$58")</f>
        <v/>
      </c>
      <c r="B2893" s="398" t="s">
        <v>476</v>
      </c>
      <c r="C2893" s="400" t="str">
        <f t="array" ref="C2893">INDIRECT("Tableau!$AI$58")</f>
        <v/>
      </c>
      <c r="D2893" s="400" t="str">
        <f t="shared" si="17"/>
        <v>OUT</v>
      </c>
      <c r="E2893" s="403" t="str">
        <f t="array" ref="E2893">INDIRECT("Tableau!$AJ$58")</f>
        <v/>
      </c>
    </row>
    <row r="2894">
      <c r="A2894" s="397" t="str">
        <f t="array" ref="A2894">INDIRECT("Tableau!$A$59")</f>
        <v/>
      </c>
      <c r="B2894" s="398" t="s">
        <v>476</v>
      </c>
      <c r="C2894" s="400" t="str">
        <f t="array" ref="C2894">INDIRECT("Tableau!$AI$59")</f>
        <v/>
      </c>
      <c r="D2894" s="400" t="str">
        <f t="shared" si="17"/>
        <v>OUT</v>
      </c>
      <c r="E2894" s="403" t="str">
        <f t="array" ref="E2894">INDIRECT("Tableau!$AJ$59")</f>
        <v/>
      </c>
    </row>
    <row r="2895">
      <c r="A2895" s="397" t="str">
        <f t="array" ref="A2895">INDIRECT("Tableau!$A$60")</f>
        <v/>
      </c>
      <c r="B2895" s="398" t="s">
        <v>476</v>
      </c>
      <c r="C2895" s="400" t="str">
        <f t="array" ref="C2895">INDIRECT("Tableau!$AI$60")</f>
        <v/>
      </c>
      <c r="D2895" s="400" t="str">
        <f t="shared" si="17"/>
        <v>OUT</v>
      </c>
      <c r="E2895" s="403" t="str">
        <f t="array" ref="E2895">INDIRECT("Tableau!$AJ$60")</f>
        <v/>
      </c>
    </row>
    <row r="2896">
      <c r="A2896" s="397" t="str">
        <f t="array" ref="A2896">INDIRECT("Tableau!$A$61")</f>
        <v/>
      </c>
      <c r="B2896" s="398" t="s">
        <v>476</v>
      </c>
      <c r="C2896" s="400" t="str">
        <f t="array" ref="C2896">INDIRECT("Tableau!$AI$61")</f>
        <v/>
      </c>
      <c r="D2896" s="400" t="str">
        <f t="shared" si="17"/>
        <v>OUT</v>
      </c>
      <c r="E2896" s="403" t="str">
        <f t="array" ref="E2896">INDIRECT("Tableau!$AJ$61")</f>
        <v/>
      </c>
    </row>
    <row r="2897">
      <c r="A2897" s="397" t="str">
        <f t="array" ref="A2897">INDIRECT("Tableau!$A$62")</f>
        <v/>
      </c>
      <c r="B2897" s="398" t="s">
        <v>476</v>
      </c>
      <c r="C2897" s="400" t="str">
        <f t="array" ref="C2897">INDIRECT("Tableau!$AI$62")</f>
        <v/>
      </c>
      <c r="D2897" s="400" t="str">
        <f t="shared" si="17"/>
        <v>OUT</v>
      </c>
      <c r="E2897" s="403" t="str">
        <f t="array" ref="E2897">INDIRECT("Tableau!$AJ$62")</f>
        <v/>
      </c>
    </row>
    <row r="2898">
      <c r="A2898" s="397" t="str">
        <f t="array" ref="A2898">INDIRECT("Tableau!$A$63")</f>
        <v/>
      </c>
      <c r="B2898" s="398" t="s">
        <v>476</v>
      </c>
      <c r="C2898" s="400" t="str">
        <f t="array" ref="C2898">INDIRECT("Tableau!$AI$63")</f>
        <v/>
      </c>
      <c r="D2898" s="400" t="str">
        <f t="shared" si="17"/>
        <v>OUT</v>
      </c>
      <c r="E2898" s="403" t="str">
        <f t="array" ref="E2898">INDIRECT("Tableau!$AJ$63")</f>
        <v/>
      </c>
    </row>
    <row r="2899">
      <c r="A2899" s="397" t="str">
        <f t="array" ref="A2899">INDIRECT("Tableau!$A$64")</f>
        <v/>
      </c>
      <c r="B2899" s="398" t="s">
        <v>476</v>
      </c>
      <c r="C2899" s="400" t="str">
        <f t="array" ref="C2899">INDIRECT("Tableau!$AI$64")</f>
        <v/>
      </c>
      <c r="D2899" s="400" t="str">
        <f t="shared" si="17"/>
        <v>OUT</v>
      </c>
      <c r="E2899" s="403" t="str">
        <f t="array" ref="E2899">INDIRECT("Tableau!$AJ$64")</f>
        <v/>
      </c>
    </row>
    <row r="2900">
      <c r="A2900" s="402">
        <f t="array" ref="A2900">INDIRECT("Tableau!$A$65")</f>
        <v>301</v>
      </c>
      <c r="B2900" s="398" t="s">
        <v>476</v>
      </c>
      <c r="C2900" s="400" t="str">
        <f t="array" ref="C2900">INDIRECT("Tableau!$AI$65")</f>
        <v/>
      </c>
      <c r="D2900" s="400" t="str">
        <f t="shared" si="17"/>
        <v>OUT</v>
      </c>
      <c r="E2900" s="403" t="str">
        <f t="array" ref="E2900">INDIRECT("Tableau!$AJ$65")</f>
        <v/>
      </c>
    </row>
    <row r="2901">
      <c r="A2901" s="397" t="str">
        <f t="array" ref="A2901">INDIRECT("Tableau!$A$66")</f>
        <v/>
      </c>
      <c r="B2901" s="398" t="s">
        <v>476</v>
      </c>
      <c r="C2901" s="400" t="str">
        <f t="array" ref="C2901">INDIRECT("Tableau!$AI$66")</f>
        <v/>
      </c>
      <c r="D2901" s="400" t="str">
        <f t="shared" si="17"/>
        <v>OUT</v>
      </c>
      <c r="E2901" s="403" t="str">
        <f t="array" ref="E2901">INDIRECT("Tableau!$AJ$66")</f>
        <v/>
      </c>
    </row>
    <row r="2902">
      <c r="A2902" s="402">
        <f t="array" ref="A2902">INDIRECT("Tableau!$A$67")</f>
        <v>303</v>
      </c>
      <c r="B2902" s="398" t="s">
        <v>476</v>
      </c>
      <c r="C2902" s="400" t="str">
        <f t="array" ref="C2902">INDIRECT("Tableau!$AI$67")</f>
        <v/>
      </c>
      <c r="D2902" s="400" t="str">
        <f t="shared" si="17"/>
        <v>OUT</v>
      </c>
      <c r="E2902" s="403" t="str">
        <f t="array" ref="E2902">INDIRECT("Tableau!$AJ$67")</f>
        <v/>
      </c>
    </row>
    <row r="2903">
      <c r="A2903" s="402">
        <f t="array" ref="A2903">INDIRECT("Tableau!$A$68")</f>
        <v>304</v>
      </c>
      <c r="B2903" s="398" t="s">
        <v>476</v>
      </c>
      <c r="C2903" s="400" t="str">
        <f t="array" ref="C2903">INDIRECT("Tableau!$AI$68")</f>
        <v/>
      </c>
      <c r="D2903" s="400" t="str">
        <f t="shared" si="17"/>
        <v>OUT</v>
      </c>
      <c r="E2903" s="403" t="str">
        <f t="array" ref="E2903">INDIRECT("Tableau!$AJ$68")</f>
        <v/>
      </c>
    </row>
    <row r="2904">
      <c r="A2904" s="402">
        <f t="array" ref="A2904">INDIRECT("Tableau!$A$69")</f>
        <v>305</v>
      </c>
      <c r="B2904" s="398" t="s">
        <v>476</v>
      </c>
      <c r="C2904" s="400" t="str">
        <f t="array" ref="C2904">INDIRECT("Tableau!$AI$69")</f>
        <v/>
      </c>
      <c r="D2904" s="400" t="str">
        <f t="shared" si="17"/>
        <v>OUT</v>
      </c>
      <c r="E2904" s="403" t="str">
        <f t="array" ref="E2904">INDIRECT("Tableau!$AJ$69")</f>
        <v/>
      </c>
    </row>
    <row r="2905">
      <c r="A2905" s="402">
        <f t="array" ref="A2905">INDIRECT("Tableau!$A$70")</f>
        <v>306</v>
      </c>
      <c r="B2905" s="398" t="s">
        <v>476</v>
      </c>
      <c r="C2905" s="400" t="str">
        <f t="array" ref="C2905">INDIRECT("Tableau!$AI$70")</f>
        <v/>
      </c>
      <c r="D2905" s="400" t="str">
        <f t="shared" si="17"/>
        <v>OUT</v>
      </c>
      <c r="E2905" s="403" t="str">
        <f t="array" ref="E2905">INDIRECT("Tableau!$AJ$70")</f>
        <v/>
      </c>
    </row>
    <row r="2906">
      <c r="A2906" s="402">
        <f t="array" ref="A2906">INDIRECT("Tableau!$A$71")</f>
        <v>307</v>
      </c>
      <c r="B2906" s="398" t="s">
        <v>476</v>
      </c>
      <c r="C2906" s="400" t="str">
        <f t="array" ref="C2906">INDIRECT("Tableau!$AI$71")</f>
        <v/>
      </c>
      <c r="D2906" s="400" t="str">
        <f t="shared" si="17"/>
        <v>OUT</v>
      </c>
      <c r="E2906" s="403" t="str">
        <f t="array" ref="E2906">INDIRECT("Tableau!$AJ$71")</f>
        <v/>
      </c>
    </row>
    <row r="2907">
      <c r="A2907" s="397">
        <f t="array" ref="A2907">INDIRECT("Tableau!$A$72")</f>
        <v>367</v>
      </c>
      <c r="B2907" s="398" t="s">
        <v>476</v>
      </c>
      <c r="C2907" s="400" t="str">
        <f t="array" ref="C2907">INDIRECT("Tableau!$AI$72")</f>
        <v/>
      </c>
      <c r="D2907" s="400" t="str">
        <f t="shared" si="17"/>
        <v>OUT</v>
      </c>
      <c r="E2907" s="403" t="str">
        <f t="array" ref="E2907">INDIRECT("Tableau!$AJ$72")</f>
        <v/>
      </c>
    </row>
    <row r="2908">
      <c r="A2908" s="402">
        <f t="array" ref="A2908">INDIRECT("Tableau!$A$73")</f>
        <v>308</v>
      </c>
      <c r="B2908" s="398" t="s">
        <v>476</v>
      </c>
      <c r="C2908" s="400" t="str">
        <f t="array" ref="C2908">INDIRECT("Tableau!$AI$73")</f>
        <v/>
      </c>
      <c r="D2908" s="400" t="str">
        <f t="shared" si="17"/>
        <v>OUT</v>
      </c>
      <c r="E2908" s="403" t="str">
        <f t="array" ref="E2908">INDIRECT("Tableau!$AJ$73")</f>
        <v/>
      </c>
    </row>
    <row r="2909">
      <c r="A2909" s="397">
        <f t="array" ref="A2909">INDIRECT("Tableau!$A$74")</f>
        <v>319</v>
      </c>
      <c r="B2909" s="398" t="s">
        <v>476</v>
      </c>
      <c r="C2909" s="400" t="str">
        <f t="array" ref="C2909">INDIRECT("Tableau!$AI$74")</f>
        <v/>
      </c>
      <c r="D2909" s="400" t="str">
        <f t="shared" si="17"/>
        <v>OUT</v>
      </c>
      <c r="E2909" s="403" t="str">
        <f t="array" ref="E2909">INDIRECT("Tableau!$AJ$74")</f>
        <v/>
      </c>
    </row>
    <row r="2910">
      <c r="A2910" s="402">
        <f t="array" ref="A2910">INDIRECT("Tableau!$A$75")</f>
        <v>309</v>
      </c>
      <c r="B2910" s="398" t="s">
        <v>476</v>
      </c>
      <c r="C2910" s="400" t="str">
        <f t="array" ref="C2910">INDIRECT("Tableau!$AI$75")</f>
        <v/>
      </c>
      <c r="D2910" s="400" t="str">
        <f t="shared" si="17"/>
        <v>OUT</v>
      </c>
      <c r="E2910" s="403" t="str">
        <f t="array" ref="E2910">INDIRECT("Tableau!$AJ$75")</f>
        <v/>
      </c>
    </row>
    <row r="2911">
      <c r="A2911" s="402">
        <f t="array" ref="A2911">INDIRECT("Tableau!$A$76")</f>
        <v>310</v>
      </c>
      <c r="B2911" s="398" t="s">
        <v>476</v>
      </c>
      <c r="C2911" s="400" t="str">
        <f t="array" ref="C2911">INDIRECT("Tableau!$AI$76")</f>
        <v/>
      </c>
      <c r="D2911" s="400" t="str">
        <f t="shared" si="17"/>
        <v>OUT</v>
      </c>
      <c r="E2911" s="403" t="str">
        <f t="array" ref="E2911">INDIRECT("Tableau!$AJ$76")</f>
        <v/>
      </c>
    </row>
    <row r="2912">
      <c r="A2912" s="402">
        <f t="array" ref="A2912">INDIRECT("Tableau!$A$77")</f>
        <v>311</v>
      </c>
      <c r="B2912" s="398" t="s">
        <v>476</v>
      </c>
      <c r="C2912" s="400" t="str">
        <f t="array" ref="C2912">INDIRECT("Tableau!$AI$77")</f>
        <v/>
      </c>
      <c r="D2912" s="400" t="str">
        <f t="shared" si="17"/>
        <v>OUT</v>
      </c>
      <c r="E2912" s="403" t="str">
        <f t="array" ref="E2912">INDIRECT("Tableau!$AJ$77")</f>
        <v/>
      </c>
    </row>
    <row r="2913">
      <c r="A2913" s="402">
        <f t="array" ref="A2913">INDIRECT("Tableau!$A$78")</f>
        <v>312</v>
      </c>
      <c r="B2913" s="398" t="s">
        <v>476</v>
      </c>
      <c r="C2913" s="400" t="str">
        <f t="array" ref="C2913">INDIRECT("Tableau!$AI$78")</f>
        <v/>
      </c>
      <c r="D2913" s="400" t="str">
        <f t="shared" si="17"/>
        <v>OUT</v>
      </c>
      <c r="E2913" s="403" t="str">
        <f t="array" ref="E2913">INDIRECT("Tableau!$AJ$78")</f>
        <v/>
      </c>
    </row>
    <row r="2914">
      <c r="A2914" s="402">
        <f t="array" ref="A2914">INDIRECT("Tableau!$A$79")</f>
        <v>313</v>
      </c>
      <c r="B2914" s="398" t="s">
        <v>476</v>
      </c>
      <c r="C2914" s="400" t="str">
        <f t="array" ref="C2914">INDIRECT("Tableau!$AI$79")</f>
        <v/>
      </c>
      <c r="D2914" s="400" t="str">
        <f t="shared" si="17"/>
        <v>OUT</v>
      </c>
      <c r="E2914" s="403" t="str">
        <f t="array" ref="E2914">INDIRECT("Tableau!$AJ$79")</f>
        <v/>
      </c>
    </row>
    <row r="2915">
      <c r="A2915" s="402">
        <f t="array" ref="A2915">INDIRECT("Tableau!$A$80")</f>
        <v>314</v>
      </c>
      <c r="B2915" s="398" t="s">
        <v>476</v>
      </c>
      <c r="C2915" s="400" t="str">
        <f t="array" ref="C2915">INDIRECT("Tableau!$AI$80")</f>
        <v/>
      </c>
      <c r="D2915" s="400" t="str">
        <f t="shared" si="17"/>
        <v>OUT</v>
      </c>
      <c r="E2915" s="403" t="str">
        <f t="array" ref="E2915">INDIRECT("Tableau!$AJ$80")</f>
        <v/>
      </c>
    </row>
    <row r="2916">
      <c r="A2916" s="402">
        <f t="array" ref="A2916">INDIRECT("Tableau!$A$81")</f>
        <v>315</v>
      </c>
      <c r="B2916" s="398" t="s">
        <v>476</v>
      </c>
      <c r="C2916" s="400" t="str">
        <f t="array" ref="C2916">INDIRECT("Tableau!$AI$81")</f>
        <v/>
      </c>
      <c r="D2916" s="400" t="str">
        <f t="shared" si="17"/>
        <v>OUT</v>
      </c>
      <c r="E2916" s="403" t="str">
        <f t="array" ref="E2916">INDIRECT("Tableau!$AJ$81")</f>
        <v/>
      </c>
    </row>
    <row r="2917">
      <c r="A2917" s="402">
        <f t="array" ref="A2917">INDIRECT("Tableau!$A$82")</f>
        <v>316</v>
      </c>
      <c r="B2917" s="398" t="s">
        <v>476</v>
      </c>
      <c r="C2917" s="400" t="str">
        <f t="array" ref="C2917">INDIRECT("Tableau!$AI$82")</f>
        <v/>
      </c>
      <c r="D2917" s="400" t="str">
        <f t="shared" si="17"/>
        <v>OUT</v>
      </c>
      <c r="E2917" s="403" t="str">
        <f t="array" ref="E2917">INDIRECT("Tableau!$AJ$82")</f>
        <v/>
      </c>
    </row>
    <row r="2918">
      <c r="A2918" s="402">
        <f t="array" ref="A2918">INDIRECT("Tableau!$A$83")</f>
        <v>317</v>
      </c>
      <c r="B2918" s="398" t="s">
        <v>476</v>
      </c>
      <c r="C2918" s="400" t="str">
        <f t="array" ref="C2918">INDIRECT("Tableau!$AI$83")</f>
        <v/>
      </c>
      <c r="D2918" s="400" t="str">
        <f t="shared" si="17"/>
        <v>OUT</v>
      </c>
      <c r="E2918" s="403" t="str">
        <f t="array" ref="E2918">INDIRECT("Tableau!$AJ$83")</f>
        <v/>
      </c>
    </row>
    <row r="2919">
      <c r="A2919" s="402">
        <f t="array" ref="A2919">INDIRECT("Tableau!$A$84")</f>
        <v>318</v>
      </c>
      <c r="B2919" s="398" t="s">
        <v>476</v>
      </c>
      <c r="C2919" s="400" t="str">
        <f t="array" ref="C2919">INDIRECT("Tableau!$AI$84")</f>
        <v/>
      </c>
      <c r="D2919" s="400" t="str">
        <f t="shared" si="17"/>
        <v>OUT</v>
      </c>
      <c r="E2919" s="403" t="str">
        <f t="array" ref="E2919">INDIRECT("Tableau!$AJ$84")</f>
        <v/>
      </c>
    </row>
    <row r="2920">
      <c r="A2920" s="402">
        <f t="array" ref="A2920">INDIRECT("Tableau!$A$85")</f>
        <v>320</v>
      </c>
      <c r="B2920" s="398" t="s">
        <v>476</v>
      </c>
      <c r="C2920" s="400" t="str">
        <f t="array" ref="C2920">INDIRECT("Tableau!$AI$85")</f>
        <v/>
      </c>
      <c r="D2920" s="400" t="str">
        <f t="shared" si="17"/>
        <v>OUT</v>
      </c>
      <c r="E2920" s="403" t="str">
        <f t="array" ref="E2920">INDIRECT("Tableau!$AJ$85")</f>
        <v/>
      </c>
    </row>
    <row r="2921">
      <c r="A2921" s="402">
        <f t="array" ref="A2921">INDIRECT("Tableau!$A$86")</f>
        <v>321</v>
      </c>
      <c r="B2921" s="398" t="s">
        <v>476</v>
      </c>
      <c r="C2921" s="400" t="str">
        <f t="array" ref="C2921">INDIRECT("Tableau!$AI$86")</f>
        <v/>
      </c>
      <c r="D2921" s="400" t="str">
        <f t="shared" si="17"/>
        <v>OUT</v>
      </c>
      <c r="E2921" s="403" t="str">
        <f t="array" ref="E2921">INDIRECT("Tableau!$AJ$86")</f>
        <v/>
      </c>
    </row>
    <row r="2922">
      <c r="A2922" s="397" t="str">
        <f t="array" ref="A2922">INDIRECT("Tableau!$A$87")</f>
        <v/>
      </c>
      <c r="B2922" s="398" t="s">
        <v>476</v>
      </c>
      <c r="C2922" s="400" t="str">
        <f t="array" ref="C2922">INDIRECT("Tableau!$AI$87")</f>
        <v/>
      </c>
      <c r="D2922" s="400" t="str">
        <f t="shared" si="17"/>
        <v>OUT</v>
      </c>
      <c r="E2922" s="403" t="str">
        <f t="array" ref="E2922">INDIRECT("Tableau!$AJ$87")</f>
        <v/>
      </c>
    </row>
    <row r="2923">
      <c r="A2923" s="402">
        <f t="array" ref="A2923">INDIRECT("Tableau!$A$88")</f>
        <v>323</v>
      </c>
      <c r="B2923" s="398" t="s">
        <v>476</v>
      </c>
      <c r="C2923" s="400" t="str">
        <f t="array" ref="C2923">INDIRECT("Tableau!$AI$88")</f>
        <v/>
      </c>
      <c r="D2923" s="400" t="str">
        <f t="shared" si="17"/>
        <v>OUT</v>
      </c>
      <c r="E2923" s="403" t="str">
        <f t="array" ref="E2923">INDIRECT("Tableau!$AJ$88")</f>
        <v/>
      </c>
    </row>
    <row r="2924">
      <c r="A2924" s="402">
        <f t="array" ref="A2924">INDIRECT("Tableau!$A$89")</f>
        <v>324</v>
      </c>
      <c r="B2924" s="398" t="s">
        <v>476</v>
      </c>
      <c r="C2924" s="400" t="str">
        <f t="array" ref="C2924">INDIRECT("Tableau!$AI$89")</f>
        <v/>
      </c>
      <c r="D2924" s="400" t="str">
        <f t="shared" si="17"/>
        <v>OUT</v>
      </c>
      <c r="E2924" s="403" t="str">
        <f t="array" ref="E2924">INDIRECT("Tableau!$AJ$89")</f>
        <v/>
      </c>
    </row>
    <row r="2925">
      <c r="A2925" s="402">
        <f t="array" ref="A2925">INDIRECT("Tableau!$A$90")</f>
        <v>325</v>
      </c>
      <c r="B2925" s="398" t="s">
        <v>476</v>
      </c>
      <c r="C2925" s="400" t="str">
        <f t="array" ref="C2925">INDIRECT("Tableau!$AI$90")</f>
        <v/>
      </c>
      <c r="D2925" s="400" t="str">
        <f t="shared" si="17"/>
        <v>OUT</v>
      </c>
      <c r="E2925" s="403" t="str">
        <f t="array" ref="E2925">INDIRECT("Tableau!$AJ$90")</f>
        <v/>
      </c>
    </row>
    <row r="2926">
      <c r="A2926" s="402">
        <f t="array" ref="A2926">INDIRECT("Tableau!$A$91")</f>
        <v>326</v>
      </c>
      <c r="B2926" s="398" t="s">
        <v>476</v>
      </c>
      <c r="C2926" s="400" t="str">
        <f t="array" ref="C2926">INDIRECT("Tableau!$AI$91")</f>
        <v/>
      </c>
      <c r="D2926" s="400" t="str">
        <f t="shared" si="17"/>
        <v>OUT</v>
      </c>
      <c r="E2926" s="403" t="str">
        <f t="array" ref="E2926">INDIRECT("Tableau!$AJ$91")</f>
        <v/>
      </c>
    </row>
    <row r="2927">
      <c r="A2927" s="402">
        <f t="array" ref="A2927">INDIRECT("Tableau!$A$92")</f>
        <v>327</v>
      </c>
      <c r="B2927" s="398" t="s">
        <v>476</v>
      </c>
      <c r="C2927" s="400" t="str">
        <f t="array" ref="C2927">INDIRECT("Tableau!$AI$92")</f>
        <v/>
      </c>
      <c r="D2927" s="400" t="str">
        <f t="shared" si="17"/>
        <v>OUT</v>
      </c>
      <c r="E2927" s="403" t="str">
        <f t="array" ref="E2927">INDIRECT("Tableau!$AJ$92")</f>
        <v/>
      </c>
    </row>
    <row r="2928">
      <c r="A2928" s="402">
        <f t="array" ref="A2928">INDIRECT("Tableau!$A$93")</f>
        <v>328</v>
      </c>
      <c r="B2928" s="398" t="s">
        <v>476</v>
      </c>
      <c r="C2928" s="400" t="str">
        <f t="array" ref="C2928">INDIRECT("Tableau!$AI$93")</f>
        <v/>
      </c>
      <c r="D2928" s="400" t="str">
        <f t="shared" si="17"/>
        <v>OUT</v>
      </c>
      <c r="E2928" s="403" t="str">
        <f t="array" ref="E2928">INDIRECT("Tableau!$AJ$93")</f>
        <v/>
      </c>
    </row>
    <row r="2929">
      <c r="A2929" s="402">
        <f t="array" ref="A2929">INDIRECT("Tableau!$A$94")</f>
        <v>329</v>
      </c>
      <c r="B2929" s="398" t="s">
        <v>476</v>
      </c>
      <c r="C2929" s="400" t="str">
        <f t="array" ref="C2929">INDIRECT("Tableau!$AI$94")</f>
        <v/>
      </c>
      <c r="D2929" s="400" t="str">
        <f t="shared" si="17"/>
        <v>OUT</v>
      </c>
      <c r="E2929" s="403" t="str">
        <f t="array" ref="E2929">INDIRECT("Tableau!$AJ$94")</f>
        <v/>
      </c>
    </row>
    <row r="2930">
      <c r="A2930" s="402">
        <f t="array" ref="A2930">INDIRECT("Tableau!$A$95")</f>
        <v>330</v>
      </c>
      <c r="B2930" s="398" t="s">
        <v>476</v>
      </c>
      <c r="C2930" s="400" t="str">
        <f t="array" ref="C2930">INDIRECT("Tableau!$AI$95")</f>
        <v/>
      </c>
      <c r="D2930" s="400" t="str">
        <f t="shared" si="17"/>
        <v>OUT</v>
      </c>
      <c r="E2930" s="403" t="str">
        <f t="array" ref="E2930">INDIRECT("Tableau!$AJ$95")</f>
        <v/>
      </c>
    </row>
    <row r="2931">
      <c r="A2931" s="402">
        <f t="array" ref="A2931">INDIRECT("Tableau!$A$96")</f>
        <v>331</v>
      </c>
      <c r="B2931" s="398" t="s">
        <v>476</v>
      </c>
      <c r="C2931" s="400" t="str">
        <f t="array" ref="C2931">INDIRECT("Tableau!$AI$96")</f>
        <v/>
      </c>
      <c r="D2931" s="400" t="str">
        <f t="shared" si="17"/>
        <v>OUT</v>
      </c>
      <c r="E2931" s="403" t="str">
        <f t="array" ref="E2931">INDIRECT("Tableau!$AJ$96")</f>
        <v/>
      </c>
    </row>
    <row r="2932">
      <c r="A2932" s="402">
        <f t="array" ref="A2932">INDIRECT("Tableau!$A$97")</f>
        <v>332</v>
      </c>
      <c r="B2932" s="398" t="s">
        <v>476</v>
      </c>
      <c r="C2932" s="400" t="str">
        <f t="array" ref="C2932">INDIRECT("Tableau!$AI$97")</f>
        <v/>
      </c>
      <c r="D2932" s="400" t="str">
        <f t="shared" si="17"/>
        <v>OUT</v>
      </c>
      <c r="E2932" s="403" t="str">
        <f t="array" ref="E2932">INDIRECT("Tableau!$AJ$97")</f>
        <v/>
      </c>
    </row>
    <row r="2933">
      <c r="A2933" s="402">
        <f t="array" ref="A2933">INDIRECT("Tableau!$A$98")</f>
        <v>333</v>
      </c>
      <c r="B2933" s="398" t="s">
        <v>476</v>
      </c>
      <c r="C2933" s="400" t="str">
        <f t="array" ref="C2933">INDIRECT("Tableau!$AI$98")</f>
        <v/>
      </c>
      <c r="D2933" s="400" t="str">
        <f t="shared" si="17"/>
        <v>OUT</v>
      </c>
      <c r="E2933" s="403" t="str">
        <f t="array" ref="E2933">INDIRECT("Tableau!$AJ$98")</f>
        <v/>
      </c>
    </row>
    <row r="2934">
      <c r="A2934" s="402">
        <f t="array" ref="A2934">INDIRECT("Tableau!$A$99")</f>
        <v>334</v>
      </c>
      <c r="B2934" s="398" t="s">
        <v>476</v>
      </c>
      <c r="C2934" s="400" t="str">
        <f t="array" ref="C2934">INDIRECT("Tableau!$AI$99")</f>
        <v>Bloqué</v>
      </c>
      <c r="D2934" s="400" t="str">
        <f t="shared" si="17"/>
        <v>OUT</v>
      </c>
      <c r="E2934" s="403" t="str">
        <f t="array" ref="E2934">INDIRECT("Tableau!$AJ$99")</f>
        <v/>
      </c>
    </row>
    <row r="2935">
      <c r="A2935" s="402">
        <f t="array" ref="A2935">INDIRECT("Tableau!$A$100")</f>
        <v>335</v>
      </c>
      <c r="B2935" s="398" t="s">
        <v>476</v>
      </c>
      <c r="C2935" s="400" t="str">
        <f t="array" ref="C2935">INDIRECT("Tableau!$AI$100")</f>
        <v/>
      </c>
      <c r="D2935" s="400" t="str">
        <f t="shared" si="17"/>
        <v>OUT</v>
      </c>
      <c r="E2935" s="403" t="str">
        <f t="array" ref="E2935">INDIRECT("Tableau!$AJ$100")</f>
        <v/>
      </c>
    </row>
    <row r="2936">
      <c r="A2936" s="402">
        <f t="array" ref="A2936">INDIRECT("Tableau!$A$101")</f>
        <v>336</v>
      </c>
      <c r="B2936" s="398" t="s">
        <v>476</v>
      </c>
      <c r="C2936" s="400" t="str">
        <f t="array" ref="C2936">INDIRECT("Tableau!$AI$101")</f>
        <v/>
      </c>
      <c r="D2936" s="400" t="str">
        <f t="shared" si="17"/>
        <v>OUT</v>
      </c>
      <c r="E2936" s="403" t="str">
        <f t="array" ref="E2936">INDIRECT("Tableau!$AJ$101")</f>
        <v/>
      </c>
    </row>
    <row r="2937">
      <c r="A2937" s="402">
        <f t="array" ref="A2937">INDIRECT("Tableau!$A$102")</f>
        <v>337</v>
      </c>
      <c r="B2937" s="398" t="s">
        <v>476</v>
      </c>
      <c r="C2937" s="400" t="str">
        <f t="array" ref="C2937">INDIRECT("Tableau!$AI$102")</f>
        <v/>
      </c>
      <c r="D2937" s="400" t="str">
        <f t="shared" si="17"/>
        <v>OUT</v>
      </c>
      <c r="E2937" s="403" t="str">
        <f t="array" ref="E2937">INDIRECT("Tableau!$AJ$102")</f>
        <v/>
      </c>
    </row>
    <row r="2938">
      <c r="A2938" s="402">
        <f t="array" ref="A2938">INDIRECT("Tableau!$A$103")</f>
        <v>338</v>
      </c>
      <c r="B2938" s="398" t="s">
        <v>476</v>
      </c>
      <c r="C2938" s="400" t="str">
        <f t="array" ref="C2938">INDIRECT("Tableau!$AI$103")</f>
        <v/>
      </c>
      <c r="D2938" s="400" t="str">
        <f t="shared" si="17"/>
        <v>OUT</v>
      </c>
      <c r="E2938" s="403" t="str">
        <f t="array" ref="E2938">INDIRECT("Tableau!$AJ$103")</f>
        <v/>
      </c>
    </row>
    <row r="2939">
      <c r="A2939" s="402">
        <f t="array" ref="A2939">INDIRECT("Tableau!$A$104")</f>
        <v>339</v>
      </c>
      <c r="B2939" s="398" t="s">
        <v>476</v>
      </c>
      <c r="C2939" s="400" t="str">
        <f t="array" ref="C2939">INDIRECT("Tableau!$AI$104")</f>
        <v/>
      </c>
      <c r="D2939" s="400" t="str">
        <f t="shared" si="17"/>
        <v>OUT</v>
      </c>
      <c r="E2939" s="403" t="str">
        <f t="array" ref="E2939">INDIRECT("Tableau!$AJ$104")</f>
        <v/>
      </c>
    </row>
    <row r="2940">
      <c r="A2940" s="402">
        <f t="array" ref="A2940">INDIRECT("Tableau!$A$105")</f>
        <v>340</v>
      </c>
      <c r="B2940" s="398" t="s">
        <v>476</v>
      </c>
      <c r="C2940" s="400" t="str">
        <f t="array" ref="C2940">INDIRECT("Tableau!$AI$105")</f>
        <v/>
      </c>
      <c r="D2940" s="400" t="str">
        <f t="shared" si="17"/>
        <v>OUT</v>
      </c>
      <c r="E2940" s="403" t="str">
        <f t="array" ref="E2940">INDIRECT("Tableau!$AJ$105")</f>
        <v/>
      </c>
    </row>
    <row r="2941">
      <c r="A2941" s="402">
        <f t="array" ref="A2941">INDIRECT("Tableau!$A$106")</f>
        <v>341</v>
      </c>
      <c r="B2941" s="398" t="s">
        <v>476</v>
      </c>
      <c r="C2941" s="400" t="str">
        <f t="array" ref="C2941">INDIRECT("Tableau!$AI$106")</f>
        <v/>
      </c>
      <c r="D2941" s="400" t="str">
        <f t="shared" si="17"/>
        <v>OUT</v>
      </c>
      <c r="E2941" s="403" t="str">
        <f t="array" ref="E2941">INDIRECT("Tableau!$AJ$106")</f>
        <v/>
      </c>
    </row>
    <row r="2942">
      <c r="A2942" s="402">
        <f t="array" ref="A2942">INDIRECT("Tableau!$A$107")</f>
        <v>365</v>
      </c>
      <c r="B2942" s="398" t="s">
        <v>476</v>
      </c>
      <c r="C2942" s="400" t="str">
        <f t="array" ref="C2942">INDIRECT("Tableau!$AI$107")</f>
        <v/>
      </c>
      <c r="D2942" s="400" t="str">
        <f t="shared" si="17"/>
        <v>OUT</v>
      </c>
      <c r="E2942" s="403" t="str">
        <f t="array" ref="E2942">INDIRECT("Tableau!$AJ$107")</f>
        <v/>
      </c>
    </row>
    <row r="2943">
      <c r="A2943" s="402">
        <f t="array" ref="A2943">INDIRECT("Tableau!$A$108")</f>
        <v>342</v>
      </c>
      <c r="B2943" s="398" t="s">
        <v>476</v>
      </c>
      <c r="C2943" s="400" t="str">
        <f t="array" ref="C2943">INDIRECT("Tableau!$AI$108")</f>
        <v>DPS</v>
      </c>
      <c r="D2943" s="400" t="str">
        <f t="shared" si="17"/>
        <v>OUT</v>
      </c>
      <c r="E2943" s="403" t="str">
        <f t="array" ref="E2943">INDIRECT("Tableau!$AJ$108")</f>
        <v/>
      </c>
    </row>
    <row r="2944">
      <c r="A2944" s="402">
        <f t="array" ref="A2944">INDIRECT("Tableau!$A$109")</f>
        <v>343</v>
      </c>
      <c r="B2944" s="398" t="s">
        <v>476</v>
      </c>
      <c r="C2944" s="400" t="str">
        <f t="array" ref="C2944">INDIRECT("Tableau!$AI$109")</f>
        <v/>
      </c>
      <c r="D2944" s="400" t="str">
        <f t="shared" si="17"/>
        <v>OUT</v>
      </c>
      <c r="E2944" s="403" t="str">
        <f t="array" ref="E2944">INDIRECT("Tableau!$AJ$109")</f>
        <v/>
      </c>
    </row>
    <row r="2945">
      <c r="A2945" s="402">
        <f t="array" ref="A2945">INDIRECT("Tableau!$A$110")</f>
        <v>344</v>
      </c>
      <c r="B2945" s="398" t="s">
        <v>476</v>
      </c>
      <c r="C2945" s="400" t="str">
        <f t="array" ref="C2945">INDIRECT("Tableau!$AI$110")</f>
        <v/>
      </c>
      <c r="D2945" s="400" t="str">
        <f t="shared" si="17"/>
        <v>OUT</v>
      </c>
      <c r="E2945" s="403" t="str">
        <f t="array" ref="E2945">INDIRECT("Tableau!$AJ$110")</f>
        <v/>
      </c>
    </row>
    <row r="2946">
      <c r="A2946" s="402">
        <f t="array" ref="A2946">INDIRECT("Tableau!$A$111")</f>
        <v>363</v>
      </c>
      <c r="B2946" s="398" t="s">
        <v>476</v>
      </c>
      <c r="C2946" s="400" t="str">
        <f t="array" ref="C2946">INDIRECT("Tableau!$AI$111")</f>
        <v/>
      </c>
      <c r="D2946" s="400" t="str">
        <f t="shared" si="17"/>
        <v>OUT</v>
      </c>
      <c r="E2946" s="403" t="str">
        <f t="array" ref="E2946">INDIRECT("Tableau!$AJ$111")</f>
        <v/>
      </c>
    </row>
    <row r="2947">
      <c r="A2947" s="402">
        <f t="array" ref="A2947">INDIRECT("Tableau!$A$112")</f>
        <v>345</v>
      </c>
      <c r="B2947" s="398" t="s">
        <v>476</v>
      </c>
      <c r="C2947" s="400" t="str">
        <f t="array" ref="C2947">INDIRECT("Tableau!$AI$112")</f>
        <v/>
      </c>
      <c r="D2947" s="400" t="str">
        <f t="shared" si="17"/>
        <v>OUT</v>
      </c>
      <c r="E2947" s="403" t="str">
        <f t="array" ref="E2947">INDIRECT("Tableau!$AJ$112")</f>
        <v/>
      </c>
    </row>
    <row r="2948">
      <c r="A2948" s="402">
        <f t="array" ref="A2948">INDIRECT("Tableau!$A$113")</f>
        <v>346</v>
      </c>
      <c r="B2948" s="398" t="s">
        <v>476</v>
      </c>
      <c r="C2948" s="400" t="str">
        <f t="array" ref="C2948">INDIRECT("Tableau!$AI$113")</f>
        <v/>
      </c>
      <c r="D2948" s="400" t="str">
        <f t="shared" si="17"/>
        <v>OUT</v>
      </c>
      <c r="E2948" s="403" t="str">
        <f t="array" ref="E2948">INDIRECT("Tableau!$AJ$113")</f>
        <v/>
      </c>
    </row>
    <row r="2949">
      <c r="A2949" s="402">
        <f t="array" ref="A2949">INDIRECT("Tableau!$A$114")</f>
        <v>359</v>
      </c>
      <c r="B2949" s="398" t="s">
        <v>476</v>
      </c>
      <c r="C2949" s="400" t="str">
        <f t="array" ref="C2949">INDIRECT("Tableau!$AI$114")</f>
        <v/>
      </c>
      <c r="D2949" s="400" t="str">
        <f t="shared" si="17"/>
        <v>OUT</v>
      </c>
      <c r="E2949" s="403" t="str">
        <f t="array" ref="E2949">INDIRECT("Tableau!$AJ$114")</f>
        <v/>
      </c>
    </row>
    <row r="2950">
      <c r="A2950" s="402">
        <f t="array" ref="A2950">INDIRECT("Tableau!$A$115")</f>
        <v>360</v>
      </c>
      <c r="B2950" s="398" t="s">
        <v>476</v>
      </c>
      <c r="C2950" s="400" t="str">
        <f t="array" ref="C2950">INDIRECT("Tableau!$AI$115")</f>
        <v/>
      </c>
      <c r="D2950" s="400" t="str">
        <f t="shared" si="17"/>
        <v>OUT</v>
      </c>
      <c r="E2950" s="403" t="str">
        <f t="array" ref="E2950">INDIRECT("Tableau!$AJ$115")</f>
        <v/>
      </c>
    </row>
    <row r="2951">
      <c r="A2951" s="402">
        <f t="array" ref="A2951">INDIRECT("Tableau!$A$116")</f>
        <v>361</v>
      </c>
      <c r="B2951" s="398" t="s">
        <v>476</v>
      </c>
      <c r="C2951" s="400" t="str">
        <f t="array" ref="C2951">INDIRECT("Tableau!$AI$116")</f>
        <v/>
      </c>
      <c r="D2951" s="400" t="str">
        <f t="shared" si="17"/>
        <v>OUT</v>
      </c>
      <c r="E2951" s="403" t="str">
        <f t="array" ref="E2951">INDIRECT("Tableau!$AJ$116")</f>
        <v/>
      </c>
    </row>
    <row r="2952">
      <c r="A2952" s="397" t="str">
        <f t="array" ref="A2952">INDIRECT("Tableau!$A$117")</f>
        <v/>
      </c>
      <c r="B2952" s="398" t="s">
        <v>476</v>
      </c>
      <c r="C2952" s="400" t="str">
        <f t="array" ref="C2952">INDIRECT("Tableau!$AI$117")</f>
        <v/>
      </c>
      <c r="D2952" s="400" t="str">
        <f t="shared" si="17"/>
        <v>OUT</v>
      </c>
      <c r="E2952" s="403" t="str">
        <f t="array" ref="E2952">INDIRECT("Tableau!$AJ$117")</f>
        <v/>
      </c>
    </row>
    <row r="2953">
      <c r="A2953" s="402">
        <f t="array" ref="A2953">INDIRECT("Tableau!$A$118")</f>
        <v>347</v>
      </c>
      <c r="B2953" s="398" t="s">
        <v>476</v>
      </c>
      <c r="C2953" s="400" t="str">
        <f t="array" ref="C2953">INDIRECT("Tableau!$AI$118")</f>
        <v/>
      </c>
      <c r="D2953" s="400" t="str">
        <f t="shared" si="17"/>
        <v>OUT</v>
      </c>
      <c r="E2953" s="403" t="str">
        <f t="array" ref="E2953">INDIRECT("Tableau!$AJ$118")</f>
        <v/>
      </c>
    </row>
    <row r="2954">
      <c r="A2954" s="402">
        <f t="array" ref="A2954">INDIRECT("Tableau!$A$119")</f>
        <v>348</v>
      </c>
      <c r="B2954" s="398" t="s">
        <v>476</v>
      </c>
      <c r="C2954" s="400" t="str">
        <f t="array" ref="C2954">INDIRECT("Tableau!$AI$119")</f>
        <v>DPS</v>
      </c>
      <c r="D2954" s="400" t="str">
        <f t="shared" si="17"/>
        <v>OUT</v>
      </c>
      <c r="E2954" s="403" t="str">
        <f t="array" ref="E2954">INDIRECT("Tableau!$AJ$119")</f>
        <v/>
      </c>
    </row>
    <row r="2955">
      <c r="A2955" s="402">
        <f t="array" ref="A2955">INDIRECT("Tableau!$A$120")</f>
        <v>349</v>
      </c>
      <c r="B2955" s="398" t="s">
        <v>476</v>
      </c>
      <c r="C2955" s="400" t="str">
        <f t="array" ref="C2955">INDIRECT("Tableau!$AI$120")</f>
        <v/>
      </c>
      <c r="D2955" s="400" t="str">
        <f t="shared" si="17"/>
        <v>OUT</v>
      </c>
      <c r="E2955" s="403" t="str">
        <f t="array" ref="E2955">INDIRECT("Tableau!$AJ$120")</f>
        <v/>
      </c>
    </row>
    <row r="2956">
      <c r="A2956" s="402">
        <f t="array" ref="A2956">INDIRECT("Tableau!$A$121")</f>
        <v>350</v>
      </c>
      <c r="B2956" s="398" t="s">
        <v>476</v>
      </c>
      <c r="C2956" s="400" t="str">
        <f t="array" ref="C2956">INDIRECT("Tableau!$AI$121")</f>
        <v/>
      </c>
      <c r="D2956" s="400" t="str">
        <f t="shared" si="17"/>
        <v>OUT</v>
      </c>
      <c r="E2956" s="403" t="str">
        <f t="array" ref="E2956">INDIRECT("Tableau!$AJ$121")</f>
        <v/>
      </c>
    </row>
    <row r="2957">
      <c r="A2957" s="402">
        <f t="array" ref="A2957">INDIRECT("Tableau!$A$122")</f>
        <v>351</v>
      </c>
      <c r="B2957" s="398" t="s">
        <v>476</v>
      </c>
      <c r="C2957" s="400" t="str">
        <f t="array" ref="C2957">INDIRECT("Tableau!$AI$122")</f>
        <v/>
      </c>
      <c r="D2957" s="400" t="str">
        <f t="shared" si="17"/>
        <v>OUT</v>
      </c>
      <c r="E2957" s="403" t="str">
        <f t="array" ref="E2957">INDIRECT("Tableau!$AJ$122")</f>
        <v/>
      </c>
    </row>
    <row r="2958">
      <c r="A2958" s="402">
        <f t="array" ref="A2958">INDIRECT("Tableau!$A$123")</f>
        <v>352</v>
      </c>
      <c r="B2958" s="398" t="s">
        <v>476</v>
      </c>
      <c r="C2958" s="400" t="str">
        <f t="array" ref="C2958">INDIRECT("Tableau!$AI$123")</f>
        <v/>
      </c>
      <c r="D2958" s="400" t="str">
        <f t="shared" si="17"/>
        <v>OUT</v>
      </c>
      <c r="E2958" s="403" t="str">
        <f t="array" ref="E2958">INDIRECT("Tableau!$AJ$123")</f>
        <v/>
      </c>
    </row>
    <row r="2959">
      <c r="A2959" s="402">
        <f t="array" ref="A2959">INDIRECT("Tableau!$A$124")</f>
        <v>353</v>
      </c>
      <c r="B2959" s="398" t="s">
        <v>476</v>
      </c>
      <c r="C2959" s="400" t="str">
        <f t="array" ref="C2959">INDIRECT("Tableau!$AI$124")</f>
        <v/>
      </c>
      <c r="D2959" s="400" t="str">
        <f t="shared" si="17"/>
        <v>OUT</v>
      </c>
      <c r="E2959" s="403" t="str">
        <f t="array" ref="E2959">INDIRECT("Tableau!$AJ$124")</f>
        <v/>
      </c>
    </row>
    <row r="2960">
      <c r="A2960" s="397" t="str">
        <f t="array" ref="A2960">INDIRECT("Tableau!$A$125")</f>
        <v/>
      </c>
      <c r="B2960" s="398" t="s">
        <v>476</v>
      </c>
      <c r="C2960" s="400" t="str">
        <f t="array" ref="C2960">INDIRECT("Tableau!$AI$125")</f>
        <v/>
      </c>
      <c r="D2960" s="400" t="str">
        <f t="shared" si="17"/>
        <v>OUT</v>
      </c>
      <c r="E2960" s="403" t="str">
        <f t="array" ref="E2960">INDIRECT("Tableau!$AJ$125")</f>
        <v/>
      </c>
    </row>
    <row r="2961">
      <c r="A2961" s="402">
        <f t="array" ref="A2961">INDIRECT("Tableau!$A$126")</f>
        <v>354</v>
      </c>
      <c r="B2961" s="398" t="s">
        <v>476</v>
      </c>
      <c r="C2961" s="400" t="str">
        <f t="array" ref="C2961">INDIRECT("Tableau!$AI$126")</f>
        <v/>
      </c>
      <c r="D2961" s="400" t="str">
        <f t="shared" si="17"/>
        <v>OUT</v>
      </c>
      <c r="E2961" s="403" t="str">
        <f t="array" ref="E2961">INDIRECT("Tableau!$AJ$126")</f>
        <v/>
      </c>
    </row>
    <row r="2962">
      <c r="A2962" s="402">
        <f t="array" ref="A2962">INDIRECT("Tableau!$A$127")</f>
        <v>355</v>
      </c>
      <c r="B2962" s="398" t="s">
        <v>476</v>
      </c>
      <c r="C2962" s="400" t="str">
        <f t="array" ref="C2962">INDIRECT("Tableau!$AI$127")</f>
        <v>Bloqué</v>
      </c>
      <c r="D2962" s="400" t="str">
        <f t="shared" si="17"/>
        <v>OUT</v>
      </c>
      <c r="E2962" s="403" t="str">
        <f t="array" ref="E2962">INDIRECT("Tableau!$AJ$127")</f>
        <v>Maïs</v>
      </c>
    </row>
    <row r="2963">
      <c r="A2963" s="402">
        <f t="array" ref="A2963">INDIRECT("Tableau!$A$128")</f>
        <v>356</v>
      </c>
      <c r="B2963" s="398" t="s">
        <v>476</v>
      </c>
      <c r="C2963" s="400" t="str">
        <f t="array" ref="C2963">INDIRECT("Tableau!$AI$128")</f>
        <v/>
      </c>
      <c r="D2963" s="400" t="str">
        <f t="shared" si="17"/>
        <v>OUT</v>
      </c>
      <c r="E2963" s="403" t="str">
        <f t="array" ref="E2963">INDIRECT("Tableau!$AJ$128")</f>
        <v/>
      </c>
    </row>
    <row r="2964">
      <c r="A2964" s="402">
        <f t="array" ref="A2964">INDIRECT("Tableau!$A$129")</f>
        <v>357</v>
      </c>
      <c r="B2964" s="398" t="s">
        <v>476</v>
      </c>
      <c r="C2964" s="400" t="str">
        <f t="array" ref="C2964">INDIRECT("Tableau!$AI$129")</f>
        <v/>
      </c>
      <c r="D2964" s="400" t="str">
        <f t="shared" si="17"/>
        <v>OUT</v>
      </c>
      <c r="E2964" s="403" t="str">
        <f t="array" ref="E2964">INDIRECT("Tableau!$AJ$129")</f>
        <v/>
      </c>
    </row>
    <row r="2965">
      <c r="A2965" s="397" t="str">
        <f t="array" ref="A2965">INDIRECT("Tableau!$A$130")</f>
        <v/>
      </c>
      <c r="B2965" s="398" t="s">
        <v>476</v>
      </c>
      <c r="C2965" s="400" t="str">
        <f t="array" ref="C2965">INDIRECT("Tableau!$AI$130")</f>
        <v/>
      </c>
      <c r="D2965" s="400" t="str">
        <f t="shared" si="17"/>
        <v>OUT</v>
      </c>
      <c r="E2965" s="403" t="str">
        <f t="array" ref="E2965">INDIRECT("Tableau!$AJ$130")</f>
        <v/>
      </c>
    </row>
    <row r="2966">
      <c r="A2966" s="397" t="str">
        <f t="array" ref="A2966">INDIRECT("Tableau!$A$131")</f>
        <v/>
      </c>
      <c r="B2966" s="398" t="s">
        <v>476</v>
      </c>
      <c r="C2966" s="400" t="str">
        <f t="array" ref="C2966">INDIRECT("Tableau!$AI$131")</f>
        <v/>
      </c>
      <c r="D2966" s="400" t="str">
        <f t="shared" si="17"/>
        <v>OUT</v>
      </c>
      <c r="E2966" s="403" t="str">
        <f t="array" ref="E2966">INDIRECT("Tableau!$AJ$131")</f>
        <v/>
      </c>
    </row>
    <row r="2967">
      <c r="A2967" s="397" t="str">
        <f t="array" ref="A2967">INDIRECT("Tableau!$A$132")</f>
        <v/>
      </c>
      <c r="B2967" s="398" t="s">
        <v>476</v>
      </c>
      <c r="C2967" s="400" t="str">
        <f t="array" ref="C2967">INDIRECT("Tableau!$AI$132")</f>
        <v/>
      </c>
      <c r="D2967" s="400" t="str">
        <f t="shared" si="17"/>
        <v>OUT</v>
      </c>
      <c r="E2967" s="403" t="str">
        <f t="array" ref="E2967">INDIRECT("Tableau!$AJ$132")</f>
        <v/>
      </c>
    </row>
    <row r="2968">
      <c r="A2968" s="397" t="str">
        <f t="array" ref="A2968">INDIRECT("Tableau!$A$133")</f>
        <v/>
      </c>
      <c r="B2968" s="398" t="s">
        <v>476</v>
      </c>
      <c r="C2968" s="400" t="str">
        <f t="array" ref="C2968">INDIRECT("Tableau!$AI$133")</f>
        <v/>
      </c>
      <c r="D2968" s="400" t="str">
        <f t="shared" si="17"/>
        <v>OUT</v>
      </c>
      <c r="E2968" s="403" t="str">
        <f t="array" ref="E2968">INDIRECT("Tableau!$AJ$133")</f>
        <v/>
      </c>
    </row>
    <row r="2969">
      <c r="A2969" s="397" t="str">
        <f t="array" ref="A2969">INDIRECT("Tableau!$A$134")</f>
        <v/>
      </c>
      <c r="B2969" s="398" t="s">
        <v>476</v>
      </c>
      <c r="C2969" s="400" t="str">
        <f t="array" ref="C2969">INDIRECT("Tableau!$AI$134")</f>
        <v/>
      </c>
      <c r="D2969" s="400" t="str">
        <f t="shared" si="17"/>
        <v>OUT</v>
      </c>
      <c r="E2969" s="403" t="str">
        <f t="array" ref="E2969">INDIRECT("Tableau!$AJ$134")</f>
        <v/>
      </c>
    </row>
    <row r="2970">
      <c r="A2970" s="402">
        <f t="array" ref="A2970">INDIRECT("Tableau!$A$135")</f>
        <v>401</v>
      </c>
      <c r="B2970" s="398" t="s">
        <v>476</v>
      </c>
      <c r="C2970" s="400" t="str">
        <f t="array" ref="C2970">INDIRECT("Tableau!$AI$135")</f>
        <v/>
      </c>
      <c r="D2970" s="400" t="str">
        <f t="shared" si="17"/>
        <v>OUT</v>
      </c>
      <c r="E2970" s="403" t="str">
        <f t="array" ref="E2970">INDIRECT("Tableau!$AJ$135")</f>
        <v/>
      </c>
    </row>
    <row r="2971">
      <c r="A2971" s="402">
        <f t="array" ref="A2971">INDIRECT("Tableau!$A$136")</f>
        <v>402</v>
      </c>
      <c r="B2971" s="398" t="s">
        <v>476</v>
      </c>
      <c r="C2971" s="400" t="str">
        <f t="array" ref="C2971">INDIRECT("Tableau!$AI$136")</f>
        <v/>
      </c>
      <c r="D2971" s="400" t="str">
        <f t="shared" si="17"/>
        <v>OUT</v>
      </c>
      <c r="E2971" s="403" t="str">
        <f t="array" ref="E2971">INDIRECT("Tableau!$AJ$136")</f>
        <v/>
      </c>
    </row>
    <row r="2972">
      <c r="A2972" s="402">
        <f t="array" ref="A2972">INDIRECT("Tableau!$A$137")</f>
        <v>403</v>
      </c>
      <c r="B2972" s="398" t="s">
        <v>476</v>
      </c>
      <c r="C2972" s="400" t="str">
        <f t="array" ref="C2972">INDIRECT("Tableau!$AI$137")</f>
        <v/>
      </c>
      <c r="D2972" s="400" t="str">
        <f t="shared" si="17"/>
        <v>OUT</v>
      </c>
      <c r="E2972" s="403" t="str">
        <f t="array" ref="E2972">INDIRECT("Tableau!$AJ$137")</f>
        <v/>
      </c>
    </row>
    <row r="2973">
      <c r="A2973" s="402">
        <f t="array" ref="A2973">INDIRECT("Tableau!$A$138")</f>
        <v>404</v>
      </c>
      <c r="B2973" s="398" t="s">
        <v>476</v>
      </c>
      <c r="C2973" s="400" t="str">
        <f t="array" ref="C2973">INDIRECT("Tableau!$AI$138")</f>
        <v/>
      </c>
      <c r="D2973" s="400" t="str">
        <f t="shared" si="17"/>
        <v>OUT</v>
      </c>
      <c r="E2973" s="403" t="str">
        <f t="array" ref="E2973">INDIRECT("Tableau!$AJ$138")</f>
        <v/>
      </c>
    </row>
    <row r="2974">
      <c r="A2974" s="402">
        <f t="array" ref="A2974">INDIRECT("Tableau!$A$139")</f>
        <v>405</v>
      </c>
      <c r="B2974" s="398" t="s">
        <v>476</v>
      </c>
      <c r="C2974" s="400" t="str">
        <f t="array" ref="C2974">INDIRECT("Tableau!$AI$139")</f>
        <v/>
      </c>
      <c r="D2974" s="400" t="str">
        <f t="shared" si="17"/>
        <v>OUT</v>
      </c>
      <c r="E2974" s="403" t="str">
        <f t="array" ref="E2974">INDIRECT("Tableau!$AJ$139")</f>
        <v/>
      </c>
    </row>
    <row r="2975">
      <c r="A2975" s="402">
        <f t="array" ref="A2975">INDIRECT("Tableau!$A$140")</f>
        <v>406</v>
      </c>
      <c r="B2975" s="398" t="s">
        <v>476</v>
      </c>
      <c r="C2975" s="400" t="str">
        <f t="array" ref="C2975">INDIRECT("Tableau!$AI$140")</f>
        <v/>
      </c>
      <c r="D2975" s="400" t="str">
        <f t="shared" si="17"/>
        <v>OUT</v>
      </c>
      <c r="E2975" s="403" t="str">
        <f t="array" ref="E2975">INDIRECT("Tableau!$AJ$140")</f>
        <v/>
      </c>
    </row>
    <row r="2976">
      <c r="A2976" s="402">
        <f t="array" ref="A2976">INDIRECT("Tableau!$A$141")</f>
        <v>407</v>
      </c>
      <c r="B2976" s="398" t="s">
        <v>476</v>
      </c>
      <c r="C2976" s="400" t="str">
        <f t="array" ref="C2976">INDIRECT("Tableau!$AI$141")</f>
        <v/>
      </c>
      <c r="D2976" s="400" t="str">
        <f t="shared" si="17"/>
        <v>OUT</v>
      </c>
      <c r="E2976" s="403" t="str">
        <f t="array" ref="E2976">INDIRECT("Tableau!$AJ$141")</f>
        <v/>
      </c>
    </row>
    <row r="2977">
      <c r="A2977" s="402">
        <f t="array" ref="A2977">INDIRECT("Tableau!$A$142")</f>
        <v>408</v>
      </c>
      <c r="B2977" s="398" t="s">
        <v>476</v>
      </c>
      <c r="C2977" s="400" t="str">
        <f t="array" ref="C2977">INDIRECT("Tableau!$AI$142")</f>
        <v/>
      </c>
      <c r="D2977" s="400" t="str">
        <f t="shared" si="17"/>
        <v>OUT</v>
      </c>
      <c r="E2977" s="403" t="str">
        <f t="array" ref="E2977">INDIRECT("Tableau!$AJ$142")</f>
        <v/>
      </c>
    </row>
    <row r="2978">
      <c r="A2978" s="402">
        <f t="array" ref="A2978">INDIRECT("Tableau!$A$143")</f>
        <v>409</v>
      </c>
      <c r="B2978" s="398" t="s">
        <v>476</v>
      </c>
      <c r="C2978" s="400" t="str">
        <f t="array" ref="C2978">INDIRECT("Tableau!$AI$143")</f>
        <v/>
      </c>
      <c r="D2978" s="400" t="str">
        <f t="shared" si="17"/>
        <v>OUT</v>
      </c>
      <c r="E2978" s="403" t="str">
        <f t="array" ref="E2978">INDIRECT("Tableau!$AJ$143")</f>
        <v/>
      </c>
    </row>
    <row r="2979">
      <c r="A2979" s="397">
        <f t="array" ref="A2979">INDIRECT("Tableau!$A$144")</f>
        <v>415</v>
      </c>
      <c r="B2979" s="398" t="s">
        <v>476</v>
      </c>
      <c r="C2979" s="400" t="str">
        <f t="array" ref="C2979">INDIRECT("Tableau!$AI$144")</f>
        <v/>
      </c>
      <c r="D2979" s="400" t="str">
        <f t="shared" si="17"/>
        <v>OUT</v>
      </c>
      <c r="E2979" s="403" t="str">
        <f t="array" ref="E2979">INDIRECT("Tableau!$AJ$144")</f>
        <v/>
      </c>
    </row>
    <row r="2980">
      <c r="A2980" s="397" t="str">
        <f t="array" ref="A2980">INDIRECT("Tableau!$A$145")</f>
        <v/>
      </c>
      <c r="B2980" s="398" t="s">
        <v>476</v>
      </c>
      <c r="C2980" s="400" t="str">
        <f t="array" ref="C2980">INDIRECT("Tableau!$AI$145")</f>
        <v/>
      </c>
      <c r="D2980" s="400" t="str">
        <f t="shared" si="17"/>
        <v>OUT</v>
      </c>
      <c r="E2980" s="403" t="str">
        <f t="array" ref="E2980">INDIRECT("Tableau!$AJ$145")</f>
        <v/>
      </c>
    </row>
    <row r="2981">
      <c r="A2981" s="397" t="str">
        <f t="array" ref="A2981">INDIRECT("Tableau!$A$146")</f>
        <v/>
      </c>
      <c r="B2981" s="398" t="s">
        <v>476</v>
      </c>
      <c r="C2981" s="400" t="str">
        <f t="array" ref="C2981">INDIRECT("Tableau!$AI$146")</f>
        <v/>
      </c>
      <c r="D2981" s="400" t="str">
        <f t="shared" si="17"/>
        <v>OUT</v>
      </c>
      <c r="E2981" s="403" t="str">
        <f t="array" ref="E2981">INDIRECT("Tableau!$AJ$146")</f>
        <v/>
      </c>
    </row>
    <row r="2982">
      <c r="A2982" s="397" t="str">
        <f t="array" ref="A2982">INDIRECT("Tableau!$A$147")</f>
        <v/>
      </c>
      <c r="B2982" s="398" t="s">
        <v>476</v>
      </c>
      <c r="C2982" s="400" t="str">
        <f t="array" ref="C2982">INDIRECT("Tableau!$AI$147")</f>
        <v/>
      </c>
      <c r="D2982" s="400" t="str">
        <f t="shared" si="17"/>
        <v>OUT</v>
      </c>
      <c r="E2982" s="403" t="str">
        <f t="array" ref="E2982">INDIRECT("Tableau!$AJ$147")</f>
        <v/>
      </c>
    </row>
    <row r="2983">
      <c r="A2983" s="397" t="str">
        <f t="array" ref="A2983">INDIRECT("Tableau!$A$148")</f>
        <v/>
      </c>
      <c r="B2983" s="398" t="s">
        <v>476</v>
      </c>
      <c r="C2983" s="400" t="str">
        <f t="array" ref="C2983">INDIRECT("Tableau!$AI$148")</f>
        <v/>
      </c>
      <c r="D2983" s="400" t="str">
        <f t="shared" si="17"/>
        <v>OUT</v>
      </c>
      <c r="E2983" s="403" t="str">
        <f t="array" ref="E2983">INDIRECT("Tableau!$AJ$148")</f>
        <v/>
      </c>
    </row>
    <row r="2984">
      <c r="A2984" s="397" t="str">
        <f t="array" ref="A2984">INDIRECT("Tableau!$A$149")</f>
        <v/>
      </c>
      <c r="B2984" s="398" t="s">
        <v>476</v>
      </c>
      <c r="C2984" s="400" t="str">
        <f t="array" ref="C2984">INDIRECT("Tableau!$AI$149")</f>
        <v/>
      </c>
      <c r="D2984" s="400" t="str">
        <f t="shared" si="17"/>
        <v>OUT</v>
      </c>
      <c r="E2984" s="403" t="str">
        <f t="array" ref="E2984">INDIRECT("Tableau!$AJ$149")</f>
        <v/>
      </c>
    </row>
    <row r="2985">
      <c r="A2985" s="397" t="str">
        <f t="array" ref="A2985">INDIRECT("Tableau!$A$150")</f>
        <v/>
      </c>
      <c r="B2985" s="398" t="s">
        <v>476</v>
      </c>
      <c r="C2985" s="400" t="str">
        <f t="array" ref="C2985">INDIRECT("Tableau!$AI$150")</f>
        <v/>
      </c>
      <c r="D2985" s="400" t="str">
        <f t="shared" si="17"/>
        <v>OUT</v>
      </c>
      <c r="E2985" s="403" t="str">
        <f t="array" ref="E2985">INDIRECT("Tableau!$AJ$150")</f>
        <v/>
      </c>
    </row>
    <row r="2986">
      <c r="A2986" s="397" t="str">
        <f t="array" ref="A2986">INDIRECT("Tableau!$A$151")</f>
        <v/>
      </c>
      <c r="B2986" s="398" t="s">
        <v>476</v>
      </c>
      <c r="C2986" s="400" t="str">
        <f t="array" ref="C2986">INDIRECT("Tableau!$AI$151")</f>
        <v/>
      </c>
      <c r="D2986" s="400" t="str">
        <f t="shared" si="17"/>
        <v>OUT</v>
      </c>
      <c r="E2986" s="403" t="str">
        <f t="array" ref="E2986">INDIRECT("Tableau!$AJ$151")</f>
        <v/>
      </c>
    </row>
    <row r="2987">
      <c r="A2987" s="397" t="str">
        <f t="array" ref="A2987">INDIRECT("Tableau!$A$152")</f>
        <v/>
      </c>
      <c r="B2987" s="398" t="s">
        <v>476</v>
      </c>
      <c r="C2987" s="400" t="str">
        <f t="array" ref="C2987">INDIRECT("Tableau!$AI$152")</f>
        <v/>
      </c>
      <c r="D2987" s="400" t="str">
        <f t="shared" si="17"/>
        <v>OUT</v>
      </c>
      <c r="E2987" s="403" t="str">
        <f t="array" ref="E2987">INDIRECT("Tableau!$AJ$152")</f>
        <v/>
      </c>
    </row>
    <row r="2988">
      <c r="A2988" s="397" t="str">
        <f t="array" ref="A2988">INDIRECT("Tableau!$A$153")</f>
        <v/>
      </c>
      <c r="B2988" s="398" t="s">
        <v>476</v>
      </c>
      <c r="C2988" s="400" t="str">
        <f t="array" ref="C2988">INDIRECT("Tableau!$AI$153")</f>
        <v/>
      </c>
      <c r="D2988" s="400" t="str">
        <f t="shared" si="17"/>
        <v>OUT</v>
      </c>
      <c r="E2988" s="403" t="str">
        <f t="array" ref="E2988">INDIRECT("Tableau!$AJ$153")</f>
        <v/>
      </c>
    </row>
    <row r="2989">
      <c r="A2989" s="402">
        <f t="array" ref="A2989">INDIRECT("Tableau!$A$154")</f>
        <v>501</v>
      </c>
      <c r="B2989" s="398" t="s">
        <v>476</v>
      </c>
      <c r="C2989" s="400" t="str">
        <f t="array" ref="C2989">INDIRECT("Tableau!$AI$154")</f>
        <v>DPS</v>
      </c>
      <c r="D2989" s="400" t="str">
        <f t="shared" si="17"/>
        <v>OUT</v>
      </c>
      <c r="E2989" s="403" t="str">
        <f t="array" ref="E2989">INDIRECT("Tableau!$AJ$154")</f>
        <v/>
      </c>
    </row>
    <row r="2990">
      <c r="A2990" s="402">
        <f t="array" ref="A2990">INDIRECT("Tableau!$A$155")</f>
        <v>502</v>
      </c>
      <c r="B2990" s="398" t="s">
        <v>476</v>
      </c>
      <c r="C2990" s="400" t="str">
        <f t="array" ref="C2990">INDIRECT("Tableau!$AI$155")</f>
        <v/>
      </c>
      <c r="D2990" s="400" t="str">
        <f t="shared" si="17"/>
        <v>OUT</v>
      </c>
      <c r="E2990" s="403" t="str">
        <f t="array" ref="E2990">INDIRECT("Tableau!$AJ$155")</f>
        <v/>
      </c>
    </row>
    <row r="2991">
      <c r="A2991" s="397" t="str">
        <f t="array" ref="A2991">INDIRECT("Tableau!$A$156")</f>
        <v/>
      </c>
      <c r="B2991" s="398" t="s">
        <v>476</v>
      </c>
      <c r="C2991" s="400" t="str">
        <f t="array" ref="C2991">INDIRECT("Tableau!$AI$156")</f>
        <v/>
      </c>
      <c r="D2991" s="400" t="str">
        <f t="shared" si="17"/>
        <v>OUT</v>
      </c>
      <c r="E2991" s="403" t="str">
        <f t="array" ref="E2991">INDIRECT("Tableau!$AJ$156")</f>
        <v/>
      </c>
    </row>
    <row r="2992">
      <c r="A2992" s="397" t="str">
        <f t="array" ref="A2992">INDIRECT("Tableau!$A$157")</f>
        <v/>
      </c>
      <c r="B2992" s="398" t="s">
        <v>476</v>
      </c>
      <c r="C2992" s="400" t="str">
        <f t="array" ref="C2992">INDIRECT("Tableau!$AI$157")</f>
        <v/>
      </c>
      <c r="D2992" s="400" t="str">
        <f t="shared" si="17"/>
        <v>OUT</v>
      </c>
      <c r="E2992" s="403" t="str">
        <f t="array" ref="E2992">INDIRECT("Tableau!$AJ$157")</f>
        <v/>
      </c>
    </row>
    <row r="2993">
      <c r="A2993" s="402">
        <f t="array" ref="A2993">INDIRECT("Tableau!$A$158")</f>
        <v>505</v>
      </c>
      <c r="B2993" s="398" t="s">
        <v>476</v>
      </c>
      <c r="C2993" s="400" t="str">
        <f t="array" ref="C2993">INDIRECT("Tableau!$AI$158")</f>
        <v/>
      </c>
      <c r="D2993" s="400" t="str">
        <f t="shared" si="17"/>
        <v>OUT</v>
      </c>
      <c r="E2993" s="403" t="str">
        <f t="array" ref="E2993">INDIRECT("Tableau!$AJ$158")</f>
        <v/>
      </c>
    </row>
    <row r="2994">
      <c r="A2994" s="402">
        <f t="array" ref="A2994">INDIRECT("Tableau!$A$159")</f>
        <v>506</v>
      </c>
      <c r="B2994" s="398" t="s">
        <v>476</v>
      </c>
      <c r="C2994" s="400" t="str">
        <f t="array" ref="C2994">INDIRECT("Tableau!$AI$159")</f>
        <v>DPS</v>
      </c>
      <c r="D2994" s="400" t="str">
        <f t="shared" si="17"/>
        <v>OUT</v>
      </c>
      <c r="E2994" s="403" t="str">
        <f t="array" ref="E2994">INDIRECT("Tableau!$AJ$159")</f>
        <v/>
      </c>
    </row>
    <row r="2995">
      <c r="A2995" s="402">
        <f t="array" ref="A2995">INDIRECT("Tableau!$A$160")</f>
        <v>507</v>
      </c>
      <c r="B2995" s="398" t="s">
        <v>476</v>
      </c>
      <c r="C2995" s="400" t="str">
        <f t="array" ref="C2995">INDIRECT("Tableau!$AI$160")</f>
        <v/>
      </c>
      <c r="D2995" s="400" t="str">
        <f t="shared" si="17"/>
        <v>OUT</v>
      </c>
      <c r="E2995" s="403" t="str">
        <f t="array" ref="E2995">INDIRECT("Tableau!$AJ$160")</f>
        <v/>
      </c>
    </row>
    <row r="2996">
      <c r="A2996" s="402">
        <f t="array" ref="A2996">INDIRECT("Tableau!$A$161")</f>
        <v>508</v>
      </c>
      <c r="B2996" s="398" t="s">
        <v>476</v>
      </c>
      <c r="C2996" s="400" t="str">
        <f t="array" ref="C2996">INDIRECT("Tableau!$AI$161")</f>
        <v>DPS</v>
      </c>
      <c r="D2996" s="400" t="str">
        <f t="shared" si="17"/>
        <v>OUT</v>
      </c>
      <c r="E2996" s="403" t="str">
        <f t="array" ref="E2996">INDIRECT("Tableau!$AJ$161")</f>
        <v/>
      </c>
    </row>
    <row r="2997">
      <c r="A2997" s="402">
        <f t="array" ref="A2997">INDIRECT("Tableau!$A$162")</f>
        <v>509</v>
      </c>
      <c r="B2997" s="398" t="s">
        <v>476</v>
      </c>
      <c r="C2997" s="400" t="str">
        <f t="array" ref="C2997">INDIRECT("Tableau!$AI$162")</f>
        <v/>
      </c>
      <c r="D2997" s="400" t="str">
        <f t="shared" si="17"/>
        <v>OUT</v>
      </c>
      <c r="E2997" s="403" t="str">
        <f t="array" ref="E2997">INDIRECT("Tableau!$AJ$162")</f>
        <v/>
      </c>
    </row>
    <row r="2998">
      <c r="A2998" s="397">
        <f t="array" ref="A2998">INDIRECT("Tableau!$A$163")</f>
        <v>510</v>
      </c>
      <c r="B2998" s="398" t="s">
        <v>476</v>
      </c>
      <c r="C2998" s="400" t="str">
        <f t="array" ref="C2998">INDIRECT("Tableau!$AI$163")</f>
        <v/>
      </c>
      <c r="D2998" s="400" t="str">
        <f t="shared" si="17"/>
        <v>OUT</v>
      </c>
      <c r="E2998" s="403" t="str">
        <f t="array" ref="E2998">INDIRECT("Tableau!$AJ$163")</f>
        <v/>
      </c>
    </row>
    <row r="2999">
      <c r="A2999" s="397" t="str">
        <f t="array" ref="A2999">INDIRECT("Tableau!$A$164")</f>
        <v/>
      </c>
      <c r="B2999" s="398" t="s">
        <v>476</v>
      </c>
      <c r="C2999" s="400" t="str">
        <f t="array" ref="C2999">INDIRECT("Tableau!$AI$164")</f>
        <v/>
      </c>
      <c r="D2999" s="400" t="str">
        <f t="shared" si="17"/>
        <v>OUT</v>
      </c>
      <c r="E2999" s="403" t="str">
        <f t="array" ref="E2999">INDIRECT("Tableau!$AJ$164")</f>
        <v/>
      </c>
    </row>
    <row r="3000">
      <c r="A3000" s="397" t="str">
        <f t="array" ref="A3000">INDIRECT("Tableau!$A$165")</f>
        <v/>
      </c>
      <c r="B3000" s="398" t="s">
        <v>476</v>
      </c>
      <c r="C3000" s="400" t="str">
        <f t="array" ref="C3000">INDIRECT("Tableau!$AI$165")</f>
        <v/>
      </c>
      <c r="D3000" s="400" t="str">
        <f t="shared" si="17"/>
        <v>OUT</v>
      </c>
      <c r="E3000" s="403" t="str">
        <f t="array" ref="E3000">INDIRECT("Tableau!$AJ$165")</f>
        <v/>
      </c>
    </row>
    <row r="3001">
      <c r="A3001" s="402">
        <f t="array" ref="A3001">INDIRECT("Tableau!$A$166")</f>
        <v>527</v>
      </c>
      <c r="B3001" s="398" t="s">
        <v>476</v>
      </c>
      <c r="C3001" s="400" t="str">
        <f t="array" ref="C3001">INDIRECT("Tableau!$AI$166")</f>
        <v/>
      </c>
      <c r="D3001" s="400" t="str">
        <f t="shared" si="17"/>
        <v>OUT</v>
      </c>
      <c r="E3001" s="403" t="str">
        <f t="array" ref="E3001">INDIRECT("Tableau!$AJ$166")</f>
        <v/>
      </c>
    </row>
    <row r="3002">
      <c r="A3002" s="402">
        <f t="array" ref="A3002">INDIRECT("Tableau!$A$167")</f>
        <v>512</v>
      </c>
      <c r="B3002" s="398" t="s">
        <v>476</v>
      </c>
      <c r="C3002" s="400" t="str">
        <f t="array" ref="C3002">INDIRECT("Tableau!$AI$167")</f>
        <v>DPS</v>
      </c>
      <c r="D3002" s="400" t="str">
        <f t="shared" si="17"/>
        <v>OUT</v>
      </c>
      <c r="E3002" s="403" t="str">
        <f t="array" ref="E3002">INDIRECT("Tableau!$AJ$167")</f>
        <v/>
      </c>
    </row>
    <row r="3003">
      <c r="A3003" s="402">
        <f t="array" ref="A3003">INDIRECT("Tableau!$A$168")</f>
        <v>513</v>
      </c>
      <c r="B3003" s="398" t="s">
        <v>476</v>
      </c>
      <c r="C3003" s="400" t="str">
        <f t="array" ref="C3003">INDIRECT("Tableau!$AI$168")</f>
        <v/>
      </c>
      <c r="D3003" s="400" t="str">
        <f t="shared" si="17"/>
        <v>OUT</v>
      </c>
      <c r="E3003" s="403" t="str">
        <f t="array" ref="E3003">INDIRECT("Tableau!$AJ$168")</f>
        <v/>
      </c>
    </row>
    <row r="3004">
      <c r="A3004" s="402">
        <f t="array" ref="A3004">INDIRECT("Tableau!$A$169")</f>
        <v>514</v>
      </c>
      <c r="B3004" s="398" t="s">
        <v>476</v>
      </c>
      <c r="C3004" s="400" t="str">
        <f t="array" ref="C3004">INDIRECT("Tableau!$AI$169")</f>
        <v/>
      </c>
      <c r="D3004" s="400" t="str">
        <f t="shared" si="17"/>
        <v>OUT</v>
      </c>
      <c r="E3004" s="403" t="str">
        <f t="array" ref="E3004">INDIRECT("Tableau!$AJ$169")</f>
        <v/>
      </c>
    </row>
    <row r="3005">
      <c r="A3005" s="402">
        <f t="array" ref="A3005">INDIRECT("Tableau!$A$170")</f>
        <v>515</v>
      </c>
      <c r="B3005" s="398" t="s">
        <v>476</v>
      </c>
      <c r="C3005" s="400" t="str">
        <f t="array" ref="C3005">INDIRECT("Tableau!$AI$170")</f>
        <v/>
      </c>
      <c r="D3005" s="400" t="str">
        <f t="shared" si="17"/>
        <v>OUT</v>
      </c>
      <c r="E3005" s="403" t="str">
        <f t="array" ref="E3005">INDIRECT("Tableau!$AJ$170")</f>
        <v/>
      </c>
    </row>
    <row r="3006">
      <c r="A3006" s="402">
        <f t="array" ref="A3006">INDIRECT("Tableau!$A$171")</f>
        <v>517</v>
      </c>
      <c r="B3006" s="398" t="s">
        <v>476</v>
      </c>
      <c r="C3006" s="400" t="str">
        <f t="array" ref="C3006">INDIRECT("Tableau!$AI$171")</f>
        <v/>
      </c>
      <c r="D3006" s="400" t="str">
        <f t="shared" si="17"/>
        <v>OUT</v>
      </c>
      <c r="E3006" s="403" t="str">
        <f t="array" ref="E3006">INDIRECT("Tableau!$AJ$171")</f>
        <v/>
      </c>
    </row>
    <row r="3007">
      <c r="A3007" s="402">
        <f t="array" ref="A3007">INDIRECT("Tableau!$A$172")</f>
        <v>518</v>
      </c>
      <c r="B3007" s="398" t="s">
        <v>476</v>
      </c>
      <c r="C3007" s="400" t="str">
        <f t="array" ref="C3007">INDIRECT("Tableau!$AI$172")</f>
        <v/>
      </c>
      <c r="D3007" s="400" t="str">
        <f t="shared" si="17"/>
        <v>OUT</v>
      </c>
      <c r="E3007" s="403" t="str">
        <f t="array" ref="E3007">INDIRECT("Tableau!$AJ$172")</f>
        <v/>
      </c>
    </row>
    <row r="3008">
      <c r="A3008" s="397" t="str">
        <f t="array" ref="A3008">INDIRECT("Tableau!$A$173")</f>
        <v/>
      </c>
      <c r="B3008" s="398" t="s">
        <v>476</v>
      </c>
      <c r="C3008" s="400" t="str">
        <f t="array" ref="C3008">INDIRECT("Tableau!$AI$173")</f>
        <v/>
      </c>
      <c r="D3008" s="400" t="str">
        <f t="shared" si="17"/>
        <v>OUT</v>
      </c>
      <c r="E3008" s="403" t="str">
        <f t="array" ref="E3008">INDIRECT("Tableau!$AJ$173")</f>
        <v/>
      </c>
    </row>
    <row r="3009">
      <c r="A3009" s="402">
        <f t="array" ref="A3009">INDIRECT("Tableau!$A$174")</f>
        <v>520</v>
      </c>
      <c r="B3009" s="398" t="s">
        <v>476</v>
      </c>
      <c r="C3009" s="400" t="str">
        <f t="array" ref="C3009">INDIRECT("Tableau!$AI$174")</f>
        <v/>
      </c>
      <c r="D3009" s="400" t="str">
        <f t="shared" si="17"/>
        <v>OUT</v>
      </c>
      <c r="E3009" s="403" t="str">
        <f t="array" ref="E3009">INDIRECT("Tableau!$AJ$174")</f>
        <v/>
      </c>
    </row>
    <row r="3010">
      <c r="A3010" s="402">
        <f t="array" ref="A3010">INDIRECT("Tableau!$A$175")</f>
        <v>521</v>
      </c>
      <c r="B3010" s="398" t="s">
        <v>476</v>
      </c>
      <c r="C3010" s="400" t="str">
        <f t="array" ref="C3010">INDIRECT("Tableau!$AI$175")</f>
        <v/>
      </c>
      <c r="D3010" s="400" t="str">
        <f t="shared" si="17"/>
        <v>OUT</v>
      </c>
      <c r="E3010" s="403" t="str">
        <f t="array" ref="E3010">INDIRECT("Tableau!$AJ$175")</f>
        <v/>
      </c>
    </row>
    <row r="3011">
      <c r="A3011" s="402">
        <f t="array" ref="A3011">INDIRECT("Tableau!$A$176")</f>
        <v>525</v>
      </c>
      <c r="B3011" s="398" t="s">
        <v>476</v>
      </c>
      <c r="C3011" s="400" t="str">
        <f t="array" ref="C3011">INDIRECT("Tableau!$AI$176")</f>
        <v/>
      </c>
      <c r="D3011" s="400" t="str">
        <f t="shared" si="17"/>
        <v>OUT</v>
      </c>
      <c r="E3011" s="403" t="str">
        <f t="array" ref="E3011">INDIRECT("Tableau!$AJ$176")</f>
        <v/>
      </c>
    </row>
    <row r="3012">
      <c r="A3012" s="402">
        <f t="array" ref="A3012">INDIRECT("Tableau!$A$177")</f>
        <v>530</v>
      </c>
      <c r="B3012" s="398" t="s">
        <v>476</v>
      </c>
      <c r="C3012" s="400" t="str">
        <f t="array" ref="C3012">INDIRECT("Tableau!$AI$177")</f>
        <v>DPS</v>
      </c>
      <c r="D3012" s="400" t="str">
        <f t="shared" si="17"/>
        <v>OUT</v>
      </c>
      <c r="E3012" s="403" t="str">
        <f t="array" ref="E3012">INDIRECT("Tableau!$AJ$177")</f>
        <v/>
      </c>
    </row>
    <row r="3013">
      <c r="A3013" s="397" t="str">
        <f t="array" ref="A3013">INDIRECT("Tableau!$A$178")</f>
        <v/>
      </c>
      <c r="B3013" s="398" t="s">
        <v>476</v>
      </c>
      <c r="C3013" s="400" t="str">
        <f t="array" ref="C3013">INDIRECT("Tableau!$AI$178")</f>
        <v/>
      </c>
      <c r="D3013" s="400" t="str">
        <f t="shared" si="17"/>
        <v>OUT</v>
      </c>
      <c r="E3013" s="403" t="str">
        <f t="array" ref="E3013">INDIRECT("Tableau!$AJ$178")</f>
        <v/>
      </c>
    </row>
    <row r="3014">
      <c r="A3014" s="397" t="str">
        <f t="array" ref="A3014">INDIRECT("Tableau!$A$179")</f>
        <v/>
      </c>
      <c r="B3014" s="398" t="s">
        <v>476</v>
      </c>
      <c r="C3014" s="400" t="str">
        <f t="array" ref="C3014">INDIRECT("Tableau!$AI$179")</f>
        <v/>
      </c>
      <c r="D3014" s="400" t="str">
        <f t="shared" si="17"/>
        <v>OUT</v>
      </c>
      <c r="E3014" s="403" t="str">
        <f t="array" ref="E3014">INDIRECT("Tableau!$AJ$179")</f>
        <v/>
      </c>
    </row>
    <row r="3015">
      <c r="A3015" s="397" t="str">
        <f t="array" ref="A3015">INDIRECT("Tableau!$A$180")</f>
        <v/>
      </c>
      <c r="B3015" s="398" t="s">
        <v>476</v>
      </c>
      <c r="C3015" s="400" t="str">
        <f t="array" ref="C3015">INDIRECT("Tableau!$AI$180")</f>
        <v/>
      </c>
      <c r="D3015" s="400" t="str">
        <f t="shared" si="17"/>
        <v>OUT</v>
      </c>
      <c r="E3015" s="403" t="str">
        <f t="array" ref="E3015">INDIRECT("Tableau!$AJ$180")</f>
        <v/>
      </c>
    </row>
    <row r="3016">
      <c r="A3016" s="397" t="str">
        <f t="array" ref="A3016">INDIRECT("Tableau!$A$181")</f>
        <v/>
      </c>
      <c r="B3016" s="398" t="s">
        <v>476</v>
      </c>
      <c r="C3016" s="400" t="str">
        <f t="array" ref="C3016">INDIRECT("Tableau!$AI$181")</f>
        <v/>
      </c>
      <c r="D3016" s="400" t="str">
        <f t="shared" si="17"/>
        <v>OUT</v>
      </c>
      <c r="E3016" s="403" t="str">
        <f t="array" ref="E3016">INDIRECT("Tableau!$AJ$181")</f>
        <v/>
      </c>
    </row>
    <row r="3017">
      <c r="A3017" s="397" t="str">
        <f t="array" ref="A3017">INDIRECT("Tableau!$A$182")</f>
        <v/>
      </c>
      <c r="B3017" s="398" t="s">
        <v>476</v>
      </c>
      <c r="C3017" s="400" t="str">
        <f t="array" ref="C3017">INDIRECT("Tableau!$AI$182")</f>
        <v/>
      </c>
      <c r="D3017" s="400" t="str">
        <f t="shared" si="17"/>
        <v>OUT</v>
      </c>
      <c r="E3017" s="403" t="str">
        <f t="array" ref="E3017">INDIRECT("Tableau!$AJ$182")</f>
        <v/>
      </c>
    </row>
    <row r="3018">
      <c r="A3018" s="397" t="str">
        <f t="array" ref="A3018">INDIRECT("Tableau!$A$183")</f>
        <v/>
      </c>
      <c r="B3018" s="398" t="s">
        <v>476</v>
      </c>
      <c r="C3018" s="400" t="str">
        <f t="array" ref="C3018">INDIRECT("Tableau!$AI$183")</f>
        <v/>
      </c>
      <c r="D3018" s="400" t="str">
        <f t="shared" si="17"/>
        <v>OUT</v>
      </c>
      <c r="E3018" s="403" t="str">
        <f t="array" ref="E3018">INDIRECT("Tableau!$AJ$183")</f>
        <v/>
      </c>
    </row>
    <row r="3019">
      <c r="A3019" s="397" t="str">
        <f t="array" ref="A3019">INDIRECT("Tableau!$A$184")</f>
        <v/>
      </c>
      <c r="B3019" s="398" t="s">
        <v>476</v>
      </c>
      <c r="C3019" s="400" t="str">
        <f t="array" ref="C3019">INDIRECT("Tableau!$AI$184")</f>
        <v/>
      </c>
      <c r="D3019" s="400" t="str">
        <f t="shared" si="17"/>
        <v>OUT</v>
      </c>
      <c r="E3019" s="403" t="str">
        <f t="array" ref="E3019">INDIRECT("Tableau!$AJ$184")</f>
        <v/>
      </c>
    </row>
    <row r="3020">
      <c r="A3020" s="397" t="str">
        <f t="array" ref="A3020">INDIRECT("Tableau!$A$185")</f>
        <v/>
      </c>
      <c r="B3020" s="398" t="s">
        <v>476</v>
      </c>
      <c r="C3020" s="400" t="str">
        <f t="array" ref="C3020">INDIRECT("Tableau!$AI$185")</f>
        <v/>
      </c>
      <c r="D3020" s="400" t="str">
        <f t="shared" si="17"/>
        <v>OUT</v>
      </c>
      <c r="E3020" s="403" t="str">
        <f t="array" ref="E3020">INDIRECT("Tableau!$AJ$185")</f>
        <v/>
      </c>
    </row>
    <row r="3021">
      <c r="A3021" s="397" t="str">
        <f t="array" ref="A3021">INDIRECT("Tableau!$A$186")</f>
        <v/>
      </c>
      <c r="B3021" s="398" t="s">
        <v>476</v>
      </c>
      <c r="C3021" s="400" t="str">
        <f t="array" ref="C3021">INDIRECT("Tableau!$AI$186")</f>
        <v/>
      </c>
      <c r="D3021" s="400" t="str">
        <f t="shared" si="17"/>
        <v>OUT</v>
      </c>
      <c r="E3021" s="403" t="str">
        <f t="array" ref="E3021">INDIRECT("Tableau!$AJ$186")</f>
        <v/>
      </c>
    </row>
    <row r="3022">
      <c r="A3022" s="397" t="str">
        <f t="array" ref="A3022">INDIRECT("Tableau!$A$187")</f>
        <v/>
      </c>
      <c r="B3022" s="398" t="s">
        <v>476</v>
      </c>
      <c r="C3022" s="400" t="str">
        <f t="array" ref="C3022">INDIRECT("Tableau!$AI$187")</f>
        <v/>
      </c>
      <c r="D3022" s="400" t="str">
        <f t="shared" si="17"/>
        <v>OUT</v>
      </c>
      <c r="E3022" s="403" t="str">
        <f t="array" ref="E3022">INDIRECT("Tableau!$AJ$187")</f>
        <v/>
      </c>
    </row>
    <row r="3023">
      <c r="A3023" s="397" t="str">
        <f t="array" ref="A3023">INDIRECT("Tableau!$A$188")</f>
        <v/>
      </c>
      <c r="B3023" s="398" t="s">
        <v>476</v>
      </c>
      <c r="C3023" s="400" t="str">
        <f t="array" ref="C3023">INDIRECT("Tableau!$AI$188")</f>
        <v/>
      </c>
      <c r="D3023" s="400" t="str">
        <f t="shared" si="17"/>
        <v>OUT</v>
      </c>
      <c r="E3023" s="403" t="str">
        <f t="array" ref="E3023">INDIRECT("Tableau!$AJ$188")</f>
        <v/>
      </c>
    </row>
    <row r="3024">
      <c r="A3024" s="397" t="str">
        <f t="array" ref="A3024">INDIRECT("Tableau!$A$189")</f>
        <v/>
      </c>
      <c r="B3024" s="398" t="s">
        <v>476</v>
      </c>
      <c r="C3024" s="400" t="str">
        <f t="array" ref="C3024">INDIRECT("Tableau!$AI$189")</f>
        <v/>
      </c>
      <c r="D3024" s="400" t="str">
        <f t="shared" si="17"/>
        <v>OUT</v>
      </c>
      <c r="E3024" s="403" t="str">
        <f t="array" ref="E3024">INDIRECT("Tableau!$AJ$189")</f>
        <v/>
      </c>
    </row>
    <row r="3025">
      <c r="A3025" s="397" t="str">
        <f t="array" ref="A3025">INDIRECT("Tableau!$A$190")</f>
        <v/>
      </c>
      <c r="B3025" s="398" t="s">
        <v>476</v>
      </c>
      <c r="C3025" s="400" t="str">
        <f t="array" ref="C3025">INDIRECT("Tableau!$AI$190")</f>
        <v/>
      </c>
      <c r="D3025" s="400" t="str">
        <f t="shared" si="17"/>
        <v>OUT</v>
      </c>
      <c r="E3025" s="403" t="str">
        <f t="array" ref="E3025">INDIRECT("Tableau!$AJ$190")</f>
        <v/>
      </c>
    </row>
    <row r="3026">
      <c r="A3026" s="397" t="str">
        <f t="array" ref="A3026">INDIRECT("Tableau!$A$2")</f>
        <v/>
      </c>
      <c r="B3026" s="398" t="s">
        <v>477</v>
      </c>
      <c r="C3026" s="400" t="str">
        <f t="array" ref="C3026">INDIRECT("Tableau!$AK$2")</f>
        <v/>
      </c>
      <c r="D3026" s="400" t="str">
        <f t="shared" ref="D3026:D3214" si="18">INDIRECT("Tableau!$AL$1")</f>
        <v>IN</v>
      </c>
      <c r="E3026" s="403" t="str">
        <f t="array" ref="E3026">INDIRECT("Tableau!$AL$2")</f>
        <v/>
      </c>
    </row>
    <row r="3027">
      <c r="A3027" s="402">
        <f t="array" ref="A3027">INDIRECT("Tableau!$A$3")</f>
        <v>102</v>
      </c>
      <c r="B3027" s="398" t="s">
        <v>477</v>
      </c>
      <c r="C3027" s="400" t="str">
        <f t="array" ref="C3027">INDIRECT("Tableau!$AK$3")</f>
        <v>DEMA</v>
      </c>
      <c r="D3027" s="400" t="str">
        <f t="shared" si="18"/>
        <v>IN</v>
      </c>
      <c r="E3027" s="403" t="str">
        <f t="array" ref="E3027">INDIRECT("Tableau!$AL$3")</f>
        <v/>
      </c>
    </row>
    <row r="3028">
      <c r="A3028" s="397" t="str">
        <f t="array" ref="A3028">INDIRECT("Tableau!$A$4")</f>
        <v/>
      </c>
      <c r="B3028" s="398" t="s">
        <v>477</v>
      </c>
      <c r="C3028" s="400" t="str">
        <f t="array" ref="C3028">INDIRECT("Tableau!$AK$4")</f>
        <v/>
      </c>
      <c r="D3028" s="400" t="str">
        <f t="shared" si="18"/>
        <v>IN</v>
      </c>
      <c r="E3028" s="403" t="str">
        <f t="array" ref="E3028">INDIRECT("Tableau!$AL$4")</f>
        <v/>
      </c>
    </row>
    <row r="3029">
      <c r="A3029" s="402">
        <f t="array" ref="A3029">INDIRECT("Tableau!$A$5")</f>
        <v>104</v>
      </c>
      <c r="B3029" s="398" t="s">
        <v>477</v>
      </c>
      <c r="C3029" s="400" t="str">
        <f t="array" ref="C3029">INDIRECT("Tableau!$AK$5")</f>
        <v>Schmidt cuisines- Wavre </v>
      </c>
      <c r="D3029" s="400" t="str">
        <f t="shared" si="18"/>
        <v>IN</v>
      </c>
      <c r="E3029" s="403" t="str">
        <f t="array" ref="E3029">INDIRECT("Tableau!$AL$5")</f>
        <v/>
      </c>
    </row>
    <row r="3030">
      <c r="A3030" s="402">
        <f t="array" ref="A3030">INDIRECT("Tableau!$A$6")</f>
        <v>105</v>
      </c>
      <c r="B3030" s="398" t="s">
        <v>477</v>
      </c>
      <c r="C3030" s="400" t="str">
        <f t="array" ref="C3030">INDIRECT("Tableau!$AK$6")</f>
        <v/>
      </c>
      <c r="D3030" s="400" t="str">
        <f t="shared" si="18"/>
        <v>IN</v>
      </c>
      <c r="E3030" s="403" t="str">
        <f t="array" ref="E3030">INDIRECT("Tableau!$AL$6")</f>
        <v/>
      </c>
    </row>
    <row r="3031">
      <c r="A3031" s="402">
        <f t="array" ref="A3031">INDIRECT("Tableau!$A$7")</f>
        <v>106</v>
      </c>
      <c r="B3031" s="398" t="s">
        <v>477</v>
      </c>
      <c r="C3031" s="400" t="str">
        <f t="array" ref="C3031">INDIRECT("Tableau!$AK$7")</f>
        <v>Schmidt cuisines- Wavre </v>
      </c>
      <c r="D3031" s="400" t="str">
        <f t="shared" si="18"/>
        <v>IN</v>
      </c>
      <c r="E3031" s="403" t="str">
        <f t="array" ref="E3031">INDIRECT("Tableau!$AL$7")</f>
        <v/>
      </c>
    </row>
    <row r="3032">
      <c r="A3032" s="402">
        <f t="array" ref="A3032">INDIRECT("Tableau!$A$8")</f>
        <v>107</v>
      </c>
      <c r="B3032" s="398" t="s">
        <v>477</v>
      </c>
      <c r="C3032" s="400" t="str">
        <f t="array" ref="C3032">INDIRECT("Tableau!$AK$8")</f>
        <v>Schmidt cuisines- Wavre </v>
      </c>
      <c r="D3032" s="400" t="str">
        <f t="shared" si="18"/>
        <v>IN</v>
      </c>
      <c r="E3032" s="403" t="str">
        <f t="array" ref="E3032">INDIRECT("Tableau!$AL$8")</f>
        <v/>
      </c>
    </row>
    <row r="3033">
      <c r="A3033" s="397">
        <f t="array" ref="A3033">INDIRECT("Tableau!$A$9")</f>
        <v>108</v>
      </c>
      <c r="B3033" s="398" t="s">
        <v>477</v>
      </c>
      <c r="C3033" s="400" t="str">
        <f t="array" ref="C3033">INDIRECT("Tableau!$AK$9")</f>
        <v>Schmidt cuisines- Wavre </v>
      </c>
      <c r="D3033" s="400" t="str">
        <f t="shared" si="18"/>
        <v>IN</v>
      </c>
      <c r="E3033" s="403" t="str">
        <f t="array" ref="E3033">INDIRECT("Tableau!$AL$9")</f>
        <v/>
      </c>
    </row>
    <row r="3034">
      <c r="A3034" s="402">
        <f t="array" ref="A3034">INDIRECT("Tableau!$A$10")</f>
        <v>109</v>
      </c>
      <c r="B3034" s="398" t="s">
        <v>477</v>
      </c>
      <c r="C3034" s="400" t="str">
        <f t="array" ref="C3034">INDIRECT("Tableau!$AK$10")</f>
        <v/>
      </c>
      <c r="D3034" s="400" t="str">
        <f t="shared" si="18"/>
        <v>IN</v>
      </c>
      <c r="E3034" s="403" t="str">
        <f t="array" ref="E3034">INDIRECT("Tableau!$AL$10")</f>
        <v/>
      </c>
    </row>
    <row r="3035">
      <c r="A3035" s="402">
        <f t="array" ref="A3035">INDIRECT("Tableau!$A$11")</f>
        <v>110</v>
      </c>
      <c r="B3035" s="398" t="s">
        <v>477</v>
      </c>
      <c r="C3035" s="400" t="str">
        <f t="array" ref="C3035">INDIRECT("Tableau!$AK$11")</f>
        <v/>
      </c>
      <c r="D3035" s="400" t="str">
        <f t="shared" si="18"/>
        <v>IN</v>
      </c>
      <c r="E3035" s="403" t="str">
        <f t="array" ref="E3035">INDIRECT("Tableau!$AL$11")</f>
        <v/>
      </c>
    </row>
    <row r="3036">
      <c r="A3036" s="402">
        <f t="array" ref="A3036">INDIRECT("Tableau!$A$12")</f>
        <v>111</v>
      </c>
      <c r="B3036" s="398" t="s">
        <v>477</v>
      </c>
      <c r="C3036" s="400" t="str">
        <f t="array" ref="C3036">INDIRECT("Tableau!$AK$12")</f>
        <v>Schmidt cuisines- Wavre </v>
      </c>
      <c r="D3036" s="400" t="str">
        <f t="shared" si="18"/>
        <v>IN</v>
      </c>
      <c r="E3036" s="403" t="str">
        <f t="array" ref="E3036">INDIRECT("Tableau!$AL$12")</f>
        <v/>
      </c>
    </row>
    <row r="3037">
      <c r="A3037" s="402">
        <f t="array" ref="A3037">INDIRECT("Tableau!$A$13")</f>
        <v>112</v>
      </c>
      <c r="B3037" s="398" t="s">
        <v>477</v>
      </c>
      <c r="C3037" s="400" t="str">
        <f t="array" ref="C3037">INDIRECT("Tableau!$AK$13")</f>
        <v/>
      </c>
      <c r="D3037" s="400" t="str">
        <f t="shared" si="18"/>
        <v>IN</v>
      </c>
      <c r="E3037" s="403" t="str">
        <f t="array" ref="E3037">INDIRECT("Tableau!$AL$13")</f>
        <v/>
      </c>
    </row>
    <row r="3038">
      <c r="A3038" s="402">
        <f t="array" ref="A3038">INDIRECT("Tableau!$A$14")</f>
        <v>113</v>
      </c>
      <c r="B3038" s="398" t="s">
        <v>477</v>
      </c>
      <c r="C3038" s="400" t="str">
        <f t="array" ref="C3038">INDIRECT("Tableau!$AK$14")</f>
        <v/>
      </c>
      <c r="D3038" s="400" t="str">
        <f t="shared" si="18"/>
        <v>IN</v>
      </c>
      <c r="E3038" s="403" t="str">
        <f t="array" ref="E3038">INDIRECT("Tableau!$AL$14")</f>
        <v/>
      </c>
    </row>
    <row r="3039">
      <c r="A3039" s="397">
        <f t="array" ref="A3039">INDIRECT("Tableau!$A$15")</f>
        <v>114</v>
      </c>
      <c r="B3039" s="398" t="s">
        <v>477</v>
      </c>
      <c r="C3039" s="400" t="str">
        <f t="array" ref="C3039">INDIRECT("Tableau!$AK$15")</f>
        <v/>
      </c>
      <c r="D3039" s="400" t="str">
        <f t="shared" si="18"/>
        <v>IN</v>
      </c>
      <c r="E3039" s="403" t="str">
        <f t="array" ref="E3039">INDIRECT("Tableau!$AL$15")</f>
        <v/>
      </c>
    </row>
    <row r="3040">
      <c r="A3040" s="397" t="str">
        <f t="array" ref="A3040">INDIRECT("Tableau!$A$16")</f>
        <v/>
      </c>
      <c r="B3040" s="398" t="s">
        <v>477</v>
      </c>
      <c r="C3040" s="400" t="str">
        <f t="array" ref="C3040">INDIRECT("Tableau!$AK$16")</f>
        <v/>
      </c>
      <c r="D3040" s="400" t="str">
        <f t="shared" si="18"/>
        <v>IN</v>
      </c>
      <c r="E3040" s="403" t="str">
        <f t="array" ref="E3040">INDIRECT("Tableau!$AL$16")</f>
        <v/>
      </c>
    </row>
    <row r="3041">
      <c r="A3041" s="397" t="str">
        <f t="array" ref="A3041">INDIRECT("Tableau!$A$17")</f>
        <v/>
      </c>
      <c r="B3041" s="398" t="s">
        <v>477</v>
      </c>
      <c r="C3041" s="400" t="str">
        <f t="array" ref="C3041">INDIRECT("Tableau!$AK$17")</f>
        <v/>
      </c>
      <c r="D3041" s="400" t="str">
        <f t="shared" si="18"/>
        <v>IN</v>
      </c>
      <c r="E3041" s="403" t="str">
        <f t="array" ref="E3041">INDIRECT("Tableau!$AL$17")</f>
        <v/>
      </c>
    </row>
    <row r="3042">
      <c r="A3042" s="397" t="str">
        <f t="array" ref="A3042">INDIRECT("Tableau!$A$18")</f>
        <v/>
      </c>
      <c r="B3042" s="398" t="s">
        <v>477</v>
      </c>
      <c r="C3042" s="400" t="str">
        <f t="array" ref="C3042">INDIRECT("Tableau!$AK$18")</f>
        <v/>
      </c>
      <c r="D3042" s="400" t="str">
        <f t="shared" si="18"/>
        <v>IN</v>
      </c>
      <c r="E3042" s="403" t="str">
        <f t="array" ref="E3042">INDIRECT("Tableau!$AL$18")</f>
        <v/>
      </c>
    </row>
    <row r="3043">
      <c r="A3043" s="397" t="str">
        <f t="array" ref="A3043">INDIRECT("Tableau!$A$19")</f>
        <v/>
      </c>
      <c r="B3043" s="398" t="s">
        <v>477</v>
      </c>
      <c r="C3043" s="400" t="str">
        <f t="array" ref="C3043">INDIRECT("Tableau!$AK$19")</f>
        <v/>
      </c>
      <c r="D3043" s="400" t="str">
        <f t="shared" si="18"/>
        <v>IN</v>
      </c>
      <c r="E3043" s="403" t="str">
        <f t="array" ref="E3043">INDIRECT("Tableau!$AL$19")</f>
        <v/>
      </c>
    </row>
    <row r="3044">
      <c r="A3044" s="397" t="str">
        <f t="array" ref="A3044">INDIRECT("Tableau!$A$20")</f>
        <v/>
      </c>
      <c r="B3044" s="398" t="s">
        <v>477</v>
      </c>
      <c r="C3044" s="400" t="str">
        <f t="array" ref="C3044">INDIRECT("Tableau!$AK$20")</f>
        <v/>
      </c>
      <c r="D3044" s="400" t="str">
        <f t="shared" si="18"/>
        <v>IN</v>
      </c>
      <c r="E3044" s="403" t="str">
        <f t="array" ref="E3044">INDIRECT("Tableau!$AL$20")</f>
        <v/>
      </c>
    </row>
    <row r="3045">
      <c r="A3045" s="397" t="str">
        <f t="array" ref="A3045">INDIRECT("Tableau!$A$21")</f>
        <v/>
      </c>
      <c r="B3045" s="398" t="s">
        <v>477</v>
      </c>
      <c r="C3045" s="400" t="str">
        <f t="array" ref="C3045">INDIRECT("Tableau!$AK$21")</f>
        <v/>
      </c>
      <c r="D3045" s="400" t="str">
        <f t="shared" si="18"/>
        <v>IN</v>
      </c>
      <c r="E3045" s="403" t="str">
        <f t="array" ref="E3045">INDIRECT("Tableau!$AL$21")</f>
        <v/>
      </c>
    </row>
    <row r="3046">
      <c r="A3046" s="397" t="str">
        <f t="array" ref="A3046">INDIRECT("Tableau!$A$22")</f>
        <v/>
      </c>
      <c r="B3046" s="398" t="s">
        <v>477</v>
      </c>
      <c r="C3046" s="400" t="str">
        <f t="array" ref="C3046">INDIRECT("Tableau!$AK$22")</f>
        <v/>
      </c>
      <c r="D3046" s="400" t="str">
        <f t="shared" si="18"/>
        <v>IN</v>
      </c>
      <c r="E3046" s="403" t="str">
        <f t="array" ref="E3046">INDIRECT("Tableau!$AL$22")</f>
        <v/>
      </c>
    </row>
    <row r="3047">
      <c r="A3047" s="397" t="str">
        <f t="array" ref="A3047">INDIRECT("Tableau!$A$23")</f>
        <v/>
      </c>
      <c r="B3047" s="398" t="s">
        <v>477</v>
      </c>
      <c r="C3047" s="400" t="str">
        <f t="array" ref="C3047">INDIRECT("Tableau!$AK$23")</f>
        <v/>
      </c>
      <c r="D3047" s="400" t="str">
        <f t="shared" si="18"/>
        <v>IN</v>
      </c>
      <c r="E3047" s="403" t="str">
        <f t="array" ref="E3047">INDIRECT("Tableau!$AL$23")</f>
        <v/>
      </c>
    </row>
    <row r="3048">
      <c r="A3048" s="397" t="str">
        <f t="array" ref="A3048">INDIRECT("Tableau!$A$24")</f>
        <v/>
      </c>
      <c r="B3048" s="398" t="s">
        <v>477</v>
      </c>
      <c r="C3048" s="400" t="str">
        <f t="array" ref="C3048">INDIRECT("Tableau!$AK$24")</f>
        <v/>
      </c>
      <c r="D3048" s="400" t="str">
        <f t="shared" si="18"/>
        <v>IN</v>
      </c>
      <c r="E3048" s="403" t="str">
        <f t="array" ref="E3048">INDIRECT("Tableau!$AL$24")</f>
        <v/>
      </c>
    </row>
    <row r="3049">
      <c r="A3049" s="397" t="str">
        <f t="array" ref="A3049">INDIRECT("Tableau!$A$25")</f>
        <v/>
      </c>
      <c r="B3049" s="398" t="s">
        <v>477</v>
      </c>
      <c r="C3049" s="400" t="str">
        <f t="array" ref="C3049">INDIRECT("Tableau!$AK$25")</f>
        <v/>
      </c>
      <c r="D3049" s="400" t="str">
        <f t="shared" si="18"/>
        <v>IN</v>
      </c>
      <c r="E3049" s="403" t="str">
        <f t="array" ref="E3049">INDIRECT("Tableau!$AL$25")</f>
        <v/>
      </c>
    </row>
    <row r="3050">
      <c r="A3050" s="402">
        <f t="array" ref="A3050">INDIRECT("Tableau!$A$26")</f>
        <v>201</v>
      </c>
      <c r="B3050" s="398" t="s">
        <v>477</v>
      </c>
      <c r="C3050" s="400" t="str">
        <f t="array" ref="C3050">INDIRECT("Tableau!$AK$26")</f>
        <v/>
      </c>
      <c r="D3050" s="400" t="str">
        <f t="shared" si="18"/>
        <v>IN</v>
      </c>
      <c r="E3050" s="403" t="str">
        <f t="array" ref="E3050">INDIRECT("Tableau!$AL$26")</f>
        <v/>
      </c>
    </row>
    <row r="3051">
      <c r="A3051" s="402">
        <f t="array" ref="A3051">INDIRECT("Tableau!$A$27")</f>
        <v>202</v>
      </c>
      <c r="B3051" s="398" t="s">
        <v>477</v>
      </c>
      <c r="C3051" s="400" t="str">
        <f t="array" ref="C3051">INDIRECT("Tableau!$AK$27")</f>
        <v/>
      </c>
      <c r="D3051" s="400" t="str">
        <f t="shared" si="18"/>
        <v>IN</v>
      </c>
      <c r="E3051" s="403" t="str">
        <f t="array" ref="E3051">INDIRECT("Tableau!$AL$27")</f>
        <v/>
      </c>
    </row>
    <row r="3052">
      <c r="A3052" s="402">
        <f t="array" ref="A3052">INDIRECT("Tableau!$A$28")</f>
        <v>203</v>
      </c>
      <c r="B3052" s="398" t="s">
        <v>477</v>
      </c>
      <c r="C3052" s="400" t="str">
        <f t="array" ref="C3052">INDIRECT("Tableau!$AK$28")</f>
        <v/>
      </c>
      <c r="D3052" s="400" t="str">
        <f t="shared" si="18"/>
        <v>IN</v>
      </c>
      <c r="E3052" s="403" t="str">
        <f t="array" ref="E3052">INDIRECT("Tableau!$AL$28")</f>
        <v/>
      </c>
    </row>
    <row r="3053">
      <c r="A3053" s="402">
        <f t="array" ref="A3053">INDIRECT("Tableau!$A$29")</f>
        <v>204</v>
      </c>
      <c r="B3053" s="398" t="s">
        <v>477</v>
      </c>
      <c r="C3053" s="400" t="str">
        <f t="array" ref="C3053">INDIRECT("Tableau!$AK$29")</f>
        <v/>
      </c>
      <c r="D3053" s="400" t="str">
        <f t="shared" si="18"/>
        <v>IN</v>
      </c>
      <c r="E3053" s="403" t="str">
        <f t="array" ref="E3053">INDIRECT("Tableau!$AL$29")</f>
        <v/>
      </c>
    </row>
    <row r="3054">
      <c r="A3054" s="402">
        <f t="array" ref="A3054">INDIRECT("Tableau!$A$30")</f>
        <v>205</v>
      </c>
      <c r="B3054" s="398" t="s">
        <v>477</v>
      </c>
      <c r="C3054" s="400" t="str">
        <f t="array" ref="C3054">INDIRECT("Tableau!$AK$30")</f>
        <v/>
      </c>
      <c r="D3054" s="400" t="str">
        <f t="shared" si="18"/>
        <v>IN</v>
      </c>
      <c r="E3054" s="403" t="str">
        <f t="array" ref="E3054">INDIRECT("Tableau!$AL$30")</f>
        <v/>
      </c>
    </row>
    <row r="3055">
      <c r="A3055" s="402">
        <f t="array" ref="A3055">INDIRECT("Tableau!$A$31")</f>
        <v>206</v>
      </c>
      <c r="B3055" s="398" t="s">
        <v>477</v>
      </c>
      <c r="C3055" s="400" t="str">
        <f t="array" ref="C3055">INDIRECT("Tableau!$AK$31")</f>
        <v/>
      </c>
      <c r="D3055" s="400" t="str">
        <f t="shared" si="18"/>
        <v>IN</v>
      </c>
      <c r="E3055" s="403" t="str">
        <f t="array" ref="E3055">INDIRECT("Tableau!$AL$31")</f>
        <v/>
      </c>
    </row>
    <row r="3056">
      <c r="A3056" s="402">
        <f t="array" ref="A3056">INDIRECT("Tableau!$A$32")</f>
        <v>207</v>
      </c>
      <c r="B3056" s="398" t="s">
        <v>477</v>
      </c>
      <c r="C3056" s="400" t="str">
        <f t="array" ref="C3056">INDIRECT("Tableau!$AK$32")</f>
        <v/>
      </c>
      <c r="D3056" s="400" t="str">
        <f t="shared" si="18"/>
        <v>IN</v>
      </c>
      <c r="E3056" s="403" t="str">
        <f t="array" ref="E3056">INDIRECT("Tableau!$AL$32")</f>
        <v/>
      </c>
    </row>
    <row r="3057">
      <c r="A3057" s="402">
        <f t="array" ref="A3057">INDIRECT("Tableau!$A$33")</f>
        <v>208</v>
      </c>
      <c r="B3057" s="398" t="s">
        <v>477</v>
      </c>
      <c r="C3057" s="400" t="str">
        <f t="array" ref="C3057">INDIRECT("Tableau!$AK$33")</f>
        <v/>
      </c>
      <c r="D3057" s="400" t="str">
        <f t="shared" si="18"/>
        <v>IN</v>
      </c>
      <c r="E3057" s="403" t="str">
        <f t="array" ref="E3057">INDIRECT("Tableau!$AL$33")</f>
        <v/>
      </c>
    </row>
    <row r="3058">
      <c r="A3058" s="402">
        <f t="array" ref="A3058">INDIRECT("Tableau!$A$34")</f>
        <v>209</v>
      </c>
      <c r="B3058" s="398" t="s">
        <v>477</v>
      </c>
      <c r="C3058" s="400" t="str">
        <f t="array" ref="C3058">INDIRECT("Tableau!$AK$34")</f>
        <v/>
      </c>
      <c r="D3058" s="400" t="str">
        <f t="shared" si="18"/>
        <v>IN</v>
      </c>
      <c r="E3058" s="403" t="str">
        <f t="array" ref="E3058">INDIRECT("Tableau!$AL$34")</f>
        <v/>
      </c>
    </row>
    <row r="3059">
      <c r="A3059" s="402">
        <f t="array" ref="A3059">INDIRECT("Tableau!$A$35")</f>
        <v>210</v>
      </c>
      <c r="B3059" s="398" t="s">
        <v>477</v>
      </c>
      <c r="C3059" s="400" t="str">
        <f t="array" ref="C3059">INDIRECT("Tableau!$AK$35")</f>
        <v/>
      </c>
      <c r="D3059" s="400" t="str">
        <f t="shared" si="18"/>
        <v>IN</v>
      </c>
      <c r="E3059" s="403" t="str">
        <f t="array" ref="E3059">INDIRECT("Tableau!$AL$35")</f>
        <v/>
      </c>
    </row>
    <row r="3060">
      <c r="A3060" s="402">
        <f t="array" ref="A3060">INDIRECT("Tableau!$A$36")</f>
        <v>211</v>
      </c>
      <c r="B3060" s="398" t="s">
        <v>477</v>
      </c>
      <c r="C3060" s="400" t="str">
        <f t="array" ref="C3060">INDIRECT("Tableau!$AK$36")</f>
        <v/>
      </c>
      <c r="D3060" s="400" t="str">
        <f t="shared" si="18"/>
        <v>IN</v>
      </c>
      <c r="E3060" s="403" t="str">
        <f t="array" ref="E3060">INDIRECT("Tableau!$AL$36")</f>
        <v/>
      </c>
    </row>
    <row r="3061">
      <c r="A3061" s="402">
        <f t="array" ref="A3061">INDIRECT("Tableau!$A$37")</f>
        <v>212</v>
      </c>
      <c r="B3061" s="398" t="s">
        <v>477</v>
      </c>
      <c r="C3061" s="400" t="str">
        <f t="array" ref="C3061">INDIRECT("Tableau!$AK$37")</f>
        <v/>
      </c>
      <c r="D3061" s="400" t="str">
        <f t="shared" si="18"/>
        <v>IN</v>
      </c>
      <c r="E3061" s="403" t="str">
        <f t="array" ref="E3061">INDIRECT("Tableau!$AL$37")</f>
        <v/>
      </c>
    </row>
    <row r="3062">
      <c r="A3062" s="402">
        <f t="array" ref="A3062">INDIRECT("Tableau!$A$38")</f>
        <v>213</v>
      </c>
      <c r="B3062" s="398" t="s">
        <v>477</v>
      </c>
      <c r="C3062" s="400" t="str">
        <f t="array" ref="C3062">INDIRECT("Tableau!$AK$38")</f>
        <v/>
      </c>
      <c r="D3062" s="400" t="str">
        <f t="shared" si="18"/>
        <v>IN</v>
      </c>
      <c r="E3062" s="403" t="str">
        <f t="array" ref="E3062">INDIRECT("Tableau!$AL$38")</f>
        <v/>
      </c>
    </row>
    <row r="3063">
      <c r="A3063" s="402">
        <f t="array" ref="A3063">INDIRECT("Tableau!$A$39")</f>
        <v>214</v>
      </c>
      <c r="B3063" s="398" t="s">
        <v>477</v>
      </c>
      <c r="C3063" s="400" t="str">
        <f t="array" ref="C3063">INDIRECT("Tableau!$AK$39")</f>
        <v/>
      </c>
      <c r="D3063" s="400" t="str">
        <f t="shared" si="18"/>
        <v>IN</v>
      </c>
      <c r="E3063" s="403" t="str">
        <f t="array" ref="E3063">INDIRECT("Tableau!$AL$39")</f>
        <v/>
      </c>
    </row>
    <row r="3064">
      <c r="A3064" s="402">
        <f t="array" ref="A3064">INDIRECT("Tableau!$A$40")</f>
        <v>215</v>
      </c>
      <c r="B3064" s="398" t="s">
        <v>477</v>
      </c>
      <c r="C3064" s="400" t="str">
        <f t="array" ref="C3064">INDIRECT("Tableau!$AK$40")</f>
        <v/>
      </c>
      <c r="D3064" s="400" t="str">
        <f t="shared" si="18"/>
        <v>IN</v>
      </c>
      <c r="E3064" s="403" t="str">
        <f t="array" ref="E3064">INDIRECT("Tableau!$AL$40")</f>
        <v/>
      </c>
    </row>
    <row r="3065">
      <c r="A3065" s="402">
        <f t="array" ref="A3065">INDIRECT("Tableau!$A$41")</f>
        <v>216</v>
      </c>
      <c r="B3065" s="398" t="s">
        <v>477</v>
      </c>
      <c r="C3065" s="400" t="str">
        <f t="array" ref="C3065">INDIRECT("Tableau!$AK$41")</f>
        <v/>
      </c>
      <c r="D3065" s="400" t="str">
        <f t="shared" si="18"/>
        <v>IN</v>
      </c>
      <c r="E3065" s="403" t="str">
        <f t="array" ref="E3065">INDIRECT("Tableau!$AL$41")</f>
        <v/>
      </c>
    </row>
    <row r="3066">
      <c r="A3066" s="402">
        <f t="array" ref="A3066">INDIRECT("Tableau!$A$42")</f>
        <v>227</v>
      </c>
      <c r="B3066" s="398" t="s">
        <v>477</v>
      </c>
      <c r="C3066" s="400" t="str">
        <f t="array" ref="C3066">INDIRECT("Tableau!$AK$42")</f>
        <v/>
      </c>
      <c r="D3066" s="400" t="str">
        <f t="shared" si="18"/>
        <v>IN</v>
      </c>
      <c r="E3066" s="403" t="str">
        <f t="array" ref="E3066">INDIRECT("Tableau!$AL$42")</f>
        <v/>
      </c>
    </row>
    <row r="3067">
      <c r="A3067" s="402">
        <f t="array" ref="A3067">INDIRECT("Tableau!$A$43")</f>
        <v>217</v>
      </c>
      <c r="B3067" s="398" t="s">
        <v>477</v>
      </c>
      <c r="C3067" s="400" t="str">
        <f t="array" ref="C3067">INDIRECT("Tableau!$AK$43")</f>
        <v/>
      </c>
      <c r="D3067" s="400" t="str">
        <f t="shared" si="18"/>
        <v>IN</v>
      </c>
      <c r="E3067" s="403" t="str">
        <f t="array" ref="E3067">INDIRECT("Tableau!$AL$43")</f>
        <v/>
      </c>
    </row>
    <row r="3068">
      <c r="A3068" s="402">
        <f t="array" ref="A3068">INDIRECT("Tableau!$A$44")</f>
        <v>218</v>
      </c>
      <c r="B3068" s="398" t="s">
        <v>477</v>
      </c>
      <c r="C3068" s="400" t="str">
        <f t="array" ref="C3068">INDIRECT("Tableau!$AK$44")</f>
        <v/>
      </c>
      <c r="D3068" s="400" t="str">
        <f t="shared" si="18"/>
        <v>IN</v>
      </c>
      <c r="E3068" s="403" t="str">
        <f t="array" ref="E3068">INDIRECT("Tableau!$AL$44")</f>
        <v/>
      </c>
    </row>
    <row r="3069">
      <c r="A3069" s="397" t="str">
        <f t="array" ref="A3069">INDIRECT("Tableau!$A$45")</f>
        <v/>
      </c>
      <c r="B3069" s="398" t="s">
        <v>477</v>
      </c>
      <c r="C3069" s="400" t="str">
        <f t="array" ref="C3069">INDIRECT("Tableau!$AK$45")</f>
        <v/>
      </c>
      <c r="D3069" s="400" t="str">
        <f t="shared" si="18"/>
        <v>IN</v>
      </c>
      <c r="E3069" s="403" t="str">
        <f t="array" ref="E3069">INDIRECT("Tableau!$AL$45")</f>
        <v/>
      </c>
    </row>
    <row r="3070">
      <c r="A3070" s="402">
        <f t="array" ref="A3070">INDIRECT("Tableau!$A$46")</f>
        <v>220</v>
      </c>
      <c r="B3070" s="398" t="s">
        <v>477</v>
      </c>
      <c r="C3070" s="400" t="str">
        <f t="array" ref="C3070">INDIRECT("Tableau!$AK$46")</f>
        <v/>
      </c>
      <c r="D3070" s="400" t="str">
        <f t="shared" si="18"/>
        <v>IN</v>
      </c>
      <c r="E3070" s="403" t="str">
        <f t="array" ref="E3070">INDIRECT("Tableau!$AL$46")</f>
        <v/>
      </c>
    </row>
    <row r="3071">
      <c r="A3071" s="402">
        <f t="array" ref="A3071">INDIRECT("Tableau!$A$47")</f>
        <v>221</v>
      </c>
      <c r="B3071" s="398" t="s">
        <v>477</v>
      </c>
      <c r="C3071" s="400" t="str">
        <f t="array" ref="C3071">INDIRECT("Tableau!$AK$47")</f>
        <v/>
      </c>
      <c r="D3071" s="400" t="str">
        <f t="shared" si="18"/>
        <v>IN</v>
      </c>
      <c r="E3071" s="403" t="str">
        <f t="array" ref="E3071">INDIRECT("Tableau!$AL$47")</f>
        <v/>
      </c>
    </row>
    <row r="3072">
      <c r="A3072" s="402">
        <f t="array" ref="A3072">INDIRECT("Tableau!$A$48")</f>
        <v>226</v>
      </c>
      <c r="B3072" s="398" t="s">
        <v>477</v>
      </c>
      <c r="C3072" s="400" t="str">
        <f t="array" ref="C3072">INDIRECT("Tableau!$AK$48")</f>
        <v/>
      </c>
      <c r="D3072" s="400" t="str">
        <f t="shared" si="18"/>
        <v>IN</v>
      </c>
      <c r="E3072" s="403" t="str">
        <f t="array" ref="E3072">INDIRECT("Tableau!$AL$48")</f>
        <v/>
      </c>
    </row>
    <row r="3073">
      <c r="A3073" s="402">
        <f t="array" ref="A3073">INDIRECT("Tableau!$A$49")</f>
        <v>222</v>
      </c>
      <c r="B3073" s="398" t="s">
        <v>477</v>
      </c>
      <c r="C3073" s="400" t="str">
        <f t="array" ref="C3073">INDIRECT("Tableau!$AK$49")</f>
        <v/>
      </c>
      <c r="D3073" s="400" t="str">
        <f t="shared" si="18"/>
        <v>IN</v>
      </c>
      <c r="E3073" s="403" t="str">
        <f t="array" ref="E3073">INDIRECT("Tableau!$AL$49")</f>
        <v/>
      </c>
    </row>
    <row r="3074">
      <c r="A3074" s="402">
        <f t="array" ref="A3074">INDIRECT("Tableau!$A$50")</f>
        <v>224</v>
      </c>
      <c r="B3074" s="398" t="s">
        <v>477</v>
      </c>
      <c r="C3074" s="400" t="str">
        <f t="array" ref="C3074">INDIRECT("Tableau!$AK$50")</f>
        <v/>
      </c>
      <c r="D3074" s="400" t="str">
        <f t="shared" si="18"/>
        <v>IN</v>
      </c>
      <c r="E3074" s="403" t="str">
        <f t="array" ref="E3074">INDIRECT("Tableau!$AL$50")</f>
        <v/>
      </c>
    </row>
    <row r="3075">
      <c r="A3075" s="397">
        <f t="array" ref="A3075">INDIRECT("Tableau!$A$51")</f>
        <v>223</v>
      </c>
      <c r="B3075" s="398" t="s">
        <v>477</v>
      </c>
      <c r="C3075" s="400" t="str">
        <f t="array" ref="C3075">INDIRECT("Tableau!$AK$51")</f>
        <v/>
      </c>
      <c r="D3075" s="400" t="str">
        <f t="shared" si="18"/>
        <v>IN</v>
      </c>
      <c r="E3075" s="403" t="str">
        <f t="array" ref="E3075">INDIRECT("Tableau!$AL$51")</f>
        <v/>
      </c>
    </row>
    <row r="3076">
      <c r="A3076" s="402">
        <f t="array" ref="A3076">INDIRECT("Tableau!$A$52")</f>
        <v>225</v>
      </c>
      <c r="B3076" s="398" t="s">
        <v>477</v>
      </c>
      <c r="C3076" s="400" t="str">
        <f t="array" ref="C3076">INDIRECT("Tableau!$AK$52")</f>
        <v>DEMA</v>
      </c>
      <c r="D3076" s="400" t="str">
        <f t="shared" si="18"/>
        <v>IN</v>
      </c>
      <c r="E3076" s="403" t="str">
        <f t="array" ref="E3076">INDIRECT("Tableau!$AL$52")</f>
        <v/>
      </c>
    </row>
    <row r="3077">
      <c r="A3077" s="402">
        <f t="array" ref="A3077">INDIRECT("Tableau!$A$53")</f>
        <v>230</v>
      </c>
      <c r="B3077" s="398" t="s">
        <v>477</v>
      </c>
      <c r="C3077" s="400" t="str">
        <f t="array" ref="C3077">INDIRECT("Tableau!$AK$53")</f>
        <v/>
      </c>
      <c r="D3077" s="400" t="str">
        <f t="shared" si="18"/>
        <v>IN</v>
      </c>
      <c r="E3077" s="403" t="str">
        <f t="array" ref="E3077">INDIRECT("Tableau!$AL$53")</f>
        <v/>
      </c>
    </row>
    <row r="3078">
      <c r="A3078" s="397">
        <f t="array" ref="A3078">INDIRECT("Tableau!$A$54")</f>
        <v>231</v>
      </c>
      <c r="B3078" s="398" t="s">
        <v>477</v>
      </c>
      <c r="C3078" s="400" t="str">
        <f t="array" ref="C3078">INDIRECT("Tableau!$AK$54")</f>
        <v/>
      </c>
      <c r="D3078" s="400" t="str">
        <f t="shared" si="18"/>
        <v>IN</v>
      </c>
      <c r="E3078" s="403" t="str">
        <f t="array" ref="E3078">INDIRECT("Tableau!$AL$54")</f>
        <v/>
      </c>
    </row>
    <row r="3079">
      <c r="A3079" s="397" t="str">
        <f t="array" ref="A3079">INDIRECT("Tableau!$A$55")</f>
        <v/>
      </c>
      <c r="B3079" s="398" t="s">
        <v>477</v>
      </c>
      <c r="C3079" s="400" t="str">
        <f t="array" ref="C3079">INDIRECT("Tableau!$AK$55")</f>
        <v/>
      </c>
      <c r="D3079" s="400" t="str">
        <f t="shared" si="18"/>
        <v>IN</v>
      </c>
      <c r="E3079" s="403" t="str">
        <f t="array" ref="E3079">INDIRECT("Tableau!$AL$55")</f>
        <v/>
      </c>
    </row>
    <row r="3080">
      <c r="A3080" s="397" t="str">
        <f t="array" ref="A3080">INDIRECT("Tableau!$A$56")</f>
        <v/>
      </c>
      <c r="B3080" s="398" t="s">
        <v>477</v>
      </c>
      <c r="C3080" s="400" t="str">
        <f t="array" ref="C3080">INDIRECT("Tableau!$AK$56")</f>
        <v/>
      </c>
      <c r="D3080" s="400" t="str">
        <f t="shared" si="18"/>
        <v>IN</v>
      </c>
      <c r="E3080" s="403" t="str">
        <f t="array" ref="E3080">INDIRECT("Tableau!$AL$56")</f>
        <v/>
      </c>
    </row>
    <row r="3081">
      <c r="A3081" s="397" t="str">
        <f t="array" ref="A3081">INDIRECT("Tableau!$A$57")</f>
        <v/>
      </c>
      <c r="B3081" s="398" t="s">
        <v>477</v>
      </c>
      <c r="C3081" s="400" t="str">
        <f t="array" ref="C3081">INDIRECT("Tableau!$AK$57")</f>
        <v/>
      </c>
      <c r="D3081" s="400" t="str">
        <f t="shared" si="18"/>
        <v>IN</v>
      </c>
      <c r="E3081" s="403" t="str">
        <f t="array" ref="E3081">INDIRECT("Tableau!$AL$57")</f>
        <v/>
      </c>
    </row>
    <row r="3082">
      <c r="A3082" s="397" t="str">
        <f t="array" ref="A3082">INDIRECT("Tableau!$A$58")</f>
        <v/>
      </c>
      <c r="B3082" s="398" t="s">
        <v>477</v>
      </c>
      <c r="C3082" s="400" t="str">
        <f t="array" ref="C3082">INDIRECT("Tableau!$AK$58")</f>
        <v/>
      </c>
      <c r="D3082" s="400" t="str">
        <f t="shared" si="18"/>
        <v>IN</v>
      </c>
      <c r="E3082" s="403" t="str">
        <f t="array" ref="E3082">INDIRECT("Tableau!$AL$58")</f>
        <v/>
      </c>
    </row>
    <row r="3083">
      <c r="A3083" s="397" t="str">
        <f t="array" ref="A3083">INDIRECT("Tableau!$A$59")</f>
        <v/>
      </c>
      <c r="B3083" s="398" t="s">
        <v>477</v>
      </c>
      <c r="C3083" s="400" t="str">
        <f t="array" ref="C3083">INDIRECT("Tableau!$AK$59")</f>
        <v/>
      </c>
      <c r="D3083" s="400" t="str">
        <f t="shared" si="18"/>
        <v>IN</v>
      </c>
      <c r="E3083" s="403" t="str">
        <f t="array" ref="E3083">INDIRECT("Tableau!$AL$59")</f>
        <v/>
      </c>
    </row>
    <row r="3084">
      <c r="A3084" s="397" t="str">
        <f t="array" ref="A3084">INDIRECT("Tableau!$A$60")</f>
        <v/>
      </c>
      <c r="B3084" s="398" t="s">
        <v>477</v>
      </c>
      <c r="C3084" s="400" t="str">
        <f t="array" ref="C3084">INDIRECT("Tableau!$AK$60")</f>
        <v/>
      </c>
      <c r="D3084" s="400" t="str">
        <f t="shared" si="18"/>
        <v>IN</v>
      </c>
      <c r="E3084" s="403" t="str">
        <f t="array" ref="E3084">INDIRECT("Tableau!$AL$60")</f>
        <v/>
      </c>
    </row>
    <row r="3085">
      <c r="A3085" s="397" t="str">
        <f t="array" ref="A3085">INDIRECT("Tableau!$A$61")</f>
        <v/>
      </c>
      <c r="B3085" s="398" t="s">
        <v>477</v>
      </c>
      <c r="C3085" s="400" t="str">
        <f t="array" ref="C3085">INDIRECT("Tableau!$AK$61")</f>
        <v/>
      </c>
      <c r="D3085" s="400" t="str">
        <f t="shared" si="18"/>
        <v>IN</v>
      </c>
      <c r="E3085" s="403" t="str">
        <f t="array" ref="E3085">INDIRECT("Tableau!$AL$61")</f>
        <v/>
      </c>
    </row>
    <row r="3086">
      <c r="A3086" s="397" t="str">
        <f t="array" ref="A3086">INDIRECT("Tableau!$A$62")</f>
        <v/>
      </c>
      <c r="B3086" s="398" t="s">
        <v>477</v>
      </c>
      <c r="C3086" s="400" t="str">
        <f t="array" ref="C3086">INDIRECT("Tableau!$AK$62")</f>
        <v/>
      </c>
      <c r="D3086" s="400" t="str">
        <f t="shared" si="18"/>
        <v>IN</v>
      </c>
      <c r="E3086" s="403" t="str">
        <f t="array" ref="E3086">INDIRECT("Tableau!$AL$62")</f>
        <v/>
      </c>
    </row>
    <row r="3087">
      <c r="A3087" s="397" t="str">
        <f t="array" ref="A3087">INDIRECT("Tableau!$A$63")</f>
        <v/>
      </c>
      <c r="B3087" s="398" t="s">
        <v>477</v>
      </c>
      <c r="C3087" s="400" t="str">
        <f t="array" ref="C3087">INDIRECT("Tableau!$AK$63")</f>
        <v/>
      </c>
      <c r="D3087" s="400" t="str">
        <f t="shared" si="18"/>
        <v>IN</v>
      </c>
      <c r="E3087" s="403" t="str">
        <f t="array" ref="E3087">INDIRECT("Tableau!$AL$63")</f>
        <v/>
      </c>
    </row>
    <row r="3088">
      <c r="A3088" s="397" t="str">
        <f t="array" ref="A3088">INDIRECT("Tableau!$A$64")</f>
        <v/>
      </c>
      <c r="B3088" s="398" t="s">
        <v>477</v>
      </c>
      <c r="C3088" s="400" t="str">
        <f t="array" ref="C3088">INDIRECT("Tableau!$AK$64")</f>
        <v/>
      </c>
      <c r="D3088" s="400" t="str">
        <f t="shared" si="18"/>
        <v>IN</v>
      </c>
      <c r="E3088" s="403" t="str">
        <f t="array" ref="E3088">INDIRECT("Tableau!$AL$64")</f>
        <v/>
      </c>
    </row>
    <row r="3089">
      <c r="A3089" s="402">
        <f t="array" ref="A3089">INDIRECT("Tableau!$A$65")</f>
        <v>301</v>
      </c>
      <c r="B3089" s="398" t="s">
        <v>477</v>
      </c>
      <c r="C3089" s="400" t="str">
        <f t="array" ref="C3089">INDIRECT("Tableau!$AK$65")</f>
        <v/>
      </c>
      <c r="D3089" s="400" t="str">
        <f t="shared" si="18"/>
        <v>IN</v>
      </c>
      <c r="E3089" s="403" t="str">
        <f t="array" ref="E3089">INDIRECT("Tableau!$AL$65")</f>
        <v/>
      </c>
    </row>
    <row r="3090">
      <c r="A3090" s="397" t="str">
        <f t="array" ref="A3090">INDIRECT("Tableau!$A$66")</f>
        <v/>
      </c>
      <c r="B3090" s="398" t="s">
        <v>477</v>
      </c>
      <c r="C3090" s="400" t="str">
        <f t="array" ref="C3090">INDIRECT("Tableau!$AK$66")</f>
        <v/>
      </c>
      <c r="D3090" s="400" t="str">
        <f t="shared" si="18"/>
        <v>IN</v>
      </c>
      <c r="E3090" s="403" t="str">
        <f t="array" ref="E3090">INDIRECT("Tableau!$AL$66")</f>
        <v/>
      </c>
    </row>
    <row r="3091">
      <c r="A3091" s="402">
        <f t="array" ref="A3091">INDIRECT("Tableau!$A$67")</f>
        <v>303</v>
      </c>
      <c r="B3091" s="398" t="s">
        <v>477</v>
      </c>
      <c r="C3091" s="400" t="str">
        <f t="array" ref="C3091">INDIRECT("Tableau!$AK$67")</f>
        <v/>
      </c>
      <c r="D3091" s="400" t="str">
        <f t="shared" si="18"/>
        <v>IN</v>
      </c>
      <c r="E3091" s="403" t="str">
        <f t="array" ref="E3091">INDIRECT("Tableau!$AL$67")</f>
        <v/>
      </c>
    </row>
    <row r="3092">
      <c r="A3092" s="402">
        <f t="array" ref="A3092">INDIRECT("Tableau!$A$68")</f>
        <v>304</v>
      </c>
      <c r="B3092" s="398" t="s">
        <v>477</v>
      </c>
      <c r="C3092" s="400" t="str">
        <f t="array" ref="C3092">INDIRECT("Tableau!$AK$68")</f>
        <v/>
      </c>
      <c r="D3092" s="400" t="str">
        <f t="shared" si="18"/>
        <v>IN</v>
      </c>
      <c r="E3092" s="403" t="str">
        <f t="array" ref="E3092">INDIRECT("Tableau!$AL$68")</f>
        <v/>
      </c>
    </row>
    <row r="3093">
      <c r="A3093" s="402">
        <f t="array" ref="A3093">INDIRECT("Tableau!$A$69")</f>
        <v>305</v>
      </c>
      <c r="B3093" s="398" t="s">
        <v>477</v>
      </c>
      <c r="C3093" s="400" t="str">
        <f t="array" ref="C3093">INDIRECT("Tableau!$AK$69")</f>
        <v/>
      </c>
      <c r="D3093" s="400" t="str">
        <f t="shared" si="18"/>
        <v>IN</v>
      </c>
      <c r="E3093" s="403" t="str">
        <f t="array" ref="E3093">INDIRECT("Tableau!$AL$69")</f>
        <v/>
      </c>
    </row>
    <row r="3094">
      <c r="A3094" s="402">
        <f t="array" ref="A3094">INDIRECT("Tableau!$A$70")</f>
        <v>306</v>
      </c>
      <c r="B3094" s="398" t="s">
        <v>477</v>
      </c>
      <c r="C3094" s="400" t="str">
        <f t="array" ref="C3094">INDIRECT("Tableau!$AK$70")</f>
        <v/>
      </c>
      <c r="D3094" s="400" t="str">
        <f t="shared" si="18"/>
        <v>IN</v>
      </c>
      <c r="E3094" s="403" t="str">
        <f t="array" ref="E3094">INDIRECT("Tableau!$AL$70")</f>
        <v/>
      </c>
    </row>
    <row r="3095">
      <c r="A3095" s="402">
        <f t="array" ref="A3095">INDIRECT("Tableau!$A$71")</f>
        <v>307</v>
      </c>
      <c r="B3095" s="398" t="s">
        <v>477</v>
      </c>
      <c r="C3095" s="400" t="str">
        <f t="array" ref="C3095">INDIRECT("Tableau!$AK$71")</f>
        <v/>
      </c>
      <c r="D3095" s="400" t="str">
        <f t="shared" si="18"/>
        <v>IN</v>
      </c>
      <c r="E3095" s="403" t="str">
        <f t="array" ref="E3095">INDIRECT("Tableau!$AL$71")</f>
        <v/>
      </c>
    </row>
    <row r="3096">
      <c r="A3096" s="397">
        <f t="array" ref="A3096">INDIRECT("Tableau!$A$72")</f>
        <v>367</v>
      </c>
      <c r="B3096" s="398" t="s">
        <v>477</v>
      </c>
      <c r="C3096" s="400" t="str">
        <f t="array" ref="C3096">INDIRECT("Tableau!$AK$72")</f>
        <v/>
      </c>
      <c r="D3096" s="400" t="str">
        <f t="shared" si="18"/>
        <v>IN</v>
      </c>
      <c r="E3096" s="403" t="str">
        <f t="array" ref="E3096">INDIRECT("Tableau!$AL$72")</f>
        <v/>
      </c>
    </row>
    <row r="3097">
      <c r="A3097" s="402">
        <f t="array" ref="A3097">INDIRECT("Tableau!$A$73")</f>
        <v>308</v>
      </c>
      <c r="B3097" s="398" t="s">
        <v>477</v>
      </c>
      <c r="C3097" s="400" t="str">
        <f t="array" ref="C3097">INDIRECT("Tableau!$AK$73")</f>
        <v/>
      </c>
      <c r="D3097" s="400" t="str">
        <f t="shared" si="18"/>
        <v>IN</v>
      </c>
      <c r="E3097" s="403" t="str">
        <f t="array" ref="E3097">INDIRECT("Tableau!$AL$73")</f>
        <v/>
      </c>
    </row>
    <row r="3098">
      <c r="A3098" s="397">
        <f t="array" ref="A3098">INDIRECT("Tableau!$A$74")</f>
        <v>319</v>
      </c>
      <c r="B3098" s="398" t="s">
        <v>477</v>
      </c>
      <c r="C3098" s="400" t="str">
        <f t="array" ref="C3098">INDIRECT("Tableau!$AK$74")</f>
        <v/>
      </c>
      <c r="D3098" s="400" t="str">
        <f t="shared" si="18"/>
        <v>IN</v>
      </c>
      <c r="E3098" s="403" t="str">
        <f t="array" ref="E3098">INDIRECT("Tableau!$AL$74")</f>
        <v/>
      </c>
    </row>
    <row r="3099">
      <c r="A3099" s="402">
        <f t="array" ref="A3099">INDIRECT("Tableau!$A$75")</f>
        <v>309</v>
      </c>
      <c r="B3099" s="398" t="s">
        <v>477</v>
      </c>
      <c r="C3099" s="400" t="str">
        <f t="array" ref="C3099">INDIRECT("Tableau!$AK$75")</f>
        <v/>
      </c>
      <c r="D3099" s="400" t="str">
        <f t="shared" si="18"/>
        <v>IN</v>
      </c>
      <c r="E3099" s="403" t="str">
        <f t="array" ref="E3099">INDIRECT("Tableau!$AL$75")</f>
        <v/>
      </c>
    </row>
    <row r="3100">
      <c r="A3100" s="402">
        <f t="array" ref="A3100">INDIRECT("Tableau!$A$76")</f>
        <v>310</v>
      </c>
      <c r="B3100" s="398" t="s">
        <v>477</v>
      </c>
      <c r="C3100" s="400" t="str">
        <f t="array" ref="C3100">INDIRECT("Tableau!$AK$76")</f>
        <v/>
      </c>
      <c r="D3100" s="400" t="str">
        <f t="shared" si="18"/>
        <v>IN</v>
      </c>
      <c r="E3100" s="403" t="str">
        <f t="array" ref="E3100">INDIRECT("Tableau!$AL$76")</f>
        <v/>
      </c>
    </row>
    <row r="3101">
      <c r="A3101" s="402">
        <f t="array" ref="A3101">INDIRECT("Tableau!$A$77")</f>
        <v>311</v>
      </c>
      <c r="B3101" s="398" t="s">
        <v>477</v>
      </c>
      <c r="C3101" s="400" t="str">
        <f t="array" ref="C3101">INDIRECT("Tableau!$AK$77")</f>
        <v/>
      </c>
      <c r="D3101" s="400" t="str">
        <f t="shared" si="18"/>
        <v>IN</v>
      </c>
      <c r="E3101" s="403" t="str">
        <f t="array" ref="E3101">INDIRECT("Tableau!$AL$77")</f>
        <v/>
      </c>
    </row>
    <row r="3102">
      <c r="A3102" s="402">
        <f t="array" ref="A3102">INDIRECT("Tableau!$A$78")</f>
        <v>312</v>
      </c>
      <c r="B3102" s="398" t="s">
        <v>477</v>
      </c>
      <c r="C3102" s="400" t="str">
        <f t="array" ref="C3102">INDIRECT("Tableau!$AK$78")</f>
        <v/>
      </c>
      <c r="D3102" s="400" t="str">
        <f t="shared" si="18"/>
        <v>IN</v>
      </c>
      <c r="E3102" s="403" t="str">
        <f t="array" ref="E3102">INDIRECT("Tableau!$AL$78")</f>
        <v/>
      </c>
    </row>
    <row r="3103">
      <c r="A3103" s="402">
        <f t="array" ref="A3103">INDIRECT("Tableau!$A$79")</f>
        <v>313</v>
      </c>
      <c r="B3103" s="398" t="s">
        <v>477</v>
      </c>
      <c r="C3103" s="400" t="str">
        <f t="array" ref="C3103">INDIRECT("Tableau!$AK$79")</f>
        <v/>
      </c>
      <c r="D3103" s="400" t="str">
        <f t="shared" si="18"/>
        <v>IN</v>
      </c>
      <c r="E3103" s="403" t="str">
        <f t="array" ref="E3103">INDIRECT("Tableau!$AL$79")</f>
        <v/>
      </c>
    </row>
    <row r="3104">
      <c r="A3104" s="402">
        <f t="array" ref="A3104">INDIRECT("Tableau!$A$80")</f>
        <v>314</v>
      </c>
      <c r="B3104" s="398" t="s">
        <v>477</v>
      </c>
      <c r="C3104" s="400" t="str">
        <f t="array" ref="C3104">INDIRECT("Tableau!$AK$80")</f>
        <v/>
      </c>
      <c r="D3104" s="400" t="str">
        <f t="shared" si="18"/>
        <v>IN</v>
      </c>
      <c r="E3104" s="403" t="str">
        <f t="array" ref="E3104">INDIRECT("Tableau!$AL$80")</f>
        <v/>
      </c>
    </row>
    <row r="3105">
      <c r="A3105" s="402">
        <f t="array" ref="A3105">INDIRECT("Tableau!$A$81")</f>
        <v>315</v>
      </c>
      <c r="B3105" s="398" t="s">
        <v>477</v>
      </c>
      <c r="C3105" s="400" t="str">
        <f t="array" ref="C3105">INDIRECT("Tableau!$AK$81")</f>
        <v/>
      </c>
      <c r="D3105" s="400" t="str">
        <f t="shared" si="18"/>
        <v>IN</v>
      </c>
      <c r="E3105" s="403" t="str">
        <f t="array" ref="E3105">INDIRECT("Tableau!$AL$81")</f>
        <v/>
      </c>
    </row>
    <row r="3106">
      <c r="A3106" s="402">
        <f t="array" ref="A3106">INDIRECT("Tableau!$A$82")</f>
        <v>316</v>
      </c>
      <c r="B3106" s="398" t="s">
        <v>477</v>
      </c>
      <c r="C3106" s="400" t="str">
        <f t="array" ref="C3106">INDIRECT("Tableau!$AK$82")</f>
        <v/>
      </c>
      <c r="D3106" s="400" t="str">
        <f t="shared" si="18"/>
        <v>IN</v>
      </c>
      <c r="E3106" s="403" t="str">
        <f t="array" ref="E3106">INDIRECT("Tableau!$AL$82")</f>
        <v/>
      </c>
    </row>
    <row r="3107">
      <c r="A3107" s="402">
        <f t="array" ref="A3107">INDIRECT("Tableau!$A$83")</f>
        <v>317</v>
      </c>
      <c r="B3107" s="398" t="s">
        <v>477</v>
      </c>
      <c r="C3107" s="400" t="str">
        <f t="array" ref="C3107">INDIRECT("Tableau!$AK$83")</f>
        <v/>
      </c>
      <c r="D3107" s="400" t="str">
        <f t="shared" si="18"/>
        <v>IN</v>
      </c>
      <c r="E3107" s="403" t="str">
        <f t="array" ref="E3107">INDIRECT("Tableau!$AL$83")</f>
        <v/>
      </c>
    </row>
    <row r="3108">
      <c r="A3108" s="402">
        <f t="array" ref="A3108">INDIRECT("Tableau!$A$84")</f>
        <v>318</v>
      </c>
      <c r="B3108" s="398" t="s">
        <v>477</v>
      </c>
      <c r="C3108" s="400" t="str">
        <f t="array" ref="C3108">INDIRECT("Tableau!$AK$84")</f>
        <v/>
      </c>
      <c r="D3108" s="400" t="str">
        <f t="shared" si="18"/>
        <v>IN</v>
      </c>
      <c r="E3108" s="403" t="str">
        <f t="array" ref="E3108">INDIRECT("Tableau!$AL$84")</f>
        <v/>
      </c>
    </row>
    <row r="3109">
      <c r="A3109" s="402">
        <f t="array" ref="A3109">INDIRECT("Tableau!$A$85")</f>
        <v>320</v>
      </c>
      <c r="B3109" s="398" t="s">
        <v>477</v>
      </c>
      <c r="C3109" s="400" t="str">
        <f t="array" ref="C3109">INDIRECT("Tableau!$AK$85")</f>
        <v/>
      </c>
      <c r="D3109" s="400" t="str">
        <f t="shared" si="18"/>
        <v>IN</v>
      </c>
      <c r="E3109" s="403" t="str">
        <f t="array" ref="E3109">INDIRECT("Tableau!$AL$85")</f>
        <v/>
      </c>
    </row>
    <row r="3110">
      <c r="A3110" s="402">
        <f t="array" ref="A3110">INDIRECT("Tableau!$A$86")</f>
        <v>321</v>
      </c>
      <c r="B3110" s="398" t="s">
        <v>477</v>
      </c>
      <c r="C3110" s="400" t="str">
        <f t="array" ref="C3110">INDIRECT("Tableau!$AK$86")</f>
        <v/>
      </c>
      <c r="D3110" s="400" t="str">
        <f t="shared" si="18"/>
        <v>IN</v>
      </c>
      <c r="E3110" s="403" t="str">
        <f t="array" ref="E3110">INDIRECT("Tableau!$AL$86")</f>
        <v/>
      </c>
    </row>
    <row r="3111">
      <c r="A3111" s="397" t="str">
        <f t="array" ref="A3111">INDIRECT("Tableau!$A$87")</f>
        <v/>
      </c>
      <c r="B3111" s="398" t="s">
        <v>477</v>
      </c>
      <c r="C3111" s="400" t="str">
        <f t="array" ref="C3111">INDIRECT("Tableau!$AK$87")</f>
        <v/>
      </c>
      <c r="D3111" s="400" t="str">
        <f t="shared" si="18"/>
        <v>IN</v>
      </c>
      <c r="E3111" s="403" t="str">
        <f t="array" ref="E3111">INDIRECT("Tableau!$AL$87")</f>
        <v/>
      </c>
    </row>
    <row r="3112">
      <c r="A3112" s="402">
        <f t="array" ref="A3112">INDIRECT("Tableau!$A$88")</f>
        <v>323</v>
      </c>
      <c r="B3112" s="398" t="s">
        <v>477</v>
      </c>
      <c r="C3112" s="400" t="str">
        <f t="array" ref="C3112">INDIRECT("Tableau!$AK$88")</f>
        <v/>
      </c>
      <c r="D3112" s="400" t="str">
        <f t="shared" si="18"/>
        <v>IN</v>
      </c>
      <c r="E3112" s="403" t="str">
        <f t="array" ref="E3112">INDIRECT("Tableau!$AL$88")</f>
        <v/>
      </c>
    </row>
    <row r="3113">
      <c r="A3113" s="402">
        <f t="array" ref="A3113">INDIRECT("Tableau!$A$89")</f>
        <v>324</v>
      </c>
      <c r="B3113" s="398" t="s">
        <v>477</v>
      </c>
      <c r="C3113" s="400" t="str">
        <f t="array" ref="C3113">INDIRECT("Tableau!$AK$89")</f>
        <v/>
      </c>
      <c r="D3113" s="400" t="str">
        <f t="shared" si="18"/>
        <v>IN</v>
      </c>
      <c r="E3113" s="403" t="str">
        <f t="array" ref="E3113">INDIRECT("Tableau!$AL$89")</f>
        <v/>
      </c>
    </row>
    <row r="3114">
      <c r="A3114" s="402">
        <f t="array" ref="A3114">INDIRECT("Tableau!$A$90")</f>
        <v>325</v>
      </c>
      <c r="B3114" s="398" t="s">
        <v>477</v>
      </c>
      <c r="C3114" s="400" t="str">
        <f t="array" ref="C3114">INDIRECT("Tableau!$AK$90")</f>
        <v/>
      </c>
      <c r="D3114" s="400" t="str">
        <f t="shared" si="18"/>
        <v>IN</v>
      </c>
      <c r="E3114" s="403" t="str">
        <f t="array" ref="E3114">INDIRECT("Tableau!$AL$90")</f>
        <v/>
      </c>
    </row>
    <row r="3115">
      <c r="A3115" s="402">
        <f t="array" ref="A3115">INDIRECT("Tableau!$A$91")</f>
        <v>326</v>
      </c>
      <c r="B3115" s="398" t="s">
        <v>477</v>
      </c>
      <c r="C3115" s="400" t="str">
        <f t="array" ref="C3115">INDIRECT("Tableau!$AK$91")</f>
        <v/>
      </c>
      <c r="D3115" s="400" t="str">
        <f t="shared" si="18"/>
        <v>IN</v>
      </c>
      <c r="E3115" s="403" t="str">
        <f t="array" ref="E3115">INDIRECT("Tableau!$AL$91")</f>
        <v/>
      </c>
    </row>
    <row r="3116">
      <c r="A3116" s="402">
        <f t="array" ref="A3116">INDIRECT("Tableau!$A$92")</f>
        <v>327</v>
      </c>
      <c r="B3116" s="398" t="s">
        <v>477</v>
      </c>
      <c r="C3116" s="400" t="str">
        <f t="array" ref="C3116">INDIRECT("Tableau!$AK$92")</f>
        <v/>
      </c>
      <c r="D3116" s="400" t="str">
        <f t="shared" si="18"/>
        <v>IN</v>
      </c>
      <c r="E3116" s="403" t="str">
        <f t="array" ref="E3116">INDIRECT("Tableau!$AL$92")</f>
        <v/>
      </c>
    </row>
    <row r="3117">
      <c r="A3117" s="402">
        <f t="array" ref="A3117">INDIRECT("Tableau!$A$93")</f>
        <v>328</v>
      </c>
      <c r="B3117" s="398" t="s">
        <v>477</v>
      </c>
      <c r="C3117" s="400" t="str">
        <f t="array" ref="C3117">INDIRECT("Tableau!$AK$93")</f>
        <v/>
      </c>
      <c r="D3117" s="400" t="str">
        <f t="shared" si="18"/>
        <v>IN</v>
      </c>
      <c r="E3117" s="403" t="str">
        <f t="array" ref="E3117">INDIRECT("Tableau!$AL$93")</f>
        <v/>
      </c>
    </row>
    <row r="3118">
      <c r="A3118" s="402">
        <f t="array" ref="A3118">INDIRECT("Tableau!$A$94")</f>
        <v>329</v>
      </c>
      <c r="B3118" s="398" t="s">
        <v>477</v>
      </c>
      <c r="C3118" s="400" t="str">
        <f t="array" ref="C3118">INDIRECT("Tableau!$AK$94")</f>
        <v/>
      </c>
      <c r="D3118" s="400" t="str">
        <f t="shared" si="18"/>
        <v>IN</v>
      </c>
      <c r="E3118" s="403" t="str">
        <f t="array" ref="E3118">INDIRECT("Tableau!$AL$94")</f>
        <v/>
      </c>
    </row>
    <row r="3119">
      <c r="A3119" s="402">
        <f t="array" ref="A3119">INDIRECT("Tableau!$A$95")</f>
        <v>330</v>
      </c>
      <c r="B3119" s="398" t="s">
        <v>477</v>
      </c>
      <c r="C3119" s="400" t="str">
        <f t="array" ref="C3119">INDIRECT("Tableau!$AK$95")</f>
        <v/>
      </c>
      <c r="D3119" s="400" t="str">
        <f t="shared" si="18"/>
        <v>IN</v>
      </c>
      <c r="E3119" s="403" t="str">
        <f t="array" ref="E3119">INDIRECT("Tableau!$AL$95")</f>
        <v/>
      </c>
    </row>
    <row r="3120">
      <c r="A3120" s="402">
        <f t="array" ref="A3120">INDIRECT("Tableau!$A$96")</f>
        <v>331</v>
      </c>
      <c r="B3120" s="398" t="s">
        <v>477</v>
      </c>
      <c r="C3120" s="400" t="str">
        <f t="array" ref="C3120">INDIRECT("Tableau!$AK$96")</f>
        <v/>
      </c>
      <c r="D3120" s="400" t="str">
        <f t="shared" si="18"/>
        <v>IN</v>
      </c>
      <c r="E3120" s="403" t="str">
        <f t="array" ref="E3120">INDIRECT("Tableau!$AL$96")</f>
        <v/>
      </c>
    </row>
    <row r="3121">
      <c r="A3121" s="402">
        <f t="array" ref="A3121">INDIRECT("Tableau!$A$97")</f>
        <v>332</v>
      </c>
      <c r="B3121" s="398" t="s">
        <v>477</v>
      </c>
      <c r="C3121" s="400" t="str">
        <f t="array" ref="C3121">INDIRECT("Tableau!$AK$97")</f>
        <v/>
      </c>
      <c r="D3121" s="400" t="str">
        <f t="shared" si="18"/>
        <v>IN</v>
      </c>
      <c r="E3121" s="403" t="str">
        <f t="array" ref="E3121">INDIRECT("Tableau!$AL$97")</f>
        <v/>
      </c>
    </row>
    <row r="3122">
      <c r="A3122" s="402">
        <f t="array" ref="A3122">INDIRECT("Tableau!$A$98")</f>
        <v>333</v>
      </c>
      <c r="B3122" s="398" t="s">
        <v>477</v>
      </c>
      <c r="C3122" s="400" t="str">
        <f t="array" ref="C3122">INDIRECT("Tableau!$AK$98")</f>
        <v>Immo Toma</v>
      </c>
      <c r="D3122" s="400" t="str">
        <f t="shared" si="18"/>
        <v>IN</v>
      </c>
      <c r="E3122" s="403" t="str">
        <f t="array" ref="E3122">INDIRECT("Tableau!$AL$98")</f>
        <v/>
      </c>
    </row>
    <row r="3123">
      <c r="A3123" s="402">
        <f t="array" ref="A3123">INDIRECT("Tableau!$A$99")</f>
        <v>334</v>
      </c>
      <c r="B3123" s="398" t="s">
        <v>477</v>
      </c>
      <c r="C3123" s="400" t="str">
        <f t="array" ref="C3123">INDIRECT("Tableau!$AK$99")</f>
        <v/>
      </c>
      <c r="D3123" s="400" t="str">
        <f t="shared" si="18"/>
        <v>IN</v>
      </c>
      <c r="E3123" s="403" t="str">
        <f t="array" ref="E3123">INDIRECT("Tableau!$AL$99")</f>
        <v/>
      </c>
    </row>
    <row r="3124">
      <c r="A3124" s="402">
        <f t="array" ref="A3124">INDIRECT("Tableau!$A$100")</f>
        <v>335</v>
      </c>
      <c r="B3124" s="398" t="s">
        <v>477</v>
      </c>
      <c r="C3124" s="400" t="str">
        <f t="array" ref="C3124">INDIRECT("Tableau!$AK$100")</f>
        <v/>
      </c>
      <c r="D3124" s="400" t="str">
        <f t="shared" si="18"/>
        <v>IN</v>
      </c>
      <c r="E3124" s="403" t="str">
        <f t="array" ref="E3124">INDIRECT("Tableau!$AL$100")</f>
        <v/>
      </c>
    </row>
    <row r="3125">
      <c r="A3125" s="402">
        <f t="array" ref="A3125">INDIRECT("Tableau!$A$101")</f>
        <v>336</v>
      </c>
      <c r="B3125" s="398" t="s">
        <v>477</v>
      </c>
      <c r="C3125" s="400" t="str">
        <f t="array" ref="C3125">INDIRECT("Tableau!$AK$101")</f>
        <v/>
      </c>
      <c r="D3125" s="400" t="str">
        <f t="shared" si="18"/>
        <v>IN</v>
      </c>
      <c r="E3125" s="403" t="str">
        <f t="array" ref="E3125">INDIRECT("Tableau!$AL$101")</f>
        <v/>
      </c>
    </row>
    <row r="3126">
      <c r="A3126" s="402">
        <f t="array" ref="A3126">INDIRECT("Tableau!$A$102")</f>
        <v>337</v>
      </c>
      <c r="B3126" s="398" t="s">
        <v>477</v>
      </c>
      <c r="C3126" s="400" t="str">
        <f t="array" ref="C3126">INDIRECT("Tableau!$AK$102")</f>
        <v/>
      </c>
      <c r="D3126" s="400" t="str">
        <f t="shared" si="18"/>
        <v>IN</v>
      </c>
      <c r="E3126" s="403" t="str">
        <f t="array" ref="E3126">INDIRECT("Tableau!$AL$102")</f>
        <v/>
      </c>
    </row>
    <row r="3127">
      <c r="A3127" s="402">
        <f t="array" ref="A3127">INDIRECT("Tableau!$A$103")</f>
        <v>338</v>
      </c>
      <c r="B3127" s="398" t="s">
        <v>477</v>
      </c>
      <c r="C3127" s="400" t="str">
        <f t="array" ref="C3127">INDIRECT("Tableau!$AK$103")</f>
        <v>Immo Toma </v>
      </c>
      <c r="D3127" s="400" t="str">
        <f t="shared" si="18"/>
        <v>IN</v>
      </c>
      <c r="E3127" s="403" t="str">
        <f t="array" ref="E3127">INDIRECT("Tableau!$AL$103")</f>
        <v/>
      </c>
    </row>
    <row r="3128">
      <c r="A3128" s="402">
        <f t="array" ref="A3128">INDIRECT("Tableau!$A$104")</f>
        <v>339</v>
      </c>
      <c r="B3128" s="398" t="s">
        <v>477</v>
      </c>
      <c r="C3128" s="400" t="str">
        <f t="array" ref="C3128">INDIRECT("Tableau!$AK$104")</f>
        <v>Immo Toma </v>
      </c>
      <c r="D3128" s="400" t="str">
        <f t="shared" si="18"/>
        <v>IN</v>
      </c>
      <c r="E3128" s="403" t="str">
        <f t="array" ref="E3128">INDIRECT("Tableau!$AL$104")</f>
        <v/>
      </c>
    </row>
    <row r="3129">
      <c r="A3129" s="402">
        <f t="array" ref="A3129">INDIRECT("Tableau!$A$105")</f>
        <v>340</v>
      </c>
      <c r="B3129" s="398" t="s">
        <v>477</v>
      </c>
      <c r="C3129" s="400" t="str">
        <f t="array" ref="C3129">INDIRECT("Tableau!$AK$105")</f>
        <v/>
      </c>
      <c r="D3129" s="400" t="str">
        <f t="shared" si="18"/>
        <v>IN</v>
      </c>
      <c r="E3129" s="403" t="str">
        <f t="array" ref="E3129">INDIRECT("Tableau!$AL$105")</f>
        <v/>
      </c>
    </row>
    <row r="3130">
      <c r="A3130" s="402">
        <f t="array" ref="A3130">INDIRECT("Tableau!$A$106")</f>
        <v>341</v>
      </c>
      <c r="B3130" s="398" t="s">
        <v>477</v>
      </c>
      <c r="C3130" s="400" t="str">
        <f t="array" ref="C3130">INDIRECT("Tableau!$AK$106")</f>
        <v/>
      </c>
      <c r="D3130" s="400" t="str">
        <f t="shared" si="18"/>
        <v>IN</v>
      </c>
      <c r="E3130" s="403" t="str">
        <f t="array" ref="E3130">INDIRECT("Tableau!$AL$106")</f>
        <v/>
      </c>
    </row>
    <row r="3131">
      <c r="A3131" s="402">
        <f t="array" ref="A3131">INDIRECT("Tableau!$A$107")</f>
        <v>365</v>
      </c>
      <c r="B3131" s="398" t="s">
        <v>477</v>
      </c>
      <c r="C3131" s="400" t="str">
        <f t="array" ref="C3131">INDIRECT("Tableau!$AK$107")</f>
        <v/>
      </c>
      <c r="D3131" s="400" t="str">
        <f t="shared" si="18"/>
        <v>IN</v>
      </c>
      <c r="E3131" s="403" t="str">
        <f t="array" ref="E3131">INDIRECT("Tableau!$AL$107")</f>
        <v/>
      </c>
    </row>
    <row r="3132">
      <c r="A3132" s="402">
        <f t="array" ref="A3132">INDIRECT("Tableau!$A$108")</f>
        <v>342</v>
      </c>
      <c r="B3132" s="398" t="s">
        <v>477</v>
      </c>
      <c r="C3132" s="400" t="str">
        <f t="array" ref="C3132">INDIRECT("Tableau!$AK$108")</f>
        <v/>
      </c>
      <c r="D3132" s="400" t="str">
        <f t="shared" si="18"/>
        <v>IN</v>
      </c>
      <c r="E3132" s="403" t="str">
        <f t="array" ref="E3132">INDIRECT("Tableau!$AL$108")</f>
        <v/>
      </c>
    </row>
    <row r="3133">
      <c r="A3133" s="402">
        <f t="array" ref="A3133">INDIRECT("Tableau!$A$109")</f>
        <v>343</v>
      </c>
      <c r="B3133" s="398" t="s">
        <v>477</v>
      </c>
      <c r="C3133" s="400" t="str">
        <f t="array" ref="C3133">INDIRECT("Tableau!$AK$109")</f>
        <v/>
      </c>
      <c r="D3133" s="400" t="str">
        <f t="shared" si="18"/>
        <v>IN</v>
      </c>
      <c r="E3133" s="403" t="str">
        <f t="array" ref="E3133">INDIRECT("Tableau!$AL$109")</f>
        <v/>
      </c>
    </row>
    <row r="3134">
      <c r="A3134" s="402">
        <f t="array" ref="A3134">INDIRECT("Tableau!$A$110")</f>
        <v>344</v>
      </c>
      <c r="B3134" s="398" t="s">
        <v>477</v>
      </c>
      <c r="C3134" s="400" t="str">
        <f t="array" ref="C3134">INDIRECT("Tableau!$AK$110")</f>
        <v/>
      </c>
      <c r="D3134" s="400" t="str">
        <f t="shared" si="18"/>
        <v>IN</v>
      </c>
      <c r="E3134" s="403" t="str">
        <f t="array" ref="E3134">INDIRECT("Tableau!$AL$110")</f>
        <v/>
      </c>
    </row>
    <row r="3135">
      <c r="A3135" s="402">
        <f t="array" ref="A3135">INDIRECT("Tableau!$A$111")</f>
        <v>363</v>
      </c>
      <c r="B3135" s="398" t="s">
        <v>477</v>
      </c>
      <c r="C3135" s="400" t="str">
        <f t="array" ref="C3135">INDIRECT("Tableau!$AK$111")</f>
        <v/>
      </c>
      <c r="D3135" s="400" t="str">
        <f t="shared" si="18"/>
        <v>IN</v>
      </c>
      <c r="E3135" s="403" t="str">
        <f t="array" ref="E3135">INDIRECT("Tableau!$AL$111")</f>
        <v/>
      </c>
    </row>
    <row r="3136">
      <c r="A3136" s="402">
        <f t="array" ref="A3136">INDIRECT("Tableau!$A$112")</f>
        <v>345</v>
      </c>
      <c r="B3136" s="398" t="s">
        <v>477</v>
      </c>
      <c r="C3136" s="400" t="str">
        <f t="array" ref="C3136">INDIRECT("Tableau!$AK$112")</f>
        <v/>
      </c>
      <c r="D3136" s="400" t="str">
        <f t="shared" si="18"/>
        <v>IN</v>
      </c>
      <c r="E3136" s="403" t="str">
        <f t="array" ref="E3136">INDIRECT("Tableau!$AL$112")</f>
        <v/>
      </c>
    </row>
    <row r="3137">
      <c r="A3137" s="402">
        <f t="array" ref="A3137">INDIRECT("Tableau!$A$113")</f>
        <v>346</v>
      </c>
      <c r="B3137" s="398" t="s">
        <v>477</v>
      </c>
      <c r="C3137" s="400" t="str">
        <f t="array" ref="C3137">INDIRECT("Tableau!$AK$113")</f>
        <v>Immo Toma </v>
      </c>
      <c r="D3137" s="400" t="str">
        <f t="shared" si="18"/>
        <v>IN</v>
      </c>
      <c r="E3137" s="403" t="str">
        <f t="array" ref="E3137">INDIRECT("Tableau!$AL$113")</f>
        <v/>
      </c>
    </row>
    <row r="3138">
      <c r="A3138" s="402">
        <f t="array" ref="A3138">INDIRECT("Tableau!$A$114")</f>
        <v>359</v>
      </c>
      <c r="B3138" s="398" t="s">
        <v>477</v>
      </c>
      <c r="C3138" s="400" t="str">
        <f t="array" ref="C3138">INDIRECT("Tableau!$AK$114")</f>
        <v/>
      </c>
      <c r="D3138" s="400" t="str">
        <f t="shared" si="18"/>
        <v>IN</v>
      </c>
      <c r="E3138" s="403" t="str">
        <f t="array" ref="E3138">INDIRECT("Tableau!$AL$114")</f>
        <v/>
      </c>
    </row>
    <row r="3139">
      <c r="A3139" s="402">
        <f t="array" ref="A3139">INDIRECT("Tableau!$A$115")</f>
        <v>360</v>
      </c>
      <c r="B3139" s="398" t="s">
        <v>477</v>
      </c>
      <c r="C3139" s="400" t="str">
        <f t="array" ref="C3139">INDIRECT("Tableau!$AK$115")</f>
        <v>DEMA</v>
      </c>
      <c r="D3139" s="400" t="str">
        <f t="shared" si="18"/>
        <v>IN</v>
      </c>
      <c r="E3139" s="403" t="str">
        <f t="array" ref="E3139">INDIRECT("Tableau!$AL$115")</f>
        <v/>
      </c>
    </row>
    <row r="3140">
      <c r="A3140" s="402">
        <f t="array" ref="A3140">INDIRECT("Tableau!$A$116")</f>
        <v>361</v>
      </c>
      <c r="B3140" s="398" t="s">
        <v>477</v>
      </c>
      <c r="C3140" s="400" t="str">
        <f t="array" ref="C3140">INDIRECT("Tableau!$AK$116")</f>
        <v/>
      </c>
      <c r="D3140" s="400" t="str">
        <f t="shared" si="18"/>
        <v>IN</v>
      </c>
      <c r="E3140" s="403" t="str">
        <f t="array" ref="E3140">INDIRECT("Tableau!$AL$116")</f>
        <v/>
      </c>
    </row>
    <row r="3141">
      <c r="A3141" s="397" t="str">
        <f t="array" ref="A3141">INDIRECT("Tableau!$A$117")</f>
        <v/>
      </c>
      <c r="B3141" s="398" t="s">
        <v>477</v>
      </c>
      <c r="C3141" s="400" t="str">
        <f t="array" ref="C3141">INDIRECT("Tableau!$AK$117")</f>
        <v/>
      </c>
      <c r="D3141" s="400" t="str">
        <f t="shared" si="18"/>
        <v>IN</v>
      </c>
      <c r="E3141" s="403" t="str">
        <f t="array" ref="E3141">INDIRECT("Tableau!$AL$117")</f>
        <v/>
      </c>
    </row>
    <row r="3142">
      <c r="A3142" s="402">
        <f t="array" ref="A3142">INDIRECT("Tableau!$A$118")</f>
        <v>347</v>
      </c>
      <c r="B3142" s="398" t="s">
        <v>477</v>
      </c>
      <c r="C3142" s="400" t="str">
        <f t="array" ref="C3142">INDIRECT("Tableau!$AK$118")</f>
        <v>BP Martelange</v>
      </c>
      <c r="D3142" s="400" t="str">
        <f t="shared" si="18"/>
        <v>IN</v>
      </c>
      <c r="E3142" s="403" t="str">
        <f t="array" ref="E3142">INDIRECT("Tableau!$AL$118")</f>
        <v/>
      </c>
    </row>
    <row r="3143">
      <c r="A3143" s="402">
        <f t="array" ref="A3143">INDIRECT("Tableau!$A$119")</f>
        <v>348</v>
      </c>
      <c r="B3143" s="398" t="s">
        <v>477</v>
      </c>
      <c r="C3143" s="400" t="str">
        <f t="array" ref="C3143">INDIRECT("Tableau!$AK$119")</f>
        <v/>
      </c>
      <c r="D3143" s="400" t="str">
        <f t="shared" si="18"/>
        <v>IN</v>
      </c>
      <c r="E3143" s="403" t="str">
        <f t="array" ref="E3143">INDIRECT("Tableau!$AL$119")</f>
        <v/>
      </c>
    </row>
    <row r="3144">
      <c r="A3144" s="402">
        <f t="array" ref="A3144">INDIRECT("Tableau!$A$120")</f>
        <v>349</v>
      </c>
      <c r="B3144" s="398" t="s">
        <v>477</v>
      </c>
      <c r="C3144" s="400" t="str">
        <f t="array" ref="C3144">INDIRECT("Tableau!$AK$120")</f>
        <v/>
      </c>
      <c r="D3144" s="400" t="str">
        <f t="shared" si="18"/>
        <v>IN</v>
      </c>
      <c r="E3144" s="403" t="str">
        <f t="array" ref="E3144">INDIRECT("Tableau!$AL$120")</f>
        <v/>
      </c>
    </row>
    <row r="3145">
      <c r="A3145" s="402">
        <f t="array" ref="A3145">INDIRECT("Tableau!$A$121")</f>
        <v>350</v>
      </c>
      <c r="B3145" s="398" t="s">
        <v>477</v>
      </c>
      <c r="C3145" s="400" t="str">
        <f t="array" ref="C3145">INDIRECT("Tableau!$AK$121")</f>
        <v>DPS</v>
      </c>
      <c r="D3145" s="400" t="str">
        <f t="shared" si="18"/>
        <v>IN</v>
      </c>
      <c r="E3145" s="403" t="str">
        <f t="array" ref="E3145">INDIRECT("Tableau!$AL$121")</f>
        <v/>
      </c>
    </row>
    <row r="3146">
      <c r="A3146" s="402">
        <f t="array" ref="A3146">INDIRECT("Tableau!$A$122")</f>
        <v>351</v>
      </c>
      <c r="B3146" s="398" t="s">
        <v>477</v>
      </c>
      <c r="C3146" s="400" t="str">
        <f t="array" ref="C3146">INDIRECT("Tableau!$AK$122")</f>
        <v/>
      </c>
      <c r="D3146" s="400" t="str">
        <f t="shared" si="18"/>
        <v>IN</v>
      </c>
      <c r="E3146" s="403" t="str">
        <f t="array" ref="E3146">INDIRECT("Tableau!$AL$122")</f>
        <v/>
      </c>
    </row>
    <row r="3147">
      <c r="A3147" s="402">
        <f t="array" ref="A3147">INDIRECT("Tableau!$A$123")</f>
        <v>352</v>
      </c>
      <c r="B3147" s="398" t="s">
        <v>477</v>
      </c>
      <c r="C3147" s="400" t="str">
        <f t="array" ref="C3147">INDIRECT("Tableau!$AK$123")</f>
        <v/>
      </c>
      <c r="D3147" s="400" t="str">
        <f t="shared" si="18"/>
        <v>IN</v>
      </c>
      <c r="E3147" s="403" t="str">
        <f t="array" ref="E3147">INDIRECT("Tableau!$AL$123")</f>
        <v/>
      </c>
    </row>
    <row r="3148">
      <c r="A3148" s="402">
        <f t="array" ref="A3148">INDIRECT("Tableau!$A$124")</f>
        <v>353</v>
      </c>
      <c r="B3148" s="398" t="s">
        <v>477</v>
      </c>
      <c r="C3148" s="400" t="str">
        <f t="array" ref="C3148">INDIRECT("Tableau!$AK$124")</f>
        <v/>
      </c>
      <c r="D3148" s="400" t="str">
        <f t="shared" si="18"/>
        <v>IN</v>
      </c>
      <c r="E3148" s="403" t="str">
        <f t="array" ref="E3148">INDIRECT("Tableau!$AL$124")</f>
        <v/>
      </c>
    </row>
    <row r="3149">
      <c r="A3149" s="397" t="str">
        <f t="array" ref="A3149">INDIRECT("Tableau!$A$125")</f>
        <v/>
      </c>
      <c r="B3149" s="398" t="s">
        <v>477</v>
      </c>
      <c r="C3149" s="400" t="str">
        <f t="array" ref="C3149">INDIRECT("Tableau!$AK$125")</f>
        <v/>
      </c>
      <c r="D3149" s="400" t="str">
        <f t="shared" si="18"/>
        <v>IN</v>
      </c>
      <c r="E3149" s="403" t="str">
        <f t="array" ref="E3149">INDIRECT("Tableau!$AL$125")</f>
        <v/>
      </c>
    </row>
    <row r="3150">
      <c r="A3150" s="402">
        <f t="array" ref="A3150">INDIRECT("Tableau!$A$126")</f>
        <v>354</v>
      </c>
      <c r="B3150" s="398" t="s">
        <v>477</v>
      </c>
      <c r="C3150" s="400" t="str">
        <f t="array" ref="C3150">INDIRECT("Tableau!$AK$126")</f>
        <v/>
      </c>
      <c r="D3150" s="400" t="str">
        <f t="shared" si="18"/>
        <v>IN</v>
      </c>
      <c r="E3150" s="403" t="str">
        <f t="array" ref="E3150">INDIRECT("Tableau!$AL$126")</f>
        <v/>
      </c>
    </row>
    <row r="3151">
      <c r="A3151" s="402">
        <f t="array" ref="A3151">INDIRECT("Tableau!$A$127")</f>
        <v>355</v>
      </c>
      <c r="B3151" s="398" t="s">
        <v>477</v>
      </c>
      <c r="C3151" s="400" t="str">
        <f t="array" ref="C3151">INDIRECT("Tableau!$AK$127")</f>
        <v/>
      </c>
      <c r="D3151" s="400" t="str">
        <f t="shared" si="18"/>
        <v>IN</v>
      </c>
      <c r="E3151" s="403" t="str">
        <f t="array" ref="E3151">INDIRECT("Tableau!$AL$127")</f>
        <v/>
      </c>
    </row>
    <row r="3152">
      <c r="A3152" s="402">
        <f t="array" ref="A3152">INDIRECT("Tableau!$A$128")</f>
        <v>356</v>
      </c>
      <c r="B3152" s="398" t="s">
        <v>477</v>
      </c>
      <c r="C3152" s="400" t="str">
        <f t="array" ref="C3152">INDIRECT("Tableau!$AK$128")</f>
        <v/>
      </c>
      <c r="D3152" s="400" t="str">
        <f t="shared" si="18"/>
        <v>IN</v>
      </c>
      <c r="E3152" s="403" t="str">
        <f t="array" ref="E3152">INDIRECT("Tableau!$AL$128")</f>
        <v/>
      </c>
    </row>
    <row r="3153">
      <c r="A3153" s="402">
        <f t="array" ref="A3153">INDIRECT("Tableau!$A$129")</f>
        <v>357</v>
      </c>
      <c r="B3153" s="398" t="s">
        <v>477</v>
      </c>
      <c r="C3153" s="400" t="str">
        <f t="array" ref="C3153">INDIRECT("Tableau!$AK$129")</f>
        <v>DEMA</v>
      </c>
      <c r="D3153" s="400" t="str">
        <f t="shared" si="18"/>
        <v>IN</v>
      </c>
      <c r="E3153" s="403" t="str">
        <f t="array" ref="E3153">INDIRECT("Tableau!$AL$129")</f>
        <v/>
      </c>
    </row>
    <row r="3154">
      <c r="A3154" s="397" t="str">
        <f t="array" ref="A3154">INDIRECT("Tableau!$A$130")</f>
        <v/>
      </c>
      <c r="B3154" s="398" t="s">
        <v>477</v>
      </c>
      <c r="C3154" s="400" t="str">
        <f t="array" ref="C3154">INDIRECT("Tableau!$AK$130")</f>
        <v/>
      </c>
      <c r="D3154" s="400" t="str">
        <f t="shared" si="18"/>
        <v>IN</v>
      </c>
      <c r="E3154" s="403" t="str">
        <f t="array" ref="E3154">INDIRECT("Tableau!$AL$130")</f>
        <v/>
      </c>
    </row>
    <row r="3155">
      <c r="A3155" s="397" t="str">
        <f t="array" ref="A3155">INDIRECT("Tableau!$A$131")</f>
        <v/>
      </c>
      <c r="B3155" s="398" t="s">
        <v>477</v>
      </c>
      <c r="C3155" s="400" t="str">
        <f t="array" ref="C3155">INDIRECT("Tableau!$AK$131")</f>
        <v/>
      </c>
      <c r="D3155" s="400" t="str">
        <f t="shared" si="18"/>
        <v>IN</v>
      </c>
      <c r="E3155" s="403" t="str">
        <f t="array" ref="E3155">INDIRECT("Tableau!$AL$131")</f>
        <v/>
      </c>
    </row>
    <row r="3156">
      <c r="A3156" s="397" t="str">
        <f t="array" ref="A3156">INDIRECT("Tableau!$A$132")</f>
        <v/>
      </c>
      <c r="B3156" s="398" t="s">
        <v>477</v>
      </c>
      <c r="C3156" s="400" t="str">
        <f t="array" ref="C3156">INDIRECT("Tableau!$AK$132")</f>
        <v/>
      </c>
      <c r="D3156" s="400" t="str">
        <f t="shared" si="18"/>
        <v>IN</v>
      </c>
      <c r="E3156" s="403" t="str">
        <f t="array" ref="E3156">INDIRECT("Tableau!$AL$132")</f>
        <v/>
      </c>
    </row>
    <row r="3157">
      <c r="A3157" s="397" t="str">
        <f t="array" ref="A3157">INDIRECT("Tableau!$A$133")</f>
        <v/>
      </c>
      <c r="B3157" s="398" t="s">
        <v>477</v>
      </c>
      <c r="C3157" s="400" t="str">
        <f t="array" ref="C3157">INDIRECT("Tableau!$AK$133")</f>
        <v/>
      </c>
      <c r="D3157" s="400" t="str">
        <f t="shared" si="18"/>
        <v>IN</v>
      </c>
      <c r="E3157" s="403" t="str">
        <f t="array" ref="E3157">INDIRECT("Tableau!$AL$133")</f>
        <v/>
      </c>
    </row>
    <row r="3158">
      <c r="A3158" s="397" t="str">
        <f t="array" ref="A3158">INDIRECT("Tableau!$A$134")</f>
        <v/>
      </c>
      <c r="B3158" s="398" t="s">
        <v>477</v>
      </c>
      <c r="C3158" s="400" t="str">
        <f t="array" ref="C3158">INDIRECT("Tableau!$AK$134")</f>
        <v/>
      </c>
      <c r="D3158" s="400" t="str">
        <f t="shared" si="18"/>
        <v>IN</v>
      </c>
      <c r="E3158" s="403" t="str">
        <f t="array" ref="E3158">INDIRECT("Tableau!$AL$134")</f>
        <v/>
      </c>
    </row>
    <row r="3159">
      <c r="A3159" s="402">
        <f t="array" ref="A3159">INDIRECT("Tableau!$A$135")</f>
        <v>401</v>
      </c>
      <c r="B3159" s="398" t="s">
        <v>477</v>
      </c>
      <c r="C3159" s="400" t="str">
        <f t="array" ref="C3159">INDIRECT("Tableau!$AK$135")</f>
        <v/>
      </c>
      <c r="D3159" s="400" t="str">
        <f t="shared" si="18"/>
        <v>IN</v>
      </c>
      <c r="E3159" s="403" t="str">
        <f t="array" ref="E3159">INDIRECT("Tableau!$AL$135")</f>
        <v/>
      </c>
    </row>
    <row r="3160">
      <c r="A3160" s="402">
        <f t="array" ref="A3160">INDIRECT("Tableau!$A$136")</f>
        <v>402</v>
      </c>
      <c r="B3160" s="398" t="s">
        <v>477</v>
      </c>
      <c r="C3160" s="400" t="str">
        <f t="array" ref="C3160">INDIRECT("Tableau!$AK$136")</f>
        <v/>
      </c>
      <c r="D3160" s="400" t="str">
        <f t="shared" si="18"/>
        <v>IN</v>
      </c>
      <c r="E3160" s="403" t="str">
        <f t="array" ref="E3160">INDIRECT("Tableau!$AL$136")</f>
        <v/>
      </c>
    </row>
    <row r="3161">
      <c r="A3161" s="402">
        <f t="array" ref="A3161">INDIRECT("Tableau!$A$137")</f>
        <v>403</v>
      </c>
      <c r="B3161" s="398" t="s">
        <v>477</v>
      </c>
      <c r="C3161" s="400" t="str">
        <f t="array" ref="C3161">INDIRECT("Tableau!$AK$137")</f>
        <v/>
      </c>
      <c r="D3161" s="400" t="str">
        <f t="shared" si="18"/>
        <v>IN</v>
      </c>
      <c r="E3161" s="403" t="str">
        <f t="array" ref="E3161">INDIRECT("Tableau!$AL$137")</f>
        <v/>
      </c>
    </row>
    <row r="3162">
      <c r="A3162" s="402">
        <f t="array" ref="A3162">INDIRECT("Tableau!$A$138")</f>
        <v>404</v>
      </c>
      <c r="B3162" s="398" t="s">
        <v>477</v>
      </c>
      <c r="C3162" s="400" t="str">
        <f t="array" ref="C3162">INDIRECT("Tableau!$AK$138")</f>
        <v/>
      </c>
      <c r="D3162" s="400" t="str">
        <f t="shared" si="18"/>
        <v>IN</v>
      </c>
      <c r="E3162" s="403" t="str">
        <f t="array" ref="E3162">INDIRECT("Tableau!$AL$138")</f>
        <v/>
      </c>
    </row>
    <row r="3163">
      <c r="A3163" s="402">
        <f t="array" ref="A3163">INDIRECT("Tableau!$A$139")</f>
        <v>405</v>
      </c>
      <c r="B3163" s="398" t="s">
        <v>477</v>
      </c>
      <c r="C3163" s="400" t="str">
        <f t="array" ref="C3163">INDIRECT("Tableau!$AK$139")</f>
        <v/>
      </c>
      <c r="D3163" s="400" t="str">
        <f t="shared" si="18"/>
        <v>IN</v>
      </c>
      <c r="E3163" s="403" t="str">
        <f t="array" ref="E3163">INDIRECT("Tableau!$AL$139")</f>
        <v/>
      </c>
    </row>
    <row r="3164">
      <c r="A3164" s="402">
        <f t="array" ref="A3164">INDIRECT("Tableau!$A$140")</f>
        <v>406</v>
      </c>
      <c r="B3164" s="398" t="s">
        <v>477</v>
      </c>
      <c r="C3164" s="400" t="str">
        <f t="array" ref="C3164">INDIRECT("Tableau!$AK$140")</f>
        <v/>
      </c>
      <c r="D3164" s="400" t="str">
        <f t="shared" si="18"/>
        <v>IN</v>
      </c>
      <c r="E3164" s="403" t="str">
        <f t="array" ref="E3164">INDIRECT("Tableau!$AL$140")</f>
        <v/>
      </c>
    </row>
    <row r="3165">
      <c r="A3165" s="402">
        <f t="array" ref="A3165">INDIRECT("Tableau!$A$141")</f>
        <v>407</v>
      </c>
      <c r="B3165" s="398" t="s">
        <v>477</v>
      </c>
      <c r="C3165" s="400" t="str">
        <f t="array" ref="C3165">INDIRECT("Tableau!$AK$141")</f>
        <v/>
      </c>
      <c r="D3165" s="400" t="str">
        <f t="shared" si="18"/>
        <v>IN</v>
      </c>
      <c r="E3165" s="403" t="str">
        <f t="array" ref="E3165">INDIRECT("Tableau!$AL$141")</f>
        <v/>
      </c>
    </row>
    <row r="3166">
      <c r="A3166" s="402">
        <f t="array" ref="A3166">INDIRECT("Tableau!$A$142")</f>
        <v>408</v>
      </c>
      <c r="B3166" s="398" t="s">
        <v>477</v>
      </c>
      <c r="C3166" s="400" t="str">
        <f t="array" ref="C3166">INDIRECT("Tableau!$AK$142")</f>
        <v/>
      </c>
      <c r="D3166" s="400" t="str">
        <f t="shared" si="18"/>
        <v>IN</v>
      </c>
      <c r="E3166" s="403" t="str">
        <f t="array" ref="E3166">INDIRECT("Tableau!$AL$142")</f>
        <v/>
      </c>
    </row>
    <row r="3167">
      <c r="A3167" s="402">
        <f t="array" ref="A3167">INDIRECT("Tableau!$A$143")</f>
        <v>409</v>
      </c>
      <c r="B3167" s="398" t="s">
        <v>477</v>
      </c>
      <c r="C3167" s="400" t="str">
        <f t="array" ref="C3167">INDIRECT("Tableau!$AK$143")</f>
        <v/>
      </c>
      <c r="D3167" s="400" t="str">
        <f t="shared" si="18"/>
        <v>IN</v>
      </c>
      <c r="E3167" s="403" t="str">
        <f t="array" ref="E3167">INDIRECT("Tableau!$AL$143")</f>
        <v/>
      </c>
    </row>
    <row r="3168">
      <c r="A3168" s="397">
        <f t="array" ref="A3168">INDIRECT("Tableau!$A$144")</f>
        <v>415</v>
      </c>
      <c r="B3168" s="398" t="s">
        <v>477</v>
      </c>
      <c r="C3168" s="400" t="str">
        <f t="array" ref="C3168">INDIRECT("Tableau!$AK$144")</f>
        <v/>
      </c>
      <c r="D3168" s="400" t="str">
        <f t="shared" si="18"/>
        <v>IN</v>
      </c>
      <c r="E3168" s="403" t="str">
        <f t="array" ref="E3168">INDIRECT("Tableau!$AL$144")</f>
        <v/>
      </c>
    </row>
    <row r="3169">
      <c r="A3169" s="397" t="str">
        <f t="array" ref="A3169">INDIRECT("Tableau!$A$145")</f>
        <v/>
      </c>
      <c r="B3169" s="398" t="s">
        <v>477</v>
      </c>
      <c r="C3169" s="400" t="str">
        <f t="array" ref="C3169">INDIRECT("Tableau!$AK$145")</f>
        <v/>
      </c>
      <c r="D3169" s="400" t="str">
        <f t="shared" si="18"/>
        <v>IN</v>
      </c>
      <c r="E3169" s="403" t="str">
        <f t="array" ref="E3169">INDIRECT("Tableau!$AL$145")</f>
        <v/>
      </c>
    </row>
    <row r="3170">
      <c r="A3170" s="397" t="str">
        <f t="array" ref="A3170">INDIRECT("Tableau!$A$146")</f>
        <v/>
      </c>
      <c r="B3170" s="398" t="s">
        <v>477</v>
      </c>
      <c r="C3170" s="400" t="str">
        <f t="array" ref="C3170">INDIRECT("Tableau!$AK$146")</f>
        <v/>
      </c>
      <c r="D3170" s="400" t="str">
        <f t="shared" si="18"/>
        <v>IN</v>
      </c>
      <c r="E3170" s="403" t="str">
        <f t="array" ref="E3170">INDIRECT("Tableau!$AL$146")</f>
        <v/>
      </c>
    </row>
    <row r="3171">
      <c r="A3171" s="397" t="str">
        <f t="array" ref="A3171">INDIRECT("Tableau!$A$147")</f>
        <v/>
      </c>
      <c r="B3171" s="398" t="s">
        <v>477</v>
      </c>
      <c r="C3171" s="400" t="str">
        <f t="array" ref="C3171">INDIRECT("Tableau!$AK$147")</f>
        <v/>
      </c>
      <c r="D3171" s="400" t="str">
        <f t="shared" si="18"/>
        <v>IN</v>
      </c>
      <c r="E3171" s="403" t="str">
        <f t="array" ref="E3171">INDIRECT("Tableau!$AL$147")</f>
        <v/>
      </c>
    </row>
    <row r="3172">
      <c r="A3172" s="397" t="str">
        <f t="array" ref="A3172">INDIRECT("Tableau!$A$148")</f>
        <v/>
      </c>
      <c r="B3172" s="398" t="s">
        <v>477</v>
      </c>
      <c r="C3172" s="400" t="str">
        <f t="array" ref="C3172">INDIRECT("Tableau!$AK$148")</f>
        <v/>
      </c>
      <c r="D3172" s="400" t="str">
        <f t="shared" si="18"/>
        <v>IN</v>
      </c>
      <c r="E3172" s="403" t="str">
        <f t="array" ref="E3172">INDIRECT("Tableau!$AL$148")</f>
        <v/>
      </c>
    </row>
    <row r="3173">
      <c r="A3173" s="397" t="str">
        <f t="array" ref="A3173">INDIRECT("Tableau!$A$149")</f>
        <v/>
      </c>
      <c r="B3173" s="398" t="s">
        <v>477</v>
      </c>
      <c r="C3173" s="400" t="str">
        <f t="array" ref="C3173">INDIRECT("Tableau!$AK$149")</f>
        <v/>
      </c>
      <c r="D3173" s="400" t="str">
        <f t="shared" si="18"/>
        <v>IN</v>
      </c>
      <c r="E3173" s="403" t="str">
        <f t="array" ref="E3173">INDIRECT("Tableau!$AL$149")</f>
        <v/>
      </c>
    </row>
    <row r="3174">
      <c r="A3174" s="397" t="str">
        <f t="array" ref="A3174">INDIRECT("Tableau!$A$150")</f>
        <v/>
      </c>
      <c r="B3174" s="398" t="s">
        <v>477</v>
      </c>
      <c r="C3174" s="400" t="str">
        <f t="array" ref="C3174">INDIRECT("Tableau!$AK$150")</f>
        <v/>
      </c>
      <c r="D3174" s="400" t="str">
        <f t="shared" si="18"/>
        <v>IN</v>
      </c>
      <c r="E3174" s="403" t="str">
        <f t="array" ref="E3174">INDIRECT("Tableau!$AL$150")</f>
        <v/>
      </c>
    </row>
    <row r="3175">
      <c r="A3175" s="397" t="str">
        <f t="array" ref="A3175">INDIRECT("Tableau!$A$151")</f>
        <v/>
      </c>
      <c r="B3175" s="398" t="s">
        <v>477</v>
      </c>
      <c r="C3175" s="400" t="str">
        <f t="array" ref="C3175">INDIRECT("Tableau!$AK$151")</f>
        <v/>
      </c>
      <c r="D3175" s="400" t="str">
        <f t="shared" si="18"/>
        <v>IN</v>
      </c>
      <c r="E3175" s="403" t="str">
        <f t="array" ref="E3175">INDIRECT("Tableau!$AL$151")</f>
        <v/>
      </c>
    </row>
    <row r="3176">
      <c r="A3176" s="397" t="str">
        <f t="array" ref="A3176">INDIRECT("Tableau!$A$152")</f>
        <v/>
      </c>
      <c r="B3176" s="398" t="s">
        <v>477</v>
      </c>
      <c r="C3176" s="400" t="str">
        <f t="array" ref="C3176">INDIRECT("Tableau!$AK$152")</f>
        <v/>
      </c>
      <c r="D3176" s="400" t="str">
        <f t="shared" si="18"/>
        <v>IN</v>
      </c>
      <c r="E3176" s="403" t="str">
        <f t="array" ref="E3176">INDIRECT("Tableau!$AL$152")</f>
        <v/>
      </c>
    </row>
    <row r="3177">
      <c r="A3177" s="397" t="str">
        <f t="array" ref="A3177">INDIRECT("Tableau!$A$153")</f>
        <v/>
      </c>
      <c r="B3177" s="398" t="s">
        <v>477</v>
      </c>
      <c r="C3177" s="400" t="str">
        <f t="array" ref="C3177">INDIRECT("Tableau!$AK$153")</f>
        <v/>
      </c>
      <c r="D3177" s="400" t="str">
        <f t="shared" si="18"/>
        <v>IN</v>
      </c>
      <c r="E3177" s="403" t="str">
        <f t="array" ref="E3177">INDIRECT("Tableau!$AL$153")</f>
        <v/>
      </c>
    </row>
    <row r="3178">
      <c r="A3178" s="402">
        <f t="array" ref="A3178">INDIRECT("Tableau!$A$154")</f>
        <v>501</v>
      </c>
      <c r="B3178" s="398" t="s">
        <v>477</v>
      </c>
      <c r="C3178" s="400" t="str">
        <f t="array" ref="C3178">INDIRECT("Tableau!$AK$154")</f>
        <v/>
      </c>
      <c r="D3178" s="400" t="str">
        <f t="shared" si="18"/>
        <v>IN</v>
      </c>
      <c r="E3178" s="403" t="str">
        <f t="array" ref="E3178">INDIRECT("Tableau!$AL$154")</f>
        <v/>
      </c>
    </row>
    <row r="3179">
      <c r="A3179" s="402">
        <f t="array" ref="A3179">INDIRECT("Tableau!$A$155")</f>
        <v>502</v>
      </c>
      <c r="B3179" s="398" t="s">
        <v>477</v>
      </c>
      <c r="C3179" s="400" t="str">
        <f t="array" ref="C3179">INDIRECT("Tableau!$AK$155")</f>
        <v>DPS</v>
      </c>
      <c r="D3179" s="400" t="str">
        <f t="shared" si="18"/>
        <v>IN</v>
      </c>
      <c r="E3179" s="403" t="str">
        <f t="array" ref="E3179">INDIRECT("Tableau!$AL$155")</f>
        <v/>
      </c>
    </row>
    <row r="3180">
      <c r="A3180" s="397" t="str">
        <f t="array" ref="A3180">INDIRECT("Tableau!$A$156")</f>
        <v/>
      </c>
      <c r="B3180" s="398" t="s">
        <v>477</v>
      </c>
      <c r="C3180" s="400" t="str">
        <f t="array" ref="C3180">INDIRECT("Tableau!$AK$156")</f>
        <v/>
      </c>
      <c r="D3180" s="400" t="str">
        <f t="shared" si="18"/>
        <v>IN</v>
      </c>
      <c r="E3180" s="403" t="str">
        <f t="array" ref="E3180">INDIRECT("Tableau!$AL$156")</f>
        <v/>
      </c>
    </row>
    <row r="3181">
      <c r="A3181" s="397" t="str">
        <f t="array" ref="A3181">INDIRECT("Tableau!$A$157")</f>
        <v/>
      </c>
      <c r="B3181" s="398" t="s">
        <v>477</v>
      </c>
      <c r="C3181" s="400" t="str">
        <f t="array" ref="C3181">INDIRECT("Tableau!$AK$157")</f>
        <v/>
      </c>
      <c r="D3181" s="400" t="str">
        <f t="shared" si="18"/>
        <v>IN</v>
      </c>
      <c r="E3181" s="403" t="str">
        <f t="array" ref="E3181">INDIRECT("Tableau!$AL$157")</f>
        <v/>
      </c>
    </row>
    <row r="3182">
      <c r="A3182" s="402">
        <f t="array" ref="A3182">INDIRECT("Tableau!$A$158")</f>
        <v>505</v>
      </c>
      <c r="B3182" s="398" t="s">
        <v>477</v>
      </c>
      <c r="C3182" s="400" t="str">
        <f t="array" ref="C3182">INDIRECT("Tableau!$AK$158")</f>
        <v>DPS</v>
      </c>
      <c r="D3182" s="400" t="str">
        <f t="shared" si="18"/>
        <v>IN</v>
      </c>
      <c r="E3182" s="403" t="str">
        <f t="array" ref="E3182">INDIRECT("Tableau!$AL$158")</f>
        <v/>
      </c>
    </row>
    <row r="3183">
      <c r="A3183" s="402">
        <f t="array" ref="A3183">INDIRECT("Tableau!$A$159")</f>
        <v>506</v>
      </c>
      <c r="B3183" s="398" t="s">
        <v>477</v>
      </c>
      <c r="C3183" s="400" t="str">
        <f t="array" ref="C3183">INDIRECT("Tableau!$AK$159")</f>
        <v/>
      </c>
      <c r="D3183" s="400" t="str">
        <f t="shared" si="18"/>
        <v>IN</v>
      </c>
      <c r="E3183" s="403" t="str">
        <f t="array" ref="E3183">INDIRECT("Tableau!$AL$159")</f>
        <v/>
      </c>
    </row>
    <row r="3184">
      <c r="A3184" s="402">
        <f t="array" ref="A3184">INDIRECT("Tableau!$A$160")</f>
        <v>507</v>
      </c>
      <c r="B3184" s="398" t="s">
        <v>477</v>
      </c>
      <c r="C3184" s="400" t="str">
        <f t="array" ref="C3184">INDIRECT("Tableau!$AK$160")</f>
        <v>DPS</v>
      </c>
      <c r="D3184" s="400" t="str">
        <f t="shared" si="18"/>
        <v>IN</v>
      </c>
      <c r="E3184" s="403" t="str">
        <f t="array" ref="E3184">INDIRECT("Tableau!$AL$160")</f>
        <v/>
      </c>
    </row>
    <row r="3185">
      <c r="A3185" s="402">
        <f t="array" ref="A3185">INDIRECT("Tableau!$A$161")</f>
        <v>508</v>
      </c>
      <c r="B3185" s="398" t="s">
        <v>477</v>
      </c>
      <c r="C3185" s="400" t="str">
        <f t="array" ref="C3185">INDIRECT("Tableau!$AK$161")</f>
        <v/>
      </c>
      <c r="D3185" s="400" t="str">
        <f t="shared" si="18"/>
        <v>IN</v>
      </c>
      <c r="E3185" s="403" t="str">
        <f t="array" ref="E3185">INDIRECT("Tableau!$AL$161")</f>
        <v/>
      </c>
    </row>
    <row r="3186">
      <c r="A3186" s="402">
        <f t="array" ref="A3186">INDIRECT("Tableau!$A$162")</f>
        <v>509</v>
      </c>
      <c r="B3186" s="398" t="s">
        <v>477</v>
      </c>
      <c r="C3186" s="400" t="str">
        <f t="array" ref="C3186">INDIRECT("Tableau!$AK$162")</f>
        <v/>
      </c>
      <c r="D3186" s="400" t="str">
        <f t="shared" si="18"/>
        <v>IN</v>
      </c>
      <c r="E3186" s="403" t="str">
        <f t="array" ref="E3186">INDIRECT("Tableau!$AL$162")</f>
        <v/>
      </c>
    </row>
    <row r="3187">
      <c r="A3187" s="397">
        <f t="array" ref="A3187">INDIRECT("Tableau!$A$163")</f>
        <v>510</v>
      </c>
      <c r="B3187" s="398" t="s">
        <v>477</v>
      </c>
      <c r="C3187" s="400" t="str">
        <f t="array" ref="C3187">INDIRECT("Tableau!$AK$163")</f>
        <v>DPS</v>
      </c>
      <c r="D3187" s="400" t="str">
        <f t="shared" si="18"/>
        <v>IN</v>
      </c>
      <c r="E3187" s="403" t="str">
        <f t="array" ref="E3187">INDIRECT("Tableau!$AL$163")</f>
        <v/>
      </c>
    </row>
    <row r="3188">
      <c r="A3188" s="397" t="str">
        <f t="array" ref="A3188">INDIRECT("Tableau!$A$164")</f>
        <v/>
      </c>
      <c r="B3188" s="398" t="s">
        <v>477</v>
      </c>
      <c r="C3188" s="400" t="str">
        <f t="array" ref="C3188">INDIRECT("Tableau!$AK$164")</f>
        <v/>
      </c>
      <c r="D3188" s="400" t="str">
        <f t="shared" si="18"/>
        <v>IN</v>
      </c>
      <c r="E3188" s="403" t="str">
        <f t="array" ref="E3188">INDIRECT("Tableau!$AL$164")</f>
        <v/>
      </c>
    </row>
    <row r="3189">
      <c r="A3189" s="397" t="str">
        <f t="array" ref="A3189">INDIRECT("Tableau!$A$165")</f>
        <v/>
      </c>
      <c r="B3189" s="398" t="s">
        <v>477</v>
      </c>
      <c r="C3189" s="400" t="str">
        <f t="array" ref="C3189">INDIRECT("Tableau!$AK$165")</f>
        <v/>
      </c>
      <c r="D3189" s="400" t="str">
        <f t="shared" si="18"/>
        <v>IN</v>
      </c>
      <c r="E3189" s="403" t="str">
        <f t="array" ref="E3189">INDIRECT("Tableau!$AL$165")</f>
        <v/>
      </c>
    </row>
    <row r="3190">
      <c r="A3190" s="402">
        <f t="array" ref="A3190">INDIRECT("Tableau!$A$166")</f>
        <v>527</v>
      </c>
      <c r="B3190" s="398" t="s">
        <v>477</v>
      </c>
      <c r="C3190" s="400" t="str">
        <f t="array" ref="C3190">INDIRECT("Tableau!$AK$166")</f>
        <v/>
      </c>
      <c r="D3190" s="400" t="str">
        <f t="shared" si="18"/>
        <v>IN</v>
      </c>
      <c r="E3190" s="403" t="str">
        <f t="array" ref="E3190">INDIRECT("Tableau!$AL$166")</f>
        <v/>
      </c>
    </row>
    <row r="3191">
      <c r="A3191" s="402">
        <f t="array" ref="A3191">INDIRECT("Tableau!$A$167")</f>
        <v>512</v>
      </c>
      <c r="B3191" s="398" t="s">
        <v>477</v>
      </c>
      <c r="C3191" s="400" t="str">
        <f t="array" ref="C3191">INDIRECT("Tableau!$AK$167")</f>
        <v/>
      </c>
      <c r="D3191" s="400" t="str">
        <f t="shared" si="18"/>
        <v>IN</v>
      </c>
      <c r="E3191" s="403" t="str">
        <f t="array" ref="E3191">INDIRECT("Tableau!$AL$167")</f>
        <v/>
      </c>
    </row>
    <row r="3192">
      <c r="A3192" s="402">
        <f t="array" ref="A3192">INDIRECT("Tableau!$A$168")</f>
        <v>513</v>
      </c>
      <c r="B3192" s="398" t="s">
        <v>477</v>
      </c>
      <c r="C3192" s="400" t="str">
        <f t="array" ref="C3192">INDIRECT("Tableau!$AK$168")</f>
        <v/>
      </c>
      <c r="D3192" s="400" t="str">
        <f t="shared" si="18"/>
        <v>IN</v>
      </c>
      <c r="E3192" s="403" t="str">
        <f t="array" ref="E3192">INDIRECT("Tableau!$AL$168")</f>
        <v/>
      </c>
    </row>
    <row r="3193">
      <c r="A3193" s="402">
        <f t="array" ref="A3193">INDIRECT("Tableau!$A$169")</f>
        <v>514</v>
      </c>
      <c r="B3193" s="398" t="s">
        <v>477</v>
      </c>
      <c r="C3193" s="400" t="str">
        <f t="array" ref="C3193">INDIRECT("Tableau!$AK$169")</f>
        <v/>
      </c>
      <c r="D3193" s="400" t="str">
        <f t="shared" si="18"/>
        <v>IN</v>
      </c>
      <c r="E3193" s="403" t="str">
        <f t="array" ref="E3193">INDIRECT("Tableau!$AL$169")</f>
        <v/>
      </c>
    </row>
    <row r="3194">
      <c r="A3194" s="402">
        <f t="array" ref="A3194">INDIRECT("Tableau!$A$170")</f>
        <v>515</v>
      </c>
      <c r="B3194" s="398" t="s">
        <v>477</v>
      </c>
      <c r="C3194" s="400" t="str">
        <f t="array" ref="C3194">INDIRECT("Tableau!$AK$170")</f>
        <v/>
      </c>
      <c r="D3194" s="400" t="str">
        <f t="shared" si="18"/>
        <v>IN</v>
      </c>
      <c r="E3194" s="403" t="str">
        <f t="array" ref="E3194">INDIRECT("Tableau!$AL$170")</f>
        <v/>
      </c>
    </row>
    <row r="3195">
      <c r="A3195" s="402">
        <f t="array" ref="A3195">INDIRECT("Tableau!$A$171")</f>
        <v>517</v>
      </c>
      <c r="B3195" s="398" t="s">
        <v>477</v>
      </c>
      <c r="C3195" s="400" t="str">
        <f t="array" ref="C3195">INDIRECT("Tableau!$AK$171")</f>
        <v/>
      </c>
      <c r="D3195" s="400" t="str">
        <f t="shared" si="18"/>
        <v>IN</v>
      </c>
      <c r="E3195" s="403" t="str">
        <f t="array" ref="E3195">INDIRECT("Tableau!$AL$171")</f>
        <v/>
      </c>
    </row>
    <row r="3196">
      <c r="A3196" s="402">
        <f t="array" ref="A3196">INDIRECT("Tableau!$A$172")</f>
        <v>518</v>
      </c>
      <c r="B3196" s="398" t="s">
        <v>477</v>
      </c>
      <c r="C3196" s="400" t="str">
        <f t="array" ref="C3196">INDIRECT("Tableau!$AK$172")</f>
        <v/>
      </c>
      <c r="D3196" s="400" t="str">
        <f t="shared" si="18"/>
        <v>IN</v>
      </c>
      <c r="E3196" s="403" t="str">
        <f t="array" ref="E3196">INDIRECT("Tableau!$AL$172")</f>
        <v/>
      </c>
    </row>
    <row r="3197">
      <c r="A3197" s="397" t="str">
        <f t="array" ref="A3197">INDIRECT("Tableau!$A$173")</f>
        <v/>
      </c>
      <c r="B3197" s="398" t="s">
        <v>477</v>
      </c>
      <c r="C3197" s="400" t="str">
        <f t="array" ref="C3197">INDIRECT("Tableau!$AK$173")</f>
        <v/>
      </c>
      <c r="D3197" s="400" t="str">
        <f t="shared" si="18"/>
        <v>IN</v>
      </c>
      <c r="E3197" s="403" t="str">
        <f t="array" ref="E3197">INDIRECT("Tableau!$AL$173")</f>
        <v/>
      </c>
    </row>
    <row r="3198">
      <c r="A3198" s="402">
        <f t="array" ref="A3198">INDIRECT("Tableau!$A$174")</f>
        <v>520</v>
      </c>
      <c r="B3198" s="398" t="s">
        <v>477</v>
      </c>
      <c r="C3198" s="400" t="str">
        <f t="array" ref="C3198">INDIRECT("Tableau!$AK$174")</f>
        <v/>
      </c>
      <c r="D3198" s="400" t="str">
        <f t="shared" si="18"/>
        <v>IN</v>
      </c>
      <c r="E3198" s="403" t="str">
        <f t="array" ref="E3198">INDIRECT("Tableau!$AL$174")</f>
        <v/>
      </c>
    </row>
    <row r="3199">
      <c r="A3199" s="402">
        <f t="array" ref="A3199">INDIRECT("Tableau!$A$175")</f>
        <v>521</v>
      </c>
      <c r="B3199" s="398" t="s">
        <v>477</v>
      </c>
      <c r="C3199" s="400" t="str">
        <f t="array" ref="C3199">INDIRECT("Tableau!$AK$175")</f>
        <v/>
      </c>
      <c r="D3199" s="400" t="str">
        <f t="shared" si="18"/>
        <v>IN</v>
      </c>
      <c r="E3199" s="403" t="str">
        <f t="array" ref="E3199">INDIRECT("Tableau!$AL$175")</f>
        <v/>
      </c>
    </row>
    <row r="3200">
      <c r="A3200" s="402">
        <f t="array" ref="A3200">INDIRECT("Tableau!$A$176")</f>
        <v>525</v>
      </c>
      <c r="B3200" s="398" t="s">
        <v>477</v>
      </c>
      <c r="C3200" s="400" t="str">
        <f t="array" ref="C3200">INDIRECT("Tableau!$AK$176")</f>
        <v/>
      </c>
      <c r="D3200" s="400" t="str">
        <f t="shared" si="18"/>
        <v>IN</v>
      </c>
      <c r="E3200" s="403" t="str">
        <f t="array" ref="E3200">INDIRECT("Tableau!$AL$176")</f>
        <v/>
      </c>
    </row>
    <row r="3201">
      <c r="A3201" s="402">
        <f t="array" ref="A3201">INDIRECT("Tableau!$A$177")</f>
        <v>530</v>
      </c>
      <c r="B3201" s="398" t="s">
        <v>477</v>
      </c>
      <c r="C3201" s="400" t="str">
        <f t="array" ref="C3201">INDIRECT("Tableau!$AK$177")</f>
        <v>DPS</v>
      </c>
      <c r="D3201" s="400" t="str">
        <f t="shared" si="18"/>
        <v>IN</v>
      </c>
      <c r="E3201" s="403" t="str">
        <f t="array" ref="E3201">INDIRECT("Tableau!$AL$177")</f>
        <v/>
      </c>
    </row>
    <row r="3202">
      <c r="A3202" s="397" t="str">
        <f t="array" ref="A3202">INDIRECT("Tableau!$A$178")</f>
        <v/>
      </c>
      <c r="B3202" s="398" t="s">
        <v>477</v>
      </c>
      <c r="C3202" s="400" t="str">
        <f t="array" ref="C3202">INDIRECT("Tableau!$AK$178")</f>
        <v/>
      </c>
      <c r="D3202" s="400" t="str">
        <f t="shared" si="18"/>
        <v>IN</v>
      </c>
      <c r="E3202" s="403" t="str">
        <f t="array" ref="E3202">INDIRECT("Tableau!$AL$178")</f>
        <v/>
      </c>
    </row>
    <row r="3203">
      <c r="A3203" s="397" t="str">
        <f t="array" ref="A3203">INDIRECT("Tableau!$A$179")</f>
        <v/>
      </c>
      <c r="B3203" s="398" t="s">
        <v>477</v>
      </c>
      <c r="C3203" s="400" t="str">
        <f t="array" ref="C3203">INDIRECT("Tableau!$AK$179")</f>
        <v/>
      </c>
      <c r="D3203" s="400" t="str">
        <f t="shared" si="18"/>
        <v>IN</v>
      </c>
      <c r="E3203" s="403" t="str">
        <f t="array" ref="E3203">INDIRECT("Tableau!$AL$179")</f>
        <v/>
      </c>
    </row>
    <row r="3204">
      <c r="A3204" s="397" t="str">
        <f t="array" ref="A3204">INDIRECT("Tableau!$A$180")</f>
        <v/>
      </c>
      <c r="B3204" s="398" t="s">
        <v>477</v>
      </c>
      <c r="C3204" s="400" t="str">
        <f t="array" ref="C3204">INDIRECT("Tableau!$AK$180")</f>
        <v/>
      </c>
      <c r="D3204" s="400" t="str">
        <f t="shared" si="18"/>
        <v>IN</v>
      </c>
      <c r="E3204" s="403" t="str">
        <f t="array" ref="E3204">INDIRECT("Tableau!$AL$180")</f>
        <v/>
      </c>
    </row>
    <row r="3205">
      <c r="A3205" s="397" t="str">
        <f t="array" ref="A3205">INDIRECT("Tableau!$A$181")</f>
        <v/>
      </c>
      <c r="B3205" s="398" t="s">
        <v>477</v>
      </c>
      <c r="C3205" s="400" t="str">
        <f t="array" ref="C3205">INDIRECT("Tableau!$AK$181")</f>
        <v/>
      </c>
      <c r="D3205" s="400" t="str">
        <f t="shared" si="18"/>
        <v>IN</v>
      </c>
      <c r="E3205" s="403" t="str">
        <f t="array" ref="E3205">INDIRECT("Tableau!$AL$181")</f>
        <v/>
      </c>
    </row>
    <row r="3206">
      <c r="A3206" s="397" t="str">
        <f t="array" ref="A3206">INDIRECT("Tableau!$A$182")</f>
        <v/>
      </c>
      <c r="B3206" s="398" t="s">
        <v>477</v>
      </c>
      <c r="C3206" s="400" t="str">
        <f t="array" ref="C3206">INDIRECT("Tableau!$AK$182")</f>
        <v/>
      </c>
      <c r="D3206" s="400" t="str">
        <f t="shared" si="18"/>
        <v>IN</v>
      </c>
      <c r="E3206" s="403" t="str">
        <f t="array" ref="E3206">INDIRECT("Tableau!$AL$182")</f>
        <v/>
      </c>
    </row>
    <row r="3207">
      <c r="A3207" s="397" t="str">
        <f t="array" ref="A3207">INDIRECT("Tableau!$A$183")</f>
        <v/>
      </c>
      <c r="B3207" s="398" t="s">
        <v>477</v>
      </c>
      <c r="C3207" s="400" t="str">
        <f t="array" ref="C3207">INDIRECT("Tableau!$AK$183")</f>
        <v/>
      </c>
      <c r="D3207" s="400" t="str">
        <f t="shared" si="18"/>
        <v>IN</v>
      </c>
      <c r="E3207" s="403" t="str">
        <f t="array" ref="E3207">INDIRECT("Tableau!$AL$183")</f>
        <v/>
      </c>
    </row>
    <row r="3208">
      <c r="A3208" s="397" t="str">
        <f t="array" ref="A3208">INDIRECT("Tableau!$A$184")</f>
        <v/>
      </c>
      <c r="B3208" s="398" t="s">
        <v>477</v>
      </c>
      <c r="C3208" s="400" t="str">
        <f t="array" ref="C3208">INDIRECT("Tableau!$AK$184")</f>
        <v/>
      </c>
      <c r="D3208" s="400" t="str">
        <f t="shared" si="18"/>
        <v>IN</v>
      </c>
      <c r="E3208" s="403" t="str">
        <f t="array" ref="E3208">INDIRECT("Tableau!$AL$184")</f>
        <v/>
      </c>
    </row>
    <row r="3209">
      <c r="A3209" s="397" t="str">
        <f t="array" ref="A3209">INDIRECT("Tableau!$A$185")</f>
        <v/>
      </c>
      <c r="B3209" s="398" t="s">
        <v>477</v>
      </c>
      <c r="C3209" s="400" t="str">
        <f t="array" ref="C3209">INDIRECT("Tableau!$AK$185")</f>
        <v/>
      </c>
      <c r="D3209" s="400" t="str">
        <f t="shared" si="18"/>
        <v>IN</v>
      </c>
      <c r="E3209" s="403" t="str">
        <f t="array" ref="E3209">INDIRECT("Tableau!$AL$185")</f>
        <v/>
      </c>
    </row>
    <row r="3210">
      <c r="A3210" s="397" t="str">
        <f t="array" ref="A3210">INDIRECT("Tableau!$A$186")</f>
        <v/>
      </c>
      <c r="B3210" s="398" t="s">
        <v>477</v>
      </c>
      <c r="C3210" s="400" t="str">
        <f t="array" ref="C3210">INDIRECT("Tableau!$AK$186")</f>
        <v/>
      </c>
      <c r="D3210" s="400" t="str">
        <f t="shared" si="18"/>
        <v>IN</v>
      </c>
      <c r="E3210" s="403" t="str">
        <f t="array" ref="E3210">INDIRECT("Tableau!$AL$186")</f>
        <v/>
      </c>
    </row>
    <row r="3211">
      <c r="A3211" s="397" t="str">
        <f t="array" ref="A3211">INDIRECT("Tableau!$A$187")</f>
        <v/>
      </c>
      <c r="B3211" s="398" t="s">
        <v>477</v>
      </c>
      <c r="C3211" s="400" t="str">
        <f t="array" ref="C3211">INDIRECT("Tableau!$AK$187")</f>
        <v/>
      </c>
      <c r="D3211" s="400" t="str">
        <f t="shared" si="18"/>
        <v>IN</v>
      </c>
      <c r="E3211" s="403" t="str">
        <f t="array" ref="E3211">INDIRECT("Tableau!$AL$187")</f>
        <v/>
      </c>
    </row>
    <row r="3212">
      <c r="A3212" s="397" t="str">
        <f t="array" ref="A3212">INDIRECT("Tableau!$A$188")</f>
        <v/>
      </c>
      <c r="B3212" s="398" t="s">
        <v>477</v>
      </c>
      <c r="C3212" s="400" t="str">
        <f t="array" ref="C3212">INDIRECT("Tableau!$AK$188")</f>
        <v/>
      </c>
      <c r="D3212" s="400" t="str">
        <f t="shared" si="18"/>
        <v>IN</v>
      </c>
      <c r="E3212" s="403" t="str">
        <f t="array" ref="E3212">INDIRECT("Tableau!$AL$188")</f>
        <v/>
      </c>
    </row>
    <row r="3213">
      <c r="A3213" s="397" t="str">
        <f t="array" ref="A3213">INDIRECT("Tableau!$A$189")</f>
        <v/>
      </c>
      <c r="B3213" s="398" t="s">
        <v>477</v>
      </c>
      <c r="C3213" s="400" t="str">
        <f t="array" ref="C3213">INDIRECT("Tableau!$AK$189")</f>
        <v/>
      </c>
      <c r="D3213" s="400" t="str">
        <f t="shared" si="18"/>
        <v>IN</v>
      </c>
      <c r="E3213" s="403" t="str">
        <f t="array" ref="E3213">INDIRECT("Tableau!$AL$189")</f>
        <v/>
      </c>
    </row>
    <row r="3214">
      <c r="A3214" s="397" t="str">
        <f t="array" ref="A3214">INDIRECT("Tableau!$A$190")</f>
        <v/>
      </c>
      <c r="B3214" s="398" t="s">
        <v>477</v>
      </c>
      <c r="C3214" s="400" t="str">
        <f t="array" ref="C3214">INDIRECT("Tableau!$AK$190")</f>
        <v/>
      </c>
      <c r="D3214" s="400" t="str">
        <f t="shared" si="18"/>
        <v>IN</v>
      </c>
      <c r="E3214" s="403" t="str">
        <f t="array" ref="E3214">INDIRECT("Tableau!$AL$190")</f>
        <v/>
      </c>
    </row>
    <row r="3215">
      <c r="A3215" s="397" t="str">
        <f t="array" ref="A3215">INDIRECT("Tableau!$A$2")</f>
        <v/>
      </c>
      <c r="B3215" s="398" t="s">
        <v>477</v>
      </c>
      <c r="C3215" s="400" t="str">
        <f t="array" ref="C3215">INDIRECT("Tableau!$AM$2")</f>
        <v/>
      </c>
      <c r="D3215" s="400" t="str">
        <f t="shared" ref="D3215:D3403" si="19">INDIRECT("Tableau!$AN$1")</f>
        <v>OUT</v>
      </c>
      <c r="E3215" s="403" t="str">
        <f t="array" ref="E3215">INDIRECT("Tableau!$AN$2")</f>
        <v/>
      </c>
    </row>
    <row r="3216">
      <c r="A3216" s="402">
        <f t="array" ref="A3216">INDIRECT("Tableau!$A$3")</f>
        <v>102</v>
      </c>
      <c r="B3216" s="398" t="s">
        <v>477</v>
      </c>
      <c r="C3216" s="400" t="str">
        <f t="array" ref="C3216">INDIRECT("Tableau!$AM$3")</f>
        <v/>
      </c>
      <c r="D3216" s="400" t="str">
        <f t="shared" si="19"/>
        <v>OUT</v>
      </c>
      <c r="E3216" s="403" t="str">
        <f t="array" ref="E3216">INDIRECT("Tableau!$AN$3")</f>
        <v/>
      </c>
    </row>
    <row r="3217">
      <c r="A3217" s="397" t="str">
        <f t="array" ref="A3217">INDIRECT("Tableau!$A$4")</f>
        <v/>
      </c>
      <c r="B3217" s="398" t="s">
        <v>477</v>
      </c>
      <c r="C3217" s="400" t="str">
        <f t="array" ref="C3217">INDIRECT("Tableau!$AM$4")</f>
        <v/>
      </c>
      <c r="D3217" s="400" t="str">
        <f t="shared" si="19"/>
        <v>OUT</v>
      </c>
      <c r="E3217" s="403" t="str">
        <f t="array" ref="E3217">INDIRECT("Tableau!$AN$4")</f>
        <v/>
      </c>
    </row>
    <row r="3218">
      <c r="A3218" s="402">
        <f t="array" ref="A3218">INDIRECT("Tableau!$A$5")</f>
        <v>104</v>
      </c>
      <c r="B3218" s="398" t="s">
        <v>477</v>
      </c>
      <c r="C3218" s="400" t="str">
        <f t="array" ref="C3218">INDIRECT("Tableau!$AM$5")</f>
        <v/>
      </c>
      <c r="D3218" s="400" t="str">
        <f t="shared" si="19"/>
        <v>OUT</v>
      </c>
      <c r="E3218" s="403" t="str">
        <f t="array" ref="E3218">INDIRECT("Tableau!$AN$5")</f>
        <v/>
      </c>
    </row>
    <row r="3219">
      <c r="A3219" s="402">
        <f t="array" ref="A3219">INDIRECT("Tableau!$A$6")</f>
        <v>105</v>
      </c>
      <c r="B3219" s="398" t="s">
        <v>477</v>
      </c>
      <c r="C3219" s="400" t="str">
        <f t="array" ref="C3219">INDIRECT("Tableau!$AM$6")</f>
        <v/>
      </c>
      <c r="D3219" s="400" t="str">
        <f t="shared" si="19"/>
        <v>OUT</v>
      </c>
      <c r="E3219" s="403" t="str">
        <f t="array" ref="E3219">INDIRECT("Tableau!$AN$6")</f>
        <v/>
      </c>
    </row>
    <row r="3220">
      <c r="A3220" s="402">
        <f t="array" ref="A3220">INDIRECT("Tableau!$A$7")</f>
        <v>106</v>
      </c>
      <c r="B3220" s="398" t="s">
        <v>477</v>
      </c>
      <c r="C3220" s="400" t="str">
        <f t="array" ref="C3220">INDIRECT("Tableau!$AM$7")</f>
        <v/>
      </c>
      <c r="D3220" s="400" t="str">
        <f t="shared" si="19"/>
        <v>OUT</v>
      </c>
      <c r="E3220" s="403" t="str">
        <f t="array" ref="E3220">INDIRECT("Tableau!$AN$7")</f>
        <v/>
      </c>
    </row>
    <row r="3221">
      <c r="A3221" s="402">
        <f t="array" ref="A3221">INDIRECT("Tableau!$A$8")</f>
        <v>107</v>
      </c>
      <c r="B3221" s="398" t="s">
        <v>477</v>
      </c>
      <c r="C3221" s="400" t="str">
        <f t="array" ref="C3221">INDIRECT("Tableau!$AM$8")</f>
        <v/>
      </c>
      <c r="D3221" s="400" t="str">
        <f t="shared" si="19"/>
        <v>OUT</v>
      </c>
      <c r="E3221" s="403" t="str">
        <f t="array" ref="E3221">INDIRECT("Tableau!$AN$8")</f>
        <v/>
      </c>
    </row>
    <row r="3222">
      <c r="A3222" s="397">
        <f t="array" ref="A3222">INDIRECT("Tableau!$A$9")</f>
        <v>108</v>
      </c>
      <c r="B3222" s="398" t="s">
        <v>477</v>
      </c>
      <c r="C3222" s="400" t="str">
        <f t="array" ref="C3222">INDIRECT("Tableau!$AM$9")</f>
        <v/>
      </c>
      <c r="D3222" s="400" t="str">
        <f t="shared" si="19"/>
        <v>OUT</v>
      </c>
      <c r="E3222" s="403" t="str">
        <f t="array" ref="E3222">INDIRECT("Tableau!$AN$9")</f>
        <v/>
      </c>
    </row>
    <row r="3223">
      <c r="A3223" s="402">
        <f t="array" ref="A3223">INDIRECT("Tableau!$A$10")</f>
        <v>109</v>
      </c>
      <c r="B3223" s="398" t="s">
        <v>477</v>
      </c>
      <c r="C3223" s="400" t="str">
        <f t="array" ref="C3223">INDIRECT("Tableau!$AM$10")</f>
        <v/>
      </c>
      <c r="D3223" s="400" t="str">
        <f t="shared" si="19"/>
        <v>OUT</v>
      </c>
      <c r="E3223" s="403" t="str">
        <f t="array" ref="E3223">INDIRECT("Tableau!$AN$10")</f>
        <v/>
      </c>
    </row>
    <row r="3224">
      <c r="A3224" s="402">
        <f t="array" ref="A3224">INDIRECT("Tableau!$A$11")</f>
        <v>110</v>
      </c>
      <c r="B3224" s="398" t="s">
        <v>477</v>
      </c>
      <c r="C3224" s="400" t="str">
        <f t="array" ref="C3224">INDIRECT("Tableau!$AM$11")</f>
        <v/>
      </c>
      <c r="D3224" s="400" t="str">
        <f t="shared" si="19"/>
        <v>OUT</v>
      </c>
      <c r="E3224" s="403" t="str">
        <f t="array" ref="E3224">INDIRECT("Tableau!$AN$11")</f>
        <v/>
      </c>
    </row>
    <row r="3225">
      <c r="A3225" s="402">
        <f t="array" ref="A3225">INDIRECT("Tableau!$A$12")</f>
        <v>111</v>
      </c>
      <c r="B3225" s="398" t="s">
        <v>477</v>
      </c>
      <c r="C3225" s="400" t="str">
        <f t="array" ref="C3225">INDIRECT("Tableau!$AM$12")</f>
        <v/>
      </c>
      <c r="D3225" s="400" t="str">
        <f t="shared" si="19"/>
        <v>OUT</v>
      </c>
      <c r="E3225" s="403" t="str">
        <f t="array" ref="E3225">INDIRECT("Tableau!$AN$12")</f>
        <v/>
      </c>
    </row>
    <row r="3226">
      <c r="A3226" s="402">
        <f t="array" ref="A3226">INDIRECT("Tableau!$A$13")</f>
        <v>112</v>
      </c>
      <c r="B3226" s="398" t="s">
        <v>477</v>
      </c>
      <c r="C3226" s="400" t="str">
        <f t="array" ref="C3226">INDIRECT("Tableau!$AM$13")</f>
        <v/>
      </c>
      <c r="D3226" s="400" t="str">
        <f t="shared" si="19"/>
        <v>OUT</v>
      </c>
      <c r="E3226" s="403" t="str">
        <f t="array" ref="E3226">INDIRECT("Tableau!$AN$13")</f>
        <v/>
      </c>
    </row>
    <row r="3227">
      <c r="A3227" s="402">
        <f t="array" ref="A3227">INDIRECT("Tableau!$A$14")</f>
        <v>113</v>
      </c>
      <c r="B3227" s="398" t="s">
        <v>477</v>
      </c>
      <c r="C3227" s="400" t="str">
        <f t="array" ref="C3227">INDIRECT("Tableau!$AM$14")</f>
        <v/>
      </c>
      <c r="D3227" s="400" t="str">
        <f t="shared" si="19"/>
        <v>OUT</v>
      </c>
      <c r="E3227" s="403" t="str">
        <f t="array" ref="E3227">INDIRECT("Tableau!$AN$14")</f>
        <v/>
      </c>
    </row>
    <row r="3228">
      <c r="A3228" s="397">
        <f t="array" ref="A3228">INDIRECT("Tableau!$A$15")</f>
        <v>114</v>
      </c>
      <c r="B3228" s="398" t="s">
        <v>477</v>
      </c>
      <c r="C3228" s="400" t="str">
        <f t="array" ref="C3228">INDIRECT("Tableau!$AM$15")</f>
        <v/>
      </c>
      <c r="D3228" s="400" t="str">
        <f t="shared" si="19"/>
        <v>OUT</v>
      </c>
      <c r="E3228" s="403" t="str">
        <f t="array" ref="E3228">INDIRECT("Tableau!$AN$15")</f>
        <v/>
      </c>
    </row>
    <row r="3229">
      <c r="A3229" s="397" t="str">
        <f t="array" ref="A3229">INDIRECT("Tableau!$A$16")</f>
        <v/>
      </c>
      <c r="B3229" s="398" t="s">
        <v>477</v>
      </c>
      <c r="C3229" s="400" t="str">
        <f t="array" ref="C3229">INDIRECT("Tableau!$AM$16")</f>
        <v/>
      </c>
      <c r="D3229" s="400" t="str">
        <f t="shared" si="19"/>
        <v>OUT</v>
      </c>
      <c r="E3229" s="403" t="str">
        <f t="array" ref="E3229">INDIRECT("Tableau!$AN$16")</f>
        <v/>
      </c>
    </row>
    <row r="3230">
      <c r="A3230" s="397" t="str">
        <f t="array" ref="A3230">INDIRECT("Tableau!$A$17")</f>
        <v/>
      </c>
      <c r="B3230" s="398" t="s">
        <v>477</v>
      </c>
      <c r="C3230" s="400" t="str">
        <f t="array" ref="C3230">INDIRECT("Tableau!$AM$17")</f>
        <v/>
      </c>
      <c r="D3230" s="400" t="str">
        <f t="shared" si="19"/>
        <v>OUT</v>
      </c>
      <c r="E3230" s="403" t="str">
        <f t="array" ref="E3230">INDIRECT("Tableau!$AN$17")</f>
        <v/>
      </c>
    </row>
    <row r="3231">
      <c r="A3231" s="397" t="str">
        <f t="array" ref="A3231">INDIRECT("Tableau!$A$18")</f>
        <v/>
      </c>
      <c r="B3231" s="398" t="s">
        <v>477</v>
      </c>
      <c r="C3231" s="400" t="str">
        <f t="array" ref="C3231">INDIRECT("Tableau!$AM$18")</f>
        <v/>
      </c>
      <c r="D3231" s="400" t="str">
        <f t="shared" si="19"/>
        <v>OUT</v>
      </c>
      <c r="E3231" s="403" t="str">
        <f t="array" ref="E3231">INDIRECT("Tableau!$AN$18")</f>
        <v/>
      </c>
    </row>
    <row r="3232">
      <c r="A3232" s="397" t="str">
        <f t="array" ref="A3232">INDIRECT("Tableau!$A$19")</f>
        <v/>
      </c>
      <c r="B3232" s="398" t="s">
        <v>477</v>
      </c>
      <c r="C3232" s="400" t="str">
        <f t="array" ref="C3232">INDIRECT("Tableau!$AM$19")</f>
        <v/>
      </c>
      <c r="D3232" s="400" t="str">
        <f t="shared" si="19"/>
        <v>OUT</v>
      </c>
      <c r="E3232" s="403" t="str">
        <f t="array" ref="E3232">INDIRECT("Tableau!$AN$19")</f>
        <v/>
      </c>
    </row>
    <row r="3233">
      <c r="A3233" s="397" t="str">
        <f t="array" ref="A3233">INDIRECT("Tableau!$A$20")</f>
        <v/>
      </c>
      <c r="B3233" s="398" t="s">
        <v>477</v>
      </c>
      <c r="C3233" s="400" t="str">
        <f t="array" ref="C3233">INDIRECT("Tableau!$AM$20")</f>
        <v/>
      </c>
      <c r="D3233" s="400" t="str">
        <f t="shared" si="19"/>
        <v>OUT</v>
      </c>
      <c r="E3233" s="403" t="str">
        <f t="array" ref="E3233">INDIRECT("Tableau!$AN$20")</f>
        <v/>
      </c>
    </row>
    <row r="3234">
      <c r="A3234" s="397" t="str">
        <f t="array" ref="A3234">INDIRECT("Tableau!$A$21")</f>
        <v/>
      </c>
      <c r="B3234" s="398" t="s">
        <v>477</v>
      </c>
      <c r="C3234" s="400" t="str">
        <f t="array" ref="C3234">INDIRECT("Tableau!$AM$21")</f>
        <v/>
      </c>
      <c r="D3234" s="400" t="str">
        <f t="shared" si="19"/>
        <v>OUT</v>
      </c>
      <c r="E3234" s="403" t="str">
        <f t="array" ref="E3234">INDIRECT("Tableau!$AN$21")</f>
        <v/>
      </c>
    </row>
    <row r="3235">
      <c r="A3235" s="397" t="str">
        <f t="array" ref="A3235">INDIRECT("Tableau!$A$22")</f>
        <v/>
      </c>
      <c r="B3235" s="398" t="s">
        <v>477</v>
      </c>
      <c r="C3235" s="400" t="str">
        <f t="array" ref="C3235">INDIRECT("Tableau!$AM$22")</f>
        <v/>
      </c>
      <c r="D3235" s="400" t="str">
        <f t="shared" si="19"/>
        <v>OUT</v>
      </c>
      <c r="E3235" s="403" t="str">
        <f t="array" ref="E3235">INDIRECT("Tableau!$AN$22")</f>
        <v/>
      </c>
    </row>
    <row r="3236">
      <c r="A3236" s="397" t="str">
        <f t="array" ref="A3236">INDIRECT("Tableau!$A$23")</f>
        <v/>
      </c>
      <c r="B3236" s="398" t="s">
        <v>477</v>
      </c>
      <c r="C3236" s="400" t="str">
        <f t="array" ref="C3236">INDIRECT("Tableau!$AM$23")</f>
        <v/>
      </c>
      <c r="D3236" s="400" t="str">
        <f t="shared" si="19"/>
        <v>OUT</v>
      </c>
      <c r="E3236" s="403" t="str">
        <f t="array" ref="E3236">INDIRECT("Tableau!$AN$23")</f>
        <v/>
      </c>
    </row>
    <row r="3237">
      <c r="A3237" s="397" t="str">
        <f t="array" ref="A3237">INDIRECT("Tableau!$A$24")</f>
        <v/>
      </c>
      <c r="B3237" s="398" t="s">
        <v>477</v>
      </c>
      <c r="C3237" s="400" t="str">
        <f t="array" ref="C3237">INDIRECT("Tableau!$AM$24")</f>
        <v/>
      </c>
      <c r="D3237" s="400" t="str">
        <f t="shared" si="19"/>
        <v>OUT</v>
      </c>
      <c r="E3237" s="403" t="str">
        <f t="array" ref="E3237">INDIRECT("Tableau!$AN$24")</f>
        <v/>
      </c>
    </row>
    <row r="3238">
      <c r="A3238" s="397" t="str">
        <f t="array" ref="A3238">INDIRECT("Tableau!$A$25")</f>
        <v/>
      </c>
      <c r="B3238" s="398" t="s">
        <v>477</v>
      </c>
      <c r="C3238" s="400" t="str">
        <f t="array" ref="C3238">INDIRECT("Tableau!$AM$25")</f>
        <v/>
      </c>
      <c r="D3238" s="400" t="str">
        <f t="shared" si="19"/>
        <v>OUT</v>
      </c>
      <c r="E3238" s="403" t="str">
        <f t="array" ref="E3238">INDIRECT("Tableau!$AN$25")</f>
        <v/>
      </c>
    </row>
    <row r="3239">
      <c r="A3239" s="402">
        <f t="array" ref="A3239">INDIRECT("Tableau!$A$26")</f>
        <v>201</v>
      </c>
      <c r="B3239" s="398" t="s">
        <v>477</v>
      </c>
      <c r="C3239" s="400" t="str">
        <f t="array" ref="C3239">INDIRECT("Tableau!$AM$26")</f>
        <v/>
      </c>
      <c r="D3239" s="400" t="str">
        <f t="shared" si="19"/>
        <v>OUT</v>
      </c>
      <c r="E3239" s="403" t="str">
        <f t="array" ref="E3239">INDIRECT("Tableau!$AN$26")</f>
        <v/>
      </c>
    </row>
    <row r="3240">
      <c r="A3240" s="402">
        <f t="array" ref="A3240">INDIRECT("Tableau!$A$27")</f>
        <v>202</v>
      </c>
      <c r="B3240" s="398" t="s">
        <v>477</v>
      </c>
      <c r="C3240" s="400" t="str">
        <f t="array" ref="C3240">INDIRECT("Tableau!$AM$27")</f>
        <v/>
      </c>
      <c r="D3240" s="400" t="str">
        <f t="shared" si="19"/>
        <v>OUT</v>
      </c>
      <c r="E3240" s="403" t="str">
        <f t="array" ref="E3240">INDIRECT("Tableau!$AN$27")</f>
        <v/>
      </c>
    </row>
    <row r="3241">
      <c r="A3241" s="402">
        <f t="array" ref="A3241">INDIRECT("Tableau!$A$28")</f>
        <v>203</v>
      </c>
      <c r="B3241" s="398" t="s">
        <v>477</v>
      </c>
      <c r="C3241" s="400" t="str">
        <f t="array" ref="C3241">INDIRECT("Tableau!$AM$28")</f>
        <v/>
      </c>
      <c r="D3241" s="400" t="str">
        <f t="shared" si="19"/>
        <v>OUT</v>
      </c>
      <c r="E3241" s="403" t="str">
        <f t="array" ref="E3241">INDIRECT("Tableau!$AN$28")</f>
        <v/>
      </c>
    </row>
    <row r="3242">
      <c r="A3242" s="402">
        <f t="array" ref="A3242">INDIRECT("Tableau!$A$29")</f>
        <v>204</v>
      </c>
      <c r="B3242" s="398" t="s">
        <v>477</v>
      </c>
      <c r="C3242" s="400" t="str">
        <f t="array" ref="C3242">INDIRECT("Tableau!$AM$29")</f>
        <v/>
      </c>
      <c r="D3242" s="400" t="str">
        <f t="shared" si="19"/>
        <v>OUT</v>
      </c>
      <c r="E3242" s="403" t="str">
        <f t="array" ref="E3242">INDIRECT("Tableau!$AN$29")</f>
        <v/>
      </c>
    </row>
    <row r="3243">
      <c r="A3243" s="402">
        <f t="array" ref="A3243">INDIRECT("Tableau!$A$30")</f>
        <v>205</v>
      </c>
      <c r="B3243" s="398" t="s">
        <v>477</v>
      </c>
      <c r="C3243" s="400" t="str">
        <f t="array" ref="C3243">INDIRECT("Tableau!$AM$30")</f>
        <v/>
      </c>
      <c r="D3243" s="400" t="str">
        <f t="shared" si="19"/>
        <v>OUT</v>
      </c>
      <c r="E3243" s="403" t="str">
        <f t="array" ref="E3243">INDIRECT("Tableau!$AN$30")</f>
        <v/>
      </c>
    </row>
    <row r="3244">
      <c r="A3244" s="402">
        <f t="array" ref="A3244">INDIRECT("Tableau!$A$31")</f>
        <v>206</v>
      </c>
      <c r="B3244" s="398" t="s">
        <v>477</v>
      </c>
      <c r="C3244" s="400" t="str">
        <f t="array" ref="C3244">INDIRECT("Tableau!$AM$31")</f>
        <v/>
      </c>
      <c r="D3244" s="400" t="str">
        <f t="shared" si="19"/>
        <v>OUT</v>
      </c>
      <c r="E3244" s="403" t="str">
        <f t="array" ref="E3244">INDIRECT("Tableau!$AN$31")</f>
        <v/>
      </c>
    </row>
    <row r="3245">
      <c r="A3245" s="402">
        <f t="array" ref="A3245">INDIRECT("Tableau!$A$32")</f>
        <v>207</v>
      </c>
      <c r="B3245" s="398" t="s">
        <v>477</v>
      </c>
      <c r="C3245" s="400" t="str">
        <f t="array" ref="C3245">INDIRECT("Tableau!$AM$32")</f>
        <v/>
      </c>
      <c r="D3245" s="400" t="str">
        <f t="shared" si="19"/>
        <v>OUT</v>
      </c>
      <c r="E3245" s="403" t="str">
        <f t="array" ref="E3245">INDIRECT("Tableau!$AN$32")</f>
        <v/>
      </c>
    </row>
    <row r="3246">
      <c r="A3246" s="402">
        <f t="array" ref="A3246">INDIRECT("Tableau!$A$33")</f>
        <v>208</v>
      </c>
      <c r="B3246" s="398" t="s">
        <v>477</v>
      </c>
      <c r="C3246" s="400" t="str">
        <f t="array" ref="C3246">INDIRECT("Tableau!$AM$33")</f>
        <v/>
      </c>
      <c r="D3246" s="400" t="str">
        <f t="shared" si="19"/>
        <v>OUT</v>
      </c>
      <c r="E3246" s="403" t="str">
        <f t="array" ref="E3246">INDIRECT("Tableau!$AN$33")</f>
        <v/>
      </c>
    </row>
    <row r="3247">
      <c r="A3247" s="402">
        <f t="array" ref="A3247">INDIRECT("Tableau!$A$34")</f>
        <v>209</v>
      </c>
      <c r="B3247" s="398" t="s">
        <v>477</v>
      </c>
      <c r="C3247" s="400" t="str">
        <f t="array" ref="C3247">INDIRECT("Tableau!$AM$34")</f>
        <v/>
      </c>
      <c r="D3247" s="400" t="str">
        <f t="shared" si="19"/>
        <v>OUT</v>
      </c>
      <c r="E3247" s="403" t="str">
        <f t="array" ref="E3247">INDIRECT("Tableau!$AN$34")</f>
        <v/>
      </c>
    </row>
    <row r="3248">
      <c r="A3248" s="402">
        <f t="array" ref="A3248">INDIRECT("Tableau!$A$35")</f>
        <v>210</v>
      </c>
      <c r="B3248" s="398" t="s">
        <v>477</v>
      </c>
      <c r="C3248" s="400" t="str">
        <f t="array" ref="C3248">INDIRECT("Tableau!$AM$35")</f>
        <v/>
      </c>
      <c r="D3248" s="400" t="str">
        <f t="shared" si="19"/>
        <v>OUT</v>
      </c>
      <c r="E3248" s="403" t="str">
        <f t="array" ref="E3248">INDIRECT("Tableau!$AN$35")</f>
        <v/>
      </c>
    </row>
    <row r="3249">
      <c r="A3249" s="402">
        <f t="array" ref="A3249">INDIRECT("Tableau!$A$36")</f>
        <v>211</v>
      </c>
      <c r="B3249" s="398" t="s">
        <v>477</v>
      </c>
      <c r="C3249" s="400" t="str">
        <f t="array" ref="C3249">INDIRECT("Tableau!$AM$36")</f>
        <v/>
      </c>
      <c r="D3249" s="400" t="str">
        <f t="shared" si="19"/>
        <v>OUT</v>
      </c>
      <c r="E3249" s="403" t="str">
        <f t="array" ref="E3249">INDIRECT("Tableau!$AN$36")</f>
        <v/>
      </c>
    </row>
    <row r="3250">
      <c r="A3250" s="402">
        <f t="array" ref="A3250">INDIRECT("Tableau!$A$37")</f>
        <v>212</v>
      </c>
      <c r="B3250" s="398" t="s">
        <v>477</v>
      </c>
      <c r="C3250" s="400" t="str">
        <f t="array" ref="C3250">INDIRECT("Tableau!$AM$37")</f>
        <v/>
      </c>
      <c r="D3250" s="400" t="str">
        <f t="shared" si="19"/>
        <v>OUT</v>
      </c>
      <c r="E3250" s="403" t="str">
        <f t="array" ref="E3250">INDIRECT("Tableau!$AN$37")</f>
        <v/>
      </c>
    </row>
    <row r="3251">
      <c r="A3251" s="402">
        <f t="array" ref="A3251">INDIRECT("Tableau!$A$38")</f>
        <v>213</v>
      </c>
      <c r="B3251" s="398" t="s">
        <v>477</v>
      </c>
      <c r="C3251" s="400" t="str">
        <f t="array" ref="C3251">INDIRECT("Tableau!$AM$38")</f>
        <v/>
      </c>
      <c r="D3251" s="400" t="str">
        <f t="shared" si="19"/>
        <v>OUT</v>
      </c>
      <c r="E3251" s="403" t="str">
        <f t="array" ref="E3251">INDIRECT("Tableau!$AN$38")</f>
        <v/>
      </c>
    </row>
    <row r="3252">
      <c r="A3252" s="402">
        <f t="array" ref="A3252">INDIRECT("Tableau!$A$39")</f>
        <v>214</v>
      </c>
      <c r="B3252" s="398" t="s">
        <v>477</v>
      </c>
      <c r="C3252" s="400" t="str">
        <f t="array" ref="C3252">INDIRECT("Tableau!$AM$39")</f>
        <v/>
      </c>
      <c r="D3252" s="400" t="str">
        <f t="shared" si="19"/>
        <v>OUT</v>
      </c>
      <c r="E3252" s="403" t="str">
        <f t="array" ref="E3252">INDIRECT("Tableau!$AN$39")</f>
        <v/>
      </c>
    </row>
    <row r="3253">
      <c r="A3253" s="402">
        <f t="array" ref="A3253">INDIRECT("Tableau!$A$40")</f>
        <v>215</v>
      </c>
      <c r="B3253" s="398" t="s">
        <v>477</v>
      </c>
      <c r="C3253" s="400" t="str">
        <f t="array" ref="C3253">INDIRECT("Tableau!$AM$40")</f>
        <v/>
      </c>
      <c r="D3253" s="400" t="str">
        <f t="shared" si="19"/>
        <v>OUT</v>
      </c>
      <c r="E3253" s="403" t="str">
        <f t="array" ref="E3253">INDIRECT("Tableau!$AN$40")</f>
        <v/>
      </c>
    </row>
    <row r="3254">
      <c r="A3254" s="402">
        <f t="array" ref="A3254">INDIRECT("Tableau!$A$41")</f>
        <v>216</v>
      </c>
      <c r="B3254" s="398" t="s">
        <v>477</v>
      </c>
      <c r="C3254" s="400" t="str">
        <f t="array" ref="C3254">INDIRECT("Tableau!$AM$41")</f>
        <v/>
      </c>
      <c r="D3254" s="400" t="str">
        <f t="shared" si="19"/>
        <v>OUT</v>
      </c>
      <c r="E3254" s="403" t="str">
        <f t="array" ref="E3254">INDIRECT("Tableau!$AN$41")</f>
        <v/>
      </c>
    </row>
    <row r="3255">
      <c r="A3255" s="402">
        <f t="array" ref="A3255">INDIRECT("Tableau!$A$42")</f>
        <v>227</v>
      </c>
      <c r="B3255" s="398" t="s">
        <v>477</v>
      </c>
      <c r="C3255" s="400" t="str">
        <f t="array" ref="C3255">INDIRECT("Tableau!$AM$42")</f>
        <v/>
      </c>
      <c r="D3255" s="400" t="str">
        <f t="shared" si="19"/>
        <v>OUT</v>
      </c>
      <c r="E3255" s="403" t="str">
        <f t="array" ref="E3255">INDIRECT("Tableau!$AN$42")</f>
        <v/>
      </c>
    </row>
    <row r="3256">
      <c r="A3256" s="402">
        <f t="array" ref="A3256">INDIRECT("Tableau!$A$43")</f>
        <v>217</v>
      </c>
      <c r="B3256" s="398" t="s">
        <v>477</v>
      </c>
      <c r="C3256" s="400" t="str">
        <f t="array" ref="C3256">INDIRECT("Tableau!$AM$43")</f>
        <v/>
      </c>
      <c r="D3256" s="400" t="str">
        <f t="shared" si="19"/>
        <v>OUT</v>
      </c>
      <c r="E3256" s="403" t="str">
        <f t="array" ref="E3256">INDIRECT("Tableau!$AN$43")</f>
        <v/>
      </c>
    </row>
    <row r="3257">
      <c r="A3257" s="402">
        <f t="array" ref="A3257">INDIRECT("Tableau!$A$44")</f>
        <v>218</v>
      </c>
      <c r="B3257" s="398" t="s">
        <v>477</v>
      </c>
      <c r="C3257" s="400" t="str">
        <f t="array" ref="C3257">INDIRECT("Tableau!$AM$44")</f>
        <v/>
      </c>
      <c r="D3257" s="400" t="str">
        <f t="shared" si="19"/>
        <v>OUT</v>
      </c>
      <c r="E3257" s="403" t="str">
        <f t="array" ref="E3257">INDIRECT("Tableau!$AN$44")</f>
        <v/>
      </c>
    </row>
    <row r="3258">
      <c r="A3258" s="397" t="str">
        <f t="array" ref="A3258">INDIRECT("Tableau!$A$45")</f>
        <v/>
      </c>
      <c r="B3258" s="398" t="s">
        <v>477</v>
      </c>
      <c r="C3258" s="400" t="str">
        <f t="array" ref="C3258">INDIRECT("Tableau!$AM$45")</f>
        <v/>
      </c>
      <c r="D3258" s="400" t="str">
        <f t="shared" si="19"/>
        <v>OUT</v>
      </c>
      <c r="E3258" s="403" t="str">
        <f t="array" ref="E3258">INDIRECT("Tableau!$AN$45")</f>
        <v/>
      </c>
    </row>
    <row r="3259">
      <c r="A3259" s="402">
        <f t="array" ref="A3259">INDIRECT("Tableau!$A$46")</f>
        <v>220</v>
      </c>
      <c r="B3259" s="398" t="s">
        <v>477</v>
      </c>
      <c r="C3259" s="400" t="str">
        <f t="array" ref="C3259">INDIRECT("Tableau!$AM$46")</f>
        <v/>
      </c>
      <c r="D3259" s="400" t="str">
        <f t="shared" si="19"/>
        <v>OUT</v>
      </c>
      <c r="E3259" s="403" t="str">
        <f t="array" ref="E3259">INDIRECT("Tableau!$AN$46")</f>
        <v/>
      </c>
    </row>
    <row r="3260">
      <c r="A3260" s="402">
        <f t="array" ref="A3260">INDIRECT("Tableau!$A$47")</f>
        <v>221</v>
      </c>
      <c r="B3260" s="398" t="s">
        <v>477</v>
      </c>
      <c r="C3260" s="400" t="str">
        <f t="array" ref="C3260">INDIRECT("Tableau!$AM$47")</f>
        <v/>
      </c>
      <c r="D3260" s="400" t="str">
        <f t="shared" si="19"/>
        <v>OUT</v>
      </c>
      <c r="E3260" s="403" t="str">
        <f t="array" ref="E3260">INDIRECT("Tableau!$AN$47")</f>
        <v/>
      </c>
    </row>
    <row r="3261">
      <c r="A3261" s="402">
        <f t="array" ref="A3261">INDIRECT("Tableau!$A$48")</f>
        <v>226</v>
      </c>
      <c r="B3261" s="398" t="s">
        <v>477</v>
      </c>
      <c r="C3261" s="400" t="str">
        <f t="array" ref="C3261">INDIRECT("Tableau!$AM$48")</f>
        <v/>
      </c>
      <c r="D3261" s="400" t="str">
        <f t="shared" si="19"/>
        <v>OUT</v>
      </c>
      <c r="E3261" s="403" t="str">
        <f t="array" ref="E3261">INDIRECT("Tableau!$AN$48")</f>
        <v/>
      </c>
    </row>
    <row r="3262">
      <c r="A3262" s="402">
        <f t="array" ref="A3262">INDIRECT("Tableau!$A$49")</f>
        <v>222</v>
      </c>
      <c r="B3262" s="398" t="s">
        <v>477</v>
      </c>
      <c r="C3262" s="400" t="str">
        <f t="array" ref="C3262">INDIRECT("Tableau!$AM$49")</f>
        <v/>
      </c>
      <c r="D3262" s="400" t="str">
        <f t="shared" si="19"/>
        <v>OUT</v>
      </c>
      <c r="E3262" s="403" t="str">
        <f t="array" ref="E3262">INDIRECT("Tableau!$AN$49")</f>
        <v/>
      </c>
    </row>
    <row r="3263">
      <c r="A3263" s="402">
        <f t="array" ref="A3263">INDIRECT("Tableau!$A$50")</f>
        <v>224</v>
      </c>
      <c r="B3263" s="398" t="s">
        <v>477</v>
      </c>
      <c r="C3263" s="400" t="str">
        <f t="array" ref="C3263">INDIRECT("Tableau!$AM$50")</f>
        <v/>
      </c>
      <c r="D3263" s="400" t="str">
        <f t="shared" si="19"/>
        <v>OUT</v>
      </c>
      <c r="E3263" s="403" t="str">
        <f t="array" ref="E3263">INDIRECT("Tableau!$AN$50")</f>
        <v/>
      </c>
    </row>
    <row r="3264">
      <c r="A3264" s="397">
        <f t="array" ref="A3264">INDIRECT("Tableau!$A$51")</f>
        <v>223</v>
      </c>
      <c r="B3264" s="398" t="s">
        <v>477</v>
      </c>
      <c r="C3264" s="400" t="str">
        <f t="array" ref="C3264">INDIRECT("Tableau!$AM$51")</f>
        <v/>
      </c>
      <c r="D3264" s="400" t="str">
        <f t="shared" si="19"/>
        <v>OUT</v>
      </c>
      <c r="E3264" s="403" t="str">
        <f t="array" ref="E3264">INDIRECT("Tableau!$AN$51")</f>
        <v/>
      </c>
    </row>
    <row r="3265">
      <c r="A3265" s="402">
        <f t="array" ref="A3265">INDIRECT("Tableau!$A$52")</f>
        <v>225</v>
      </c>
      <c r="B3265" s="398" t="s">
        <v>477</v>
      </c>
      <c r="C3265" s="400" t="str">
        <f t="array" ref="C3265">INDIRECT("Tableau!$AM$52")</f>
        <v/>
      </c>
      <c r="D3265" s="400" t="str">
        <f t="shared" si="19"/>
        <v>OUT</v>
      </c>
      <c r="E3265" s="403" t="str">
        <f t="array" ref="E3265">INDIRECT("Tableau!$AN$52")</f>
        <v/>
      </c>
    </row>
    <row r="3266">
      <c r="A3266" s="402">
        <f t="array" ref="A3266">INDIRECT("Tableau!$A$53")</f>
        <v>230</v>
      </c>
      <c r="B3266" s="398" t="s">
        <v>477</v>
      </c>
      <c r="C3266" s="400" t="str">
        <f t="array" ref="C3266">INDIRECT("Tableau!$AM$53")</f>
        <v/>
      </c>
      <c r="D3266" s="400" t="str">
        <f t="shared" si="19"/>
        <v>OUT</v>
      </c>
      <c r="E3266" s="403" t="str">
        <f t="array" ref="E3266">INDIRECT("Tableau!$AN$53")</f>
        <v/>
      </c>
    </row>
    <row r="3267">
      <c r="A3267" s="397">
        <f t="array" ref="A3267">INDIRECT("Tableau!$A$54")</f>
        <v>231</v>
      </c>
      <c r="B3267" s="398" t="s">
        <v>477</v>
      </c>
      <c r="C3267" s="400" t="str">
        <f t="array" ref="C3267">INDIRECT("Tableau!$AM$54")</f>
        <v/>
      </c>
      <c r="D3267" s="400" t="str">
        <f t="shared" si="19"/>
        <v>OUT</v>
      </c>
      <c r="E3267" s="403" t="str">
        <f t="array" ref="E3267">INDIRECT("Tableau!$AN$54")</f>
        <v/>
      </c>
    </row>
    <row r="3268">
      <c r="A3268" s="397" t="str">
        <f t="array" ref="A3268">INDIRECT("Tableau!$A$55")</f>
        <v/>
      </c>
      <c r="B3268" s="398" t="s">
        <v>477</v>
      </c>
      <c r="C3268" s="400" t="str">
        <f t="array" ref="C3268">INDIRECT("Tableau!$AM$55")</f>
        <v/>
      </c>
      <c r="D3268" s="400" t="str">
        <f t="shared" si="19"/>
        <v>OUT</v>
      </c>
      <c r="E3268" s="403" t="str">
        <f t="array" ref="E3268">INDIRECT("Tableau!$AN$55")</f>
        <v/>
      </c>
    </row>
    <row r="3269">
      <c r="A3269" s="397" t="str">
        <f t="array" ref="A3269">INDIRECT("Tableau!$A$56")</f>
        <v/>
      </c>
      <c r="B3269" s="398" t="s">
        <v>477</v>
      </c>
      <c r="C3269" s="400" t="str">
        <f t="array" ref="C3269">INDIRECT("Tableau!$AM$56")</f>
        <v/>
      </c>
      <c r="D3269" s="400" t="str">
        <f t="shared" si="19"/>
        <v>OUT</v>
      </c>
      <c r="E3269" s="403" t="str">
        <f t="array" ref="E3269">INDIRECT("Tableau!$AN$56")</f>
        <v/>
      </c>
    </row>
    <row r="3270">
      <c r="A3270" s="397" t="str">
        <f t="array" ref="A3270">INDIRECT("Tableau!$A$57")</f>
        <v/>
      </c>
      <c r="B3270" s="398" t="s">
        <v>477</v>
      </c>
      <c r="C3270" s="400" t="str">
        <f t="array" ref="C3270">INDIRECT("Tableau!$AM$57")</f>
        <v/>
      </c>
      <c r="D3270" s="400" t="str">
        <f t="shared" si="19"/>
        <v>OUT</v>
      </c>
      <c r="E3270" s="403" t="str">
        <f t="array" ref="E3270">INDIRECT("Tableau!$AN$57")</f>
        <v/>
      </c>
    </row>
    <row r="3271">
      <c r="A3271" s="397" t="str">
        <f t="array" ref="A3271">INDIRECT("Tableau!$A$58")</f>
        <v/>
      </c>
      <c r="B3271" s="398" t="s">
        <v>477</v>
      </c>
      <c r="C3271" s="400" t="str">
        <f t="array" ref="C3271">INDIRECT("Tableau!$AM$58")</f>
        <v/>
      </c>
      <c r="D3271" s="400" t="str">
        <f t="shared" si="19"/>
        <v>OUT</v>
      </c>
      <c r="E3271" s="403" t="str">
        <f t="array" ref="E3271">INDIRECT("Tableau!$AN$58")</f>
        <v/>
      </c>
    </row>
    <row r="3272">
      <c r="A3272" s="397" t="str">
        <f t="array" ref="A3272">INDIRECT("Tableau!$A$59")</f>
        <v/>
      </c>
      <c r="B3272" s="398" t="s">
        <v>477</v>
      </c>
      <c r="C3272" s="400" t="str">
        <f t="array" ref="C3272">INDIRECT("Tableau!$AM$59")</f>
        <v/>
      </c>
      <c r="D3272" s="400" t="str">
        <f t="shared" si="19"/>
        <v>OUT</v>
      </c>
      <c r="E3272" s="403" t="str">
        <f t="array" ref="E3272">INDIRECT("Tableau!$AN$59")</f>
        <v/>
      </c>
    </row>
    <row r="3273">
      <c r="A3273" s="397" t="str">
        <f t="array" ref="A3273">INDIRECT("Tableau!$A$60")</f>
        <v/>
      </c>
      <c r="B3273" s="398" t="s">
        <v>477</v>
      </c>
      <c r="C3273" s="400" t="str">
        <f t="array" ref="C3273">INDIRECT("Tableau!$AM$60")</f>
        <v/>
      </c>
      <c r="D3273" s="400" t="str">
        <f t="shared" si="19"/>
        <v>OUT</v>
      </c>
      <c r="E3273" s="403" t="str">
        <f t="array" ref="E3273">INDIRECT("Tableau!$AN$60")</f>
        <v/>
      </c>
    </row>
    <row r="3274">
      <c r="A3274" s="397" t="str">
        <f t="array" ref="A3274">INDIRECT("Tableau!$A$61")</f>
        <v/>
      </c>
      <c r="B3274" s="398" t="s">
        <v>477</v>
      </c>
      <c r="C3274" s="400" t="str">
        <f t="array" ref="C3274">INDIRECT("Tableau!$AM$61")</f>
        <v/>
      </c>
      <c r="D3274" s="400" t="str">
        <f t="shared" si="19"/>
        <v>OUT</v>
      </c>
      <c r="E3274" s="403" t="str">
        <f t="array" ref="E3274">INDIRECT("Tableau!$AN$61")</f>
        <v/>
      </c>
    </row>
    <row r="3275">
      <c r="A3275" s="397" t="str">
        <f t="array" ref="A3275">INDIRECT("Tableau!$A$62")</f>
        <v/>
      </c>
      <c r="B3275" s="398" t="s">
        <v>477</v>
      </c>
      <c r="C3275" s="400" t="str">
        <f t="array" ref="C3275">INDIRECT("Tableau!$AM$62")</f>
        <v/>
      </c>
      <c r="D3275" s="400" t="str">
        <f t="shared" si="19"/>
        <v>OUT</v>
      </c>
      <c r="E3275" s="403" t="str">
        <f t="array" ref="E3275">INDIRECT("Tableau!$AN$62")</f>
        <v/>
      </c>
    </row>
    <row r="3276">
      <c r="A3276" s="397" t="str">
        <f t="array" ref="A3276">INDIRECT("Tableau!$A$63")</f>
        <v/>
      </c>
      <c r="B3276" s="398" t="s">
        <v>477</v>
      </c>
      <c r="C3276" s="400" t="str">
        <f t="array" ref="C3276">INDIRECT("Tableau!$AM$63")</f>
        <v/>
      </c>
      <c r="D3276" s="400" t="str">
        <f t="shared" si="19"/>
        <v>OUT</v>
      </c>
      <c r="E3276" s="403" t="str">
        <f t="array" ref="E3276">INDIRECT("Tableau!$AN$63")</f>
        <v/>
      </c>
    </row>
    <row r="3277">
      <c r="A3277" s="397" t="str">
        <f t="array" ref="A3277">INDIRECT("Tableau!$A$64")</f>
        <v/>
      </c>
      <c r="B3277" s="398" t="s">
        <v>477</v>
      </c>
      <c r="C3277" s="400" t="str">
        <f t="array" ref="C3277">INDIRECT("Tableau!$AM$64")</f>
        <v/>
      </c>
      <c r="D3277" s="400" t="str">
        <f t="shared" si="19"/>
        <v>OUT</v>
      </c>
      <c r="E3277" s="403" t="str">
        <f t="array" ref="E3277">INDIRECT("Tableau!$AN$64")</f>
        <v/>
      </c>
    </row>
    <row r="3278">
      <c r="A3278" s="402">
        <f t="array" ref="A3278">INDIRECT("Tableau!$A$65")</f>
        <v>301</v>
      </c>
      <c r="B3278" s="398" t="s">
        <v>477</v>
      </c>
      <c r="C3278" s="400" t="str">
        <f t="array" ref="C3278">INDIRECT("Tableau!$AM$65")</f>
        <v/>
      </c>
      <c r="D3278" s="400" t="str">
        <f t="shared" si="19"/>
        <v>OUT</v>
      </c>
      <c r="E3278" s="403" t="str">
        <f t="array" ref="E3278">INDIRECT("Tableau!$AN$65")</f>
        <v/>
      </c>
    </row>
    <row r="3279">
      <c r="A3279" s="397" t="str">
        <f t="array" ref="A3279">INDIRECT("Tableau!$A$66")</f>
        <v/>
      </c>
      <c r="B3279" s="398" t="s">
        <v>477</v>
      </c>
      <c r="C3279" s="400" t="str">
        <f t="array" ref="C3279">INDIRECT("Tableau!$AM$66")</f>
        <v/>
      </c>
      <c r="D3279" s="400" t="str">
        <f t="shared" si="19"/>
        <v>OUT</v>
      </c>
      <c r="E3279" s="403" t="str">
        <f t="array" ref="E3279">INDIRECT("Tableau!$AN$66")</f>
        <v/>
      </c>
    </row>
    <row r="3280">
      <c r="A3280" s="402">
        <f t="array" ref="A3280">INDIRECT("Tableau!$A$67")</f>
        <v>303</v>
      </c>
      <c r="B3280" s="398" t="s">
        <v>477</v>
      </c>
      <c r="C3280" s="400" t="str">
        <f t="array" ref="C3280">INDIRECT("Tableau!$AM$67")</f>
        <v/>
      </c>
      <c r="D3280" s="400" t="str">
        <f t="shared" si="19"/>
        <v>OUT</v>
      </c>
      <c r="E3280" s="403" t="str">
        <f t="array" ref="E3280">INDIRECT("Tableau!$AN$67")</f>
        <v/>
      </c>
    </row>
    <row r="3281">
      <c r="A3281" s="402">
        <f t="array" ref="A3281">INDIRECT("Tableau!$A$68")</f>
        <v>304</v>
      </c>
      <c r="B3281" s="398" t="s">
        <v>477</v>
      </c>
      <c r="C3281" s="400" t="str">
        <f t="array" ref="C3281">INDIRECT("Tableau!$AM$68")</f>
        <v/>
      </c>
      <c r="D3281" s="400" t="str">
        <f t="shared" si="19"/>
        <v>OUT</v>
      </c>
      <c r="E3281" s="403" t="str">
        <f t="array" ref="E3281">INDIRECT("Tableau!$AN$68")</f>
        <v/>
      </c>
    </row>
    <row r="3282">
      <c r="A3282" s="402">
        <f t="array" ref="A3282">INDIRECT("Tableau!$A$69")</f>
        <v>305</v>
      </c>
      <c r="B3282" s="398" t="s">
        <v>477</v>
      </c>
      <c r="C3282" s="400" t="str">
        <f t="array" ref="C3282">INDIRECT("Tableau!$AM$69")</f>
        <v/>
      </c>
      <c r="D3282" s="400" t="str">
        <f t="shared" si="19"/>
        <v>OUT</v>
      </c>
      <c r="E3282" s="403" t="str">
        <f t="array" ref="E3282">INDIRECT("Tableau!$AN$69")</f>
        <v/>
      </c>
    </row>
    <row r="3283">
      <c r="A3283" s="402">
        <f t="array" ref="A3283">INDIRECT("Tableau!$A$70")</f>
        <v>306</v>
      </c>
      <c r="B3283" s="398" t="s">
        <v>477</v>
      </c>
      <c r="C3283" s="400" t="str">
        <f t="array" ref="C3283">INDIRECT("Tableau!$AM$70")</f>
        <v/>
      </c>
      <c r="D3283" s="400" t="str">
        <f t="shared" si="19"/>
        <v>OUT</v>
      </c>
      <c r="E3283" s="403" t="str">
        <f t="array" ref="E3283">INDIRECT("Tableau!$AN$70")</f>
        <v/>
      </c>
    </row>
    <row r="3284">
      <c r="A3284" s="402">
        <f t="array" ref="A3284">INDIRECT("Tableau!$A$71")</f>
        <v>307</v>
      </c>
      <c r="B3284" s="398" t="s">
        <v>477</v>
      </c>
      <c r="C3284" s="400" t="str">
        <f t="array" ref="C3284">INDIRECT("Tableau!$AM$71")</f>
        <v/>
      </c>
      <c r="D3284" s="400" t="str">
        <f t="shared" si="19"/>
        <v>OUT</v>
      </c>
      <c r="E3284" s="403" t="str">
        <f t="array" ref="E3284">INDIRECT("Tableau!$AN$71")</f>
        <v/>
      </c>
    </row>
    <row r="3285">
      <c r="A3285" s="397">
        <f t="array" ref="A3285">INDIRECT("Tableau!$A$72")</f>
        <v>367</v>
      </c>
      <c r="B3285" s="398" t="s">
        <v>477</v>
      </c>
      <c r="C3285" s="400" t="str">
        <f t="array" ref="C3285">INDIRECT("Tableau!$AM$72")</f>
        <v/>
      </c>
      <c r="D3285" s="400" t="str">
        <f t="shared" si="19"/>
        <v>OUT</v>
      </c>
      <c r="E3285" s="403" t="str">
        <f t="array" ref="E3285">INDIRECT("Tableau!$AN$72")</f>
        <v/>
      </c>
    </row>
    <row r="3286">
      <c r="A3286" s="402">
        <f t="array" ref="A3286">INDIRECT("Tableau!$A$73")</f>
        <v>308</v>
      </c>
      <c r="B3286" s="398" t="s">
        <v>477</v>
      </c>
      <c r="C3286" s="400" t="str">
        <f t="array" ref="C3286">INDIRECT("Tableau!$AM$73")</f>
        <v/>
      </c>
      <c r="D3286" s="400" t="str">
        <f t="shared" si="19"/>
        <v>OUT</v>
      </c>
      <c r="E3286" s="403" t="str">
        <f t="array" ref="E3286">INDIRECT("Tableau!$AN$73")</f>
        <v/>
      </c>
    </row>
    <row r="3287">
      <c r="A3287" s="397">
        <f t="array" ref="A3287">INDIRECT("Tableau!$A$74")</f>
        <v>319</v>
      </c>
      <c r="B3287" s="398" t="s">
        <v>477</v>
      </c>
      <c r="C3287" s="400" t="str">
        <f t="array" ref="C3287">INDIRECT("Tableau!$AM$74")</f>
        <v/>
      </c>
      <c r="D3287" s="400" t="str">
        <f t="shared" si="19"/>
        <v>OUT</v>
      </c>
      <c r="E3287" s="403" t="str">
        <f t="array" ref="E3287">INDIRECT("Tableau!$AN$74")</f>
        <v/>
      </c>
    </row>
    <row r="3288">
      <c r="A3288" s="402">
        <f t="array" ref="A3288">INDIRECT("Tableau!$A$75")</f>
        <v>309</v>
      </c>
      <c r="B3288" s="398" t="s">
        <v>477</v>
      </c>
      <c r="C3288" s="400" t="str">
        <f t="array" ref="C3288">INDIRECT("Tableau!$AM$75")</f>
        <v/>
      </c>
      <c r="D3288" s="400" t="str">
        <f t="shared" si="19"/>
        <v>OUT</v>
      </c>
      <c r="E3288" s="403" t="str">
        <f t="array" ref="E3288">INDIRECT("Tableau!$AN$75")</f>
        <v/>
      </c>
    </row>
    <row r="3289">
      <c r="A3289" s="402">
        <f t="array" ref="A3289">INDIRECT("Tableau!$A$76")</f>
        <v>310</v>
      </c>
      <c r="B3289" s="398" t="s">
        <v>477</v>
      </c>
      <c r="C3289" s="400" t="str">
        <f t="array" ref="C3289">INDIRECT("Tableau!$AM$76")</f>
        <v>DPS</v>
      </c>
      <c r="D3289" s="400" t="str">
        <f t="shared" si="19"/>
        <v>OUT</v>
      </c>
      <c r="E3289" s="403" t="str">
        <f t="array" ref="E3289">INDIRECT("Tableau!$AN$76")</f>
        <v/>
      </c>
    </row>
    <row r="3290">
      <c r="A3290" s="402">
        <f t="array" ref="A3290">INDIRECT("Tableau!$A$77")</f>
        <v>311</v>
      </c>
      <c r="B3290" s="398" t="s">
        <v>477</v>
      </c>
      <c r="C3290" s="400" t="str">
        <f t="array" ref="C3290">INDIRECT("Tableau!$AM$77")</f>
        <v/>
      </c>
      <c r="D3290" s="400" t="str">
        <f t="shared" si="19"/>
        <v>OUT</v>
      </c>
      <c r="E3290" s="403" t="str">
        <f t="array" ref="E3290">INDIRECT("Tableau!$AN$77")</f>
        <v/>
      </c>
    </row>
    <row r="3291">
      <c r="A3291" s="402">
        <f t="array" ref="A3291">INDIRECT("Tableau!$A$78")</f>
        <v>312</v>
      </c>
      <c r="B3291" s="398" t="s">
        <v>477</v>
      </c>
      <c r="C3291" s="400" t="str">
        <f t="array" ref="C3291">INDIRECT("Tableau!$AM$78")</f>
        <v/>
      </c>
      <c r="D3291" s="400" t="str">
        <f t="shared" si="19"/>
        <v>OUT</v>
      </c>
      <c r="E3291" s="403" t="str">
        <f t="array" ref="E3291">INDIRECT("Tableau!$AN$78")</f>
        <v/>
      </c>
    </row>
    <row r="3292">
      <c r="A3292" s="402">
        <f t="array" ref="A3292">INDIRECT("Tableau!$A$79")</f>
        <v>313</v>
      </c>
      <c r="B3292" s="398" t="s">
        <v>477</v>
      </c>
      <c r="C3292" s="400" t="str">
        <f t="array" ref="C3292">INDIRECT("Tableau!$AM$79")</f>
        <v/>
      </c>
      <c r="D3292" s="400" t="str">
        <f t="shared" si="19"/>
        <v>OUT</v>
      </c>
      <c r="E3292" s="403" t="str">
        <f t="array" ref="E3292">INDIRECT("Tableau!$AN$79")</f>
        <v/>
      </c>
    </row>
    <row r="3293">
      <c r="A3293" s="402">
        <f t="array" ref="A3293">INDIRECT("Tableau!$A$80")</f>
        <v>314</v>
      </c>
      <c r="B3293" s="398" t="s">
        <v>477</v>
      </c>
      <c r="C3293" s="400" t="str">
        <f t="array" ref="C3293">INDIRECT("Tableau!$AM$80")</f>
        <v/>
      </c>
      <c r="D3293" s="400" t="str">
        <f t="shared" si="19"/>
        <v>OUT</v>
      </c>
      <c r="E3293" s="403" t="str">
        <f t="array" ref="E3293">INDIRECT("Tableau!$AN$80")</f>
        <v/>
      </c>
    </row>
    <row r="3294">
      <c r="A3294" s="402">
        <f t="array" ref="A3294">INDIRECT("Tableau!$A$81")</f>
        <v>315</v>
      </c>
      <c r="B3294" s="398" t="s">
        <v>477</v>
      </c>
      <c r="C3294" s="400" t="str">
        <f t="array" ref="C3294">INDIRECT("Tableau!$AM$81")</f>
        <v/>
      </c>
      <c r="D3294" s="400" t="str">
        <f t="shared" si="19"/>
        <v>OUT</v>
      </c>
      <c r="E3294" s="403" t="str">
        <f t="array" ref="E3294">INDIRECT("Tableau!$AN$81")</f>
        <v/>
      </c>
    </row>
    <row r="3295">
      <c r="A3295" s="402">
        <f t="array" ref="A3295">INDIRECT("Tableau!$A$82")</f>
        <v>316</v>
      </c>
      <c r="B3295" s="398" t="s">
        <v>477</v>
      </c>
      <c r="C3295" s="400" t="str">
        <f t="array" ref="C3295">INDIRECT("Tableau!$AM$82")</f>
        <v/>
      </c>
      <c r="D3295" s="400" t="str">
        <f t="shared" si="19"/>
        <v>OUT</v>
      </c>
      <c r="E3295" s="403" t="str">
        <f t="array" ref="E3295">INDIRECT("Tableau!$AN$82")</f>
        <v/>
      </c>
    </row>
    <row r="3296">
      <c r="A3296" s="402">
        <f t="array" ref="A3296">INDIRECT("Tableau!$A$83")</f>
        <v>317</v>
      </c>
      <c r="B3296" s="398" t="s">
        <v>477</v>
      </c>
      <c r="C3296" s="400" t="str">
        <f t="array" ref="C3296">INDIRECT("Tableau!$AM$83")</f>
        <v/>
      </c>
      <c r="D3296" s="400" t="str">
        <f t="shared" si="19"/>
        <v>OUT</v>
      </c>
      <c r="E3296" s="403" t="str">
        <f t="array" ref="E3296">INDIRECT("Tableau!$AN$83")</f>
        <v/>
      </c>
    </row>
    <row r="3297">
      <c r="A3297" s="402">
        <f t="array" ref="A3297">INDIRECT("Tableau!$A$84")</f>
        <v>318</v>
      </c>
      <c r="B3297" s="398" t="s">
        <v>477</v>
      </c>
      <c r="C3297" s="400" t="str">
        <f t="array" ref="C3297">INDIRECT("Tableau!$AM$84")</f>
        <v/>
      </c>
      <c r="D3297" s="400" t="str">
        <f t="shared" si="19"/>
        <v>OUT</v>
      </c>
      <c r="E3297" s="403" t="str">
        <f t="array" ref="E3297">INDIRECT("Tableau!$AN$84")</f>
        <v/>
      </c>
    </row>
    <row r="3298">
      <c r="A3298" s="402">
        <f t="array" ref="A3298">INDIRECT("Tableau!$A$85")</f>
        <v>320</v>
      </c>
      <c r="B3298" s="398" t="s">
        <v>477</v>
      </c>
      <c r="C3298" s="400" t="str">
        <f t="array" ref="C3298">INDIRECT("Tableau!$AM$85")</f>
        <v/>
      </c>
      <c r="D3298" s="400" t="str">
        <f t="shared" si="19"/>
        <v>OUT</v>
      </c>
      <c r="E3298" s="403" t="str">
        <f t="array" ref="E3298">INDIRECT("Tableau!$AN$85")</f>
        <v/>
      </c>
    </row>
    <row r="3299">
      <c r="A3299" s="402">
        <f t="array" ref="A3299">INDIRECT("Tableau!$A$86")</f>
        <v>321</v>
      </c>
      <c r="B3299" s="398" t="s">
        <v>477</v>
      </c>
      <c r="C3299" s="400" t="str">
        <f t="array" ref="C3299">INDIRECT("Tableau!$AM$86")</f>
        <v/>
      </c>
      <c r="D3299" s="400" t="str">
        <f t="shared" si="19"/>
        <v>OUT</v>
      </c>
      <c r="E3299" s="403" t="str">
        <f t="array" ref="E3299">INDIRECT("Tableau!$AN$86")</f>
        <v/>
      </c>
    </row>
    <row r="3300">
      <c r="A3300" s="397" t="str">
        <f t="array" ref="A3300">INDIRECT("Tableau!$A$87")</f>
        <v/>
      </c>
      <c r="B3300" s="398" t="s">
        <v>477</v>
      </c>
      <c r="C3300" s="400" t="str">
        <f t="array" ref="C3300">INDIRECT("Tableau!$AM$87")</f>
        <v/>
      </c>
      <c r="D3300" s="400" t="str">
        <f t="shared" si="19"/>
        <v>OUT</v>
      </c>
      <c r="E3300" s="403" t="str">
        <f t="array" ref="E3300">INDIRECT("Tableau!$AN$87")</f>
        <v/>
      </c>
    </row>
    <row r="3301">
      <c r="A3301" s="402">
        <f t="array" ref="A3301">INDIRECT("Tableau!$A$88")</f>
        <v>323</v>
      </c>
      <c r="B3301" s="398" t="s">
        <v>477</v>
      </c>
      <c r="C3301" s="400" t="str">
        <f t="array" ref="C3301">INDIRECT("Tableau!$AM$88")</f>
        <v/>
      </c>
      <c r="D3301" s="400" t="str">
        <f t="shared" si="19"/>
        <v>OUT</v>
      </c>
      <c r="E3301" s="403" t="str">
        <f t="array" ref="E3301">INDIRECT("Tableau!$AN$88")</f>
        <v/>
      </c>
    </row>
    <row r="3302">
      <c r="A3302" s="402">
        <f t="array" ref="A3302">INDIRECT("Tableau!$A$89")</f>
        <v>324</v>
      </c>
      <c r="B3302" s="398" t="s">
        <v>477</v>
      </c>
      <c r="C3302" s="400" t="str">
        <f t="array" ref="C3302">INDIRECT("Tableau!$AM$89")</f>
        <v/>
      </c>
      <c r="D3302" s="400" t="str">
        <f t="shared" si="19"/>
        <v>OUT</v>
      </c>
      <c r="E3302" s="403" t="str">
        <f t="array" ref="E3302">INDIRECT("Tableau!$AN$89")</f>
        <v/>
      </c>
    </row>
    <row r="3303">
      <c r="A3303" s="402">
        <f t="array" ref="A3303">INDIRECT("Tableau!$A$90")</f>
        <v>325</v>
      </c>
      <c r="B3303" s="398" t="s">
        <v>477</v>
      </c>
      <c r="C3303" s="400" t="str">
        <f t="array" ref="C3303">INDIRECT("Tableau!$AM$90")</f>
        <v>DEMA</v>
      </c>
      <c r="D3303" s="400" t="str">
        <f t="shared" si="19"/>
        <v>OUT</v>
      </c>
      <c r="E3303" s="403" t="str">
        <f t="array" ref="E3303">INDIRECT("Tableau!$AN$90")</f>
        <v/>
      </c>
    </row>
    <row r="3304">
      <c r="A3304" s="402">
        <f t="array" ref="A3304">INDIRECT("Tableau!$A$91")</f>
        <v>326</v>
      </c>
      <c r="B3304" s="398" t="s">
        <v>477</v>
      </c>
      <c r="C3304" s="400" t="str">
        <f t="array" ref="C3304">INDIRECT("Tableau!$AM$91")</f>
        <v/>
      </c>
      <c r="D3304" s="400" t="str">
        <f t="shared" si="19"/>
        <v>OUT</v>
      </c>
      <c r="E3304" s="403" t="str">
        <f t="array" ref="E3304">INDIRECT("Tableau!$AN$91")</f>
        <v/>
      </c>
    </row>
    <row r="3305">
      <c r="A3305" s="402">
        <f t="array" ref="A3305">INDIRECT("Tableau!$A$92")</f>
        <v>327</v>
      </c>
      <c r="B3305" s="398" t="s">
        <v>477</v>
      </c>
      <c r="C3305" s="400" t="str">
        <f t="array" ref="C3305">INDIRECT("Tableau!$AM$92")</f>
        <v/>
      </c>
      <c r="D3305" s="400" t="str">
        <f t="shared" si="19"/>
        <v>OUT</v>
      </c>
      <c r="E3305" s="403" t="str">
        <f t="array" ref="E3305">INDIRECT("Tableau!$AN$92")</f>
        <v/>
      </c>
    </row>
    <row r="3306">
      <c r="A3306" s="402">
        <f t="array" ref="A3306">INDIRECT("Tableau!$A$93")</f>
        <v>328</v>
      </c>
      <c r="B3306" s="398" t="s">
        <v>477</v>
      </c>
      <c r="C3306" s="400" t="str">
        <f t="array" ref="C3306">INDIRECT("Tableau!$AM$93")</f>
        <v/>
      </c>
      <c r="D3306" s="400" t="str">
        <f t="shared" si="19"/>
        <v>OUT</v>
      </c>
      <c r="E3306" s="403" t="str">
        <f t="array" ref="E3306">INDIRECT("Tableau!$AN$93")</f>
        <v/>
      </c>
    </row>
    <row r="3307">
      <c r="A3307" s="402">
        <f t="array" ref="A3307">INDIRECT("Tableau!$A$94")</f>
        <v>329</v>
      </c>
      <c r="B3307" s="398" t="s">
        <v>477</v>
      </c>
      <c r="C3307" s="400" t="str">
        <f t="array" ref="C3307">INDIRECT("Tableau!$AM$94")</f>
        <v/>
      </c>
      <c r="D3307" s="400" t="str">
        <f t="shared" si="19"/>
        <v>OUT</v>
      </c>
      <c r="E3307" s="403" t="str">
        <f t="array" ref="E3307">INDIRECT("Tableau!$AN$94")</f>
        <v/>
      </c>
    </row>
    <row r="3308">
      <c r="A3308" s="402">
        <f t="array" ref="A3308">INDIRECT("Tableau!$A$95")</f>
        <v>330</v>
      </c>
      <c r="B3308" s="398" t="s">
        <v>477</v>
      </c>
      <c r="C3308" s="400" t="str">
        <f t="array" ref="C3308">INDIRECT("Tableau!$AM$95")</f>
        <v>DEMA</v>
      </c>
      <c r="D3308" s="400" t="str">
        <f t="shared" si="19"/>
        <v>OUT</v>
      </c>
      <c r="E3308" s="403" t="str">
        <f t="array" ref="E3308">INDIRECT("Tableau!$AN$95")</f>
        <v/>
      </c>
    </row>
    <row r="3309">
      <c r="A3309" s="402">
        <f t="array" ref="A3309">INDIRECT("Tableau!$A$96")</f>
        <v>331</v>
      </c>
      <c r="B3309" s="398" t="s">
        <v>477</v>
      </c>
      <c r="C3309" s="400" t="str">
        <f t="array" ref="C3309">INDIRECT("Tableau!$AM$96")</f>
        <v>DEMA</v>
      </c>
      <c r="D3309" s="400" t="str">
        <f t="shared" si="19"/>
        <v>OUT</v>
      </c>
      <c r="E3309" s="403" t="str">
        <f t="array" ref="E3309">INDIRECT("Tableau!$AN$96")</f>
        <v/>
      </c>
    </row>
    <row r="3310">
      <c r="A3310" s="402">
        <f t="array" ref="A3310">INDIRECT("Tableau!$A$97")</f>
        <v>332</v>
      </c>
      <c r="B3310" s="398" t="s">
        <v>477</v>
      </c>
      <c r="C3310" s="400" t="str">
        <f t="array" ref="C3310">INDIRECT("Tableau!$AM$97")</f>
        <v/>
      </c>
      <c r="D3310" s="400" t="str">
        <f t="shared" si="19"/>
        <v>OUT</v>
      </c>
      <c r="E3310" s="403" t="str">
        <f t="array" ref="E3310">INDIRECT("Tableau!$AN$97")</f>
        <v/>
      </c>
    </row>
    <row r="3311">
      <c r="A3311" s="402">
        <f t="array" ref="A3311">INDIRECT("Tableau!$A$98")</f>
        <v>333</v>
      </c>
      <c r="B3311" s="398" t="s">
        <v>477</v>
      </c>
      <c r="C3311" s="400" t="str">
        <f t="array" ref="C3311">INDIRECT("Tableau!$AM$98")</f>
        <v/>
      </c>
      <c r="D3311" s="400" t="str">
        <f t="shared" si="19"/>
        <v>OUT</v>
      </c>
      <c r="E3311" s="403" t="str">
        <f t="array" ref="E3311">INDIRECT("Tableau!$AN$98")</f>
        <v/>
      </c>
    </row>
    <row r="3312">
      <c r="A3312" s="402">
        <f t="array" ref="A3312">INDIRECT("Tableau!$A$99")</f>
        <v>334</v>
      </c>
      <c r="B3312" s="398" t="s">
        <v>477</v>
      </c>
      <c r="C3312" s="400" t="str">
        <f t="array" ref="C3312">INDIRECT("Tableau!$AM$99")</f>
        <v>Bloqué</v>
      </c>
      <c r="D3312" s="400" t="str">
        <f t="shared" si="19"/>
        <v>OUT</v>
      </c>
      <c r="E3312" s="403" t="str">
        <f t="array" ref="E3312">INDIRECT("Tableau!$AN$99")</f>
        <v/>
      </c>
    </row>
    <row r="3313">
      <c r="A3313" s="402">
        <f t="array" ref="A3313">INDIRECT("Tableau!$A$100")</f>
        <v>335</v>
      </c>
      <c r="B3313" s="398" t="s">
        <v>477</v>
      </c>
      <c r="C3313" s="400" t="str">
        <f t="array" ref="C3313">INDIRECT("Tableau!$AM$100")</f>
        <v/>
      </c>
      <c r="D3313" s="400" t="str">
        <f t="shared" si="19"/>
        <v>OUT</v>
      </c>
      <c r="E3313" s="403" t="str">
        <f t="array" ref="E3313">INDIRECT("Tableau!$AN$100")</f>
        <v/>
      </c>
    </row>
    <row r="3314">
      <c r="A3314" s="402">
        <f t="array" ref="A3314">INDIRECT("Tableau!$A$101")</f>
        <v>336</v>
      </c>
      <c r="B3314" s="398" t="s">
        <v>477</v>
      </c>
      <c r="C3314" s="400" t="str">
        <f t="array" ref="C3314">INDIRECT("Tableau!$AM$101")</f>
        <v/>
      </c>
      <c r="D3314" s="400" t="str">
        <f t="shared" si="19"/>
        <v>OUT</v>
      </c>
      <c r="E3314" s="403" t="str">
        <f t="array" ref="E3314">INDIRECT("Tableau!$AN$101")</f>
        <v/>
      </c>
    </row>
    <row r="3315">
      <c r="A3315" s="402">
        <f t="array" ref="A3315">INDIRECT("Tableau!$A$102")</f>
        <v>337</v>
      </c>
      <c r="B3315" s="398" t="s">
        <v>477</v>
      </c>
      <c r="C3315" s="400" t="str">
        <f t="array" ref="C3315">INDIRECT("Tableau!$AM$102")</f>
        <v/>
      </c>
      <c r="D3315" s="400" t="str">
        <f t="shared" si="19"/>
        <v>OUT</v>
      </c>
      <c r="E3315" s="403" t="str">
        <f t="array" ref="E3315">INDIRECT("Tableau!$AN$102")</f>
        <v/>
      </c>
    </row>
    <row r="3316">
      <c r="A3316" s="402">
        <f t="array" ref="A3316">INDIRECT("Tableau!$A$103")</f>
        <v>338</v>
      </c>
      <c r="B3316" s="398" t="s">
        <v>477</v>
      </c>
      <c r="C3316" s="400" t="str">
        <f t="array" ref="C3316">INDIRECT("Tableau!$AM$103")</f>
        <v/>
      </c>
      <c r="D3316" s="400" t="str">
        <f t="shared" si="19"/>
        <v>OUT</v>
      </c>
      <c r="E3316" s="403" t="str">
        <f t="array" ref="E3316">INDIRECT("Tableau!$AN$103")</f>
        <v/>
      </c>
    </row>
    <row r="3317">
      <c r="A3317" s="402">
        <f t="array" ref="A3317">INDIRECT("Tableau!$A$104")</f>
        <v>339</v>
      </c>
      <c r="B3317" s="398" t="s">
        <v>477</v>
      </c>
      <c r="C3317" s="400" t="str">
        <f t="array" ref="C3317">INDIRECT("Tableau!$AM$104")</f>
        <v/>
      </c>
      <c r="D3317" s="400" t="str">
        <f t="shared" si="19"/>
        <v>OUT</v>
      </c>
      <c r="E3317" s="403" t="str">
        <f t="array" ref="E3317">INDIRECT("Tableau!$AN$104")</f>
        <v/>
      </c>
    </row>
    <row r="3318">
      <c r="A3318" s="402">
        <f t="array" ref="A3318">INDIRECT("Tableau!$A$105")</f>
        <v>340</v>
      </c>
      <c r="B3318" s="398" t="s">
        <v>477</v>
      </c>
      <c r="C3318" s="400" t="str">
        <f t="array" ref="C3318">INDIRECT("Tableau!$AM$105")</f>
        <v/>
      </c>
      <c r="D3318" s="400" t="str">
        <f t="shared" si="19"/>
        <v>OUT</v>
      </c>
      <c r="E3318" s="403" t="str">
        <f t="array" ref="E3318">INDIRECT("Tableau!$AN$105")</f>
        <v/>
      </c>
    </row>
    <row r="3319">
      <c r="A3319" s="402">
        <f t="array" ref="A3319">INDIRECT("Tableau!$A$106")</f>
        <v>341</v>
      </c>
      <c r="B3319" s="398" t="s">
        <v>477</v>
      </c>
      <c r="C3319" s="400" t="str">
        <f t="array" ref="C3319">INDIRECT("Tableau!$AM$106")</f>
        <v/>
      </c>
      <c r="D3319" s="400" t="str">
        <f t="shared" si="19"/>
        <v>OUT</v>
      </c>
      <c r="E3319" s="403" t="str">
        <f t="array" ref="E3319">INDIRECT("Tableau!$AN$106")</f>
        <v/>
      </c>
    </row>
    <row r="3320">
      <c r="A3320" s="402">
        <f t="array" ref="A3320">INDIRECT("Tableau!$A$107")</f>
        <v>365</v>
      </c>
      <c r="B3320" s="398" t="s">
        <v>477</v>
      </c>
      <c r="C3320" s="400" t="str">
        <f t="array" ref="C3320">INDIRECT("Tableau!$AM$107")</f>
        <v/>
      </c>
      <c r="D3320" s="400" t="str">
        <f t="shared" si="19"/>
        <v>OUT</v>
      </c>
      <c r="E3320" s="403" t="str">
        <f t="array" ref="E3320">INDIRECT("Tableau!$AN$107")</f>
        <v/>
      </c>
    </row>
    <row r="3321">
      <c r="A3321" s="402">
        <f t="array" ref="A3321">INDIRECT("Tableau!$A$108")</f>
        <v>342</v>
      </c>
      <c r="B3321" s="398" t="s">
        <v>477</v>
      </c>
      <c r="C3321" s="400" t="str">
        <f t="array" ref="C3321">INDIRECT("Tableau!$AM$108")</f>
        <v/>
      </c>
      <c r="D3321" s="400" t="str">
        <f t="shared" si="19"/>
        <v>OUT</v>
      </c>
      <c r="E3321" s="403" t="str">
        <f t="array" ref="E3321">INDIRECT("Tableau!$AN$108")</f>
        <v/>
      </c>
    </row>
    <row r="3322">
      <c r="A3322" s="402">
        <f t="array" ref="A3322">INDIRECT("Tableau!$A$109")</f>
        <v>343</v>
      </c>
      <c r="B3322" s="398" t="s">
        <v>477</v>
      </c>
      <c r="C3322" s="400" t="str">
        <f t="array" ref="C3322">INDIRECT("Tableau!$AM$109")</f>
        <v/>
      </c>
      <c r="D3322" s="400" t="str">
        <f t="shared" si="19"/>
        <v>OUT</v>
      </c>
      <c r="E3322" s="403" t="str">
        <f t="array" ref="E3322">INDIRECT("Tableau!$AN$109")</f>
        <v/>
      </c>
    </row>
    <row r="3323">
      <c r="A3323" s="402">
        <f t="array" ref="A3323">INDIRECT("Tableau!$A$110")</f>
        <v>344</v>
      </c>
      <c r="B3323" s="398" t="s">
        <v>477</v>
      </c>
      <c r="C3323" s="400" t="str">
        <f t="array" ref="C3323">INDIRECT("Tableau!$AM$110")</f>
        <v/>
      </c>
      <c r="D3323" s="400" t="str">
        <f t="shared" si="19"/>
        <v>OUT</v>
      </c>
      <c r="E3323" s="403" t="str">
        <f t="array" ref="E3323">INDIRECT("Tableau!$AN$110")</f>
        <v/>
      </c>
    </row>
    <row r="3324">
      <c r="A3324" s="402">
        <f t="array" ref="A3324">INDIRECT("Tableau!$A$111")</f>
        <v>363</v>
      </c>
      <c r="B3324" s="398" t="s">
        <v>477</v>
      </c>
      <c r="C3324" s="400" t="str">
        <f t="array" ref="C3324">INDIRECT("Tableau!$AM$111")</f>
        <v>DPS</v>
      </c>
      <c r="D3324" s="400" t="str">
        <f t="shared" si="19"/>
        <v>OUT</v>
      </c>
      <c r="E3324" s="403" t="str">
        <f t="array" ref="E3324">INDIRECT("Tableau!$AN$111")</f>
        <v/>
      </c>
    </row>
    <row r="3325">
      <c r="A3325" s="402">
        <f t="array" ref="A3325">INDIRECT("Tableau!$A$112")</f>
        <v>345</v>
      </c>
      <c r="B3325" s="398" t="s">
        <v>477</v>
      </c>
      <c r="C3325" s="400" t="str">
        <f t="array" ref="C3325">INDIRECT("Tableau!$AM$112")</f>
        <v/>
      </c>
      <c r="D3325" s="400" t="str">
        <f t="shared" si="19"/>
        <v>OUT</v>
      </c>
      <c r="E3325" s="403" t="str">
        <f t="array" ref="E3325">INDIRECT("Tableau!$AN$112")</f>
        <v/>
      </c>
    </row>
    <row r="3326">
      <c r="A3326" s="402">
        <f t="array" ref="A3326">INDIRECT("Tableau!$A$113")</f>
        <v>346</v>
      </c>
      <c r="B3326" s="398" t="s">
        <v>477</v>
      </c>
      <c r="C3326" s="400" t="str">
        <f t="array" ref="C3326">INDIRECT("Tableau!$AM$113")</f>
        <v/>
      </c>
      <c r="D3326" s="400" t="str">
        <f t="shared" si="19"/>
        <v>OUT</v>
      </c>
      <c r="E3326" s="403" t="str">
        <f t="array" ref="E3326">INDIRECT("Tableau!$AN$113")</f>
        <v/>
      </c>
    </row>
    <row r="3327">
      <c r="A3327" s="402">
        <f t="array" ref="A3327">INDIRECT("Tableau!$A$114")</f>
        <v>359</v>
      </c>
      <c r="B3327" s="398" t="s">
        <v>477</v>
      </c>
      <c r="C3327" s="400" t="str">
        <f t="array" ref="C3327">INDIRECT("Tableau!$AM$114")</f>
        <v/>
      </c>
      <c r="D3327" s="400" t="str">
        <f t="shared" si="19"/>
        <v>OUT</v>
      </c>
      <c r="E3327" s="403" t="str">
        <f t="array" ref="E3327">INDIRECT("Tableau!$AN$114")</f>
        <v/>
      </c>
    </row>
    <row r="3328">
      <c r="A3328" s="402">
        <f t="array" ref="A3328">INDIRECT("Tableau!$A$115")</f>
        <v>360</v>
      </c>
      <c r="B3328" s="398" t="s">
        <v>477</v>
      </c>
      <c r="C3328" s="400" t="str">
        <f t="array" ref="C3328">INDIRECT("Tableau!$AM$115")</f>
        <v/>
      </c>
      <c r="D3328" s="400" t="str">
        <f t="shared" si="19"/>
        <v>OUT</v>
      </c>
      <c r="E3328" s="403" t="str">
        <f t="array" ref="E3328">INDIRECT("Tableau!$AN$115")</f>
        <v/>
      </c>
    </row>
    <row r="3329">
      <c r="A3329" s="402">
        <f t="array" ref="A3329">INDIRECT("Tableau!$A$116")</f>
        <v>361</v>
      </c>
      <c r="B3329" s="398" t="s">
        <v>477</v>
      </c>
      <c r="C3329" s="400" t="str">
        <f t="array" ref="C3329">INDIRECT("Tableau!$AM$116")</f>
        <v/>
      </c>
      <c r="D3329" s="400" t="str">
        <f t="shared" si="19"/>
        <v>OUT</v>
      </c>
      <c r="E3329" s="403" t="str">
        <f t="array" ref="E3329">INDIRECT("Tableau!$AN$116")</f>
        <v/>
      </c>
    </row>
    <row r="3330">
      <c r="A3330" s="397" t="str">
        <f t="array" ref="A3330">INDIRECT("Tableau!$A$117")</f>
        <v/>
      </c>
      <c r="B3330" s="398" t="s">
        <v>477</v>
      </c>
      <c r="C3330" s="400" t="str">
        <f t="array" ref="C3330">INDIRECT("Tableau!$AM$117")</f>
        <v/>
      </c>
      <c r="D3330" s="400" t="str">
        <f t="shared" si="19"/>
        <v>OUT</v>
      </c>
      <c r="E3330" s="403" t="str">
        <f t="array" ref="E3330">INDIRECT("Tableau!$AN$117")</f>
        <v/>
      </c>
    </row>
    <row r="3331">
      <c r="A3331" s="402">
        <f t="array" ref="A3331">INDIRECT("Tableau!$A$118")</f>
        <v>347</v>
      </c>
      <c r="B3331" s="398" t="s">
        <v>477</v>
      </c>
      <c r="C3331" s="400" t="str">
        <f t="array" ref="C3331">INDIRECT("Tableau!$AM$118")</f>
        <v/>
      </c>
      <c r="D3331" s="400" t="str">
        <f t="shared" si="19"/>
        <v>OUT</v>
      </c>
      <c r="E3331" s="403" t="str">
        <f t="array" ref="E3331">INDIRECT("Tableau!$AN$118")</f>
        <v/>
      </c>
    </row>
    <row r="3332">
      <c r="A3332" s="402">
        <f t="array" ref="A3332">INDIRECT("Tableau!$A$119")</f>
        <v>348</v>
      </c>
      <c r="B3332" s="398" t="s">
        <v>477</v>
      </c>
      <c r="C3332" s="400" t="str">
        <f t="array" ref="C3332">INDIRECT("Tableau!$AM$119")</f>
        <v/>
      </c>
      <c r="D3332" s="400" t="str">
        <f t="shared" si="19"/>
        <v>OUT</v>
      </c>
      <c r="E3332" s="403" t="str">
        <f t="array" ref="E3332">INDIRECT("Tableau!$AN$119")</f>
        <v/>
      </c>
    </row>
    <row r="3333">
      <c r="A3333" s="402">
        <f t="array" ref="A3333">INDIRECT("Tableau!$A$120")</f>
        <v>349</v>
      </c>
      <c r="B3333" s="398" t="s">
        <v>477</v>
      </c>
      <c r="C3333" s="400" t="str">
        <f t="array" ref="C3333">INDIRECT("Tableau!$AM$120")</f>
        <v>DEMA</v>
      </c>
      <c r="D3333" s="400" t="str">
        <f t="shared" si="19"/>
        <v>OUT</v>
      </c>
      <c r="E3333" s="403" t="str">
        <f t="array" ref="E3333">INDIRECT("Tableau!$AN$120")</f>
        <v/>
      </c>
    </row>
    <row r="3334">
      <c r="A3334" s="402">
        <f t="array" ref="A3334">INDIRECT("Tableau!$A$121")</f>
        <v>350</v>
      </c>
      <c r="B3334" s="398" t="s">
        <v>477</v>
      </c>
      <c r="C3334" s="400" t="str">
        <f t="array" ref="C3334">INDIRECT("Tableau!$AM$121")</f>
        <v>DEMA</v>
      </c>
      <c r="D3334" s="400" t="str">
        <f t="shared" si="19"/>
        <v>OUT</v>
      </c>
      <c r="E3334" s="403" t="str">
        <f t="array" ref="E3334">INDIRECT("Tableau!$AN$121")</f>
        <v/>
      </c>
    </row>
    <row r="3335">
      <c r="A3335" s="402">
        <f t="array" ref="A3335">INDIRECT("Tableau!$A$122")</f>
        <v>351</v>
      </c>
      <c r="B3335" s="398" t="s">
        <v>477</v>
      </c>
      <c r="C3335" s="400" t="str">
        <f t="array" ref="C3335">INDIRECT("Tableau!$AM$122")</f>
        <v/>
      </c>
      <c r="D3335" s="400" t="str">
        <f t="shared" si="19"/>
        <v>OUT</v>
      </c>
      <c r="E3335" s="403" t="str">
        <f t="array" ref="E3335">INDIRECT("Tableau!$AN$122")</f>
        <v/>
      </c>
    </row>
    <row r="3336">
      <c r="A3336" s="402">
        <f t="array" ref="A3336">INDIRECT("Tableau!$A$123")</f>
        <v>352</v>
      </c>
      <c r="B3336" s="398" t="s">
        <v>477</v>
      </c>
      <c r="C3336" s="400" t="str">
        <f t="array" ref="C3336">INDIRECT("Tableau!$AM$123")</f>
        <v/>
      </c>
      <c r="D3336" s="400" t="str">
        <f t="shared" si="19"/>
        <v>OUT</v>
      </c>
      <c r="E3336" s="403" t="str">
        <f t="array" ref="E3336">INDIRECT("Tableau!$AN$123")</f>
        <v/>
      </c>
    </row>
    <row r="3337">
      <c r="A3337" s="402">
        <f t="array" ref="A3337">INDIRECT("Tableau!$A$124")</f>
        <v>353</v>
      </c>
      <c r="B3337" s="398" t="s">
        <v>477</v>
      </c>
      <c r="C3337" s="400" t="str">
        <f t="array" ref="C3337">INDIRECT("Tableau!$AM$124")</f>
        <v/>
      </c>
      <c r="D3337" s="400" t="str">
        <f t="shared" si="19"/>
        <v>OUT</v>
      </c>
      <c r="E3337" s="403" t="str">
        <f t="array" ref="E3337">INDIRECT("Tableau!$AN$124")</f>
        <v/>
      </c>
    </row>
    <row r="3338">
      <c r="A3338" s="397" t="str">
        <f t="array" ref="A3338">INDIRECT("Tableau!$A$125")</f>
        <v/>
      </c>
      <c r="B3338" s="398" t="s">
        <v>477</v>
      </c>
      <c r="C3338" s="400" t="str">
        <f t="array" ref="C3338">INDIRECT("Tableau!$AM$125")</f>
        <v/>
      </c>
      <c r="D3338" s="400" t="str">
        <f t="shared" si="19"/>
        <v>OUT</v>
      </c>
      <c r="E3338" s="403" t="str">
        <f t="array" ref="E3338">INDIRECT("Tableau!$AN$125")</f>
        <v/>
      </c>
    </row>
    <row r="3339">
      <c r="A3339" s="402">
        <f t="array" ref="A3339">INDIRECT("Tableau!$A$126")</f>
        <v>354</v>
      </c>
      <c r="B3339" s="398" t="s">
        <v>477</v>
      </c>
      <c r="C3339" s="400" t="str">
        <f t="array" ref="C3339">INDIRECT("Tableau!$AM$126")</f>
        <v/>
      </c>
      <c r="D3339" s="400" t="str">
        <f t="shared" si="19"/>
        <v>OUT</v>
      </c>
      <c r="E3339" s="403" t="str">
        <f t="array" ref="E3339">INDIRECT("Tableau!$AN$126")</f>
        <v/>
      </c>
    </row>
    <row r="3340">
      <c r="A3340" s="402">
        <f t="array" ref="A3340">INDIRECT("Tableau!$A$127")</f>
        <v>355</v>
      </c>
      <c r="B3340" s="398" t="s">
        <v>477</v>
      </c>
      <c r="C3340" s="400" t="str">
        <f t="array" ref="C3340">INDIRECT("Tableau!$AM$127")</f>
        <v/>
      </c>
      <c r="D3340" s="400" t="str">
        <f t="shared" si="19"/>
        <v>OUT</v>
      </c>
      <c r="E3340" s="403" t="str">
        <f t="array" ref="E3340">INDIRECT("Tableau!$AN$127")</f>
        <v/>
      </c>
    </row>
    <row r="3341">
      <c r="A3341" s="402">
        <f t="array" ref="A3341">INDIRECT("Tableau!$A$128")</f>
        <v>356</v>
      </c>
      <c r="B3341" s="398" t="s">
        <v>477</v>
      </c>
      <c r="C3341" s="400" t="str">
        <f t="array" ref="C3341">INDIRECT("Tableau!$AM$128")</f>
        <v/>
      </c>
      <c r="D3341" s="400" t="str">
        <f t="shared" si="19"/>
        <v>OUT</v>
      </c>
      <c r="E3341" s="403" t="str">
        <f t="array" ref="E3341">INDIRECT("Tableau!$AN$128")</f>
        <v/>
      </c>
    </row>
    <row r="3342">
      <c r="A3342" s="402">
        <f t="array" ref="A3342">INDIRECT("Tableau!$A$129")</f>
        <v>357</v>
      </c>
      <c r="B3342" s="398" t="s">
        <v>477</v>
      </c>
      <c r="C3342" s="400" t="str">
        <f t="array" ref="C3342">INDIRECT("Tableau!$AM$129")</f>
        <v/>
      </c>
      <c r="D3342" s="400" t="str">
        <f t="shared" si="19"/>
        <v>OUT</v>
      </c>
      <c r="E3342" s="403" t="str">
        <f t="array" ref="E3342">INDIRECT("Tableau!$AN$129")</f>
        <v/>
      </c>
    </row>
    <row r="3343">
      <c r="A3343" s="397" t="str">
        <f t="array" ref="A3343">INDIRECT("Tableau!$A$130")</f>
        <v/>
      </c>
      <c r="B3343" s="398" t="s">
        <v>477</v>
      </c>
      <c r="C3343" s="400" t="str">
        <f t="array" ref="C3343">INDIRECT("Tableau!$AM$130")</f>
        <v/>
      </c>
      <c r="D3343" s="400" t="str">
        <f t="shared" si="19"/>
        <v>OUT</v>
      </c>
      <c r="E3343" s="403" t="str">
        <f t="array" ref="E3343">INDIRECT("Tableau!$AN$130")</f>
        <v/>
      </c>
    </row>
    <row r="3344">
      <c r="A3344" s="397" t="str">
        <f t="array" ref="A3344">INDIRECT("Tableau!$A$131")</f>
        <v/>
      </c>
      <c r="B3344" s="398" t="s">
        <v>477</v>
      </c>
      <c r="C3344" s="400" t="str">
        <f t="array" ref="C3344">INDIRECT("Tableau!$AM$131")</f>
        <v/>
      </c>
      <c r="D3344" s="400" t="str">
        <f t="shared" si="19"/>
        <v>OUT</v>
      </c>
      <c r="E3344" s="403" t="str">
        <f t="array" ref="E3344">INDIRECT("Tableau!$AN$131")</f>
        <v/>
      </c>
    </row>
    <row r="3345">
      <c r="A3345" s="397" t="str">
        <f t="array" ref="A3345">INDIRECT("Tableau!$A$132")</f>
        <v/>
      </c>
      <c r="B3345" s="398" t="s">
        <v>477</v>
      </c>
      <c r="C3345" s="400" t="str">
        <f t="array" ref="C3345">INDIRECT("Tableau!$AM$132")</f>
        <v/>
      </c>
      <c r="D3345" s="400" t="str">
        <f t="shared" si="19"/>
        <v>OUT</v>
      </c>
      <c r="E3345" s="403" t="str">
        <f t="array" ref="E3345">INDIRECT("Tableau!$AN$132")</f>
        <v/>
      </c>
    </row>
    <row r="3346">
      <c r="A3346" s="397" t="str">
        <f t="array" ref="A3346">INDIRECT("Tableau!$A$133")</f>
        <v/>
      </c>
      <c r="B3346" s="398" t="s">
        <v>477</v>
      </c>
      <c r="C3346" s="400" t="str">
        <f t="array" ref="C3346">INDIRECT("Tableau!$AM$133")</f>
        <v/>
      </c>
      <c r="D3346" s="400" t="str">
        <f t="shared" si="19"/>
        <v>OUT</v>
      </c>
      <c r="E3346" s="403" t="str">
        <f t="array" ref="E3346">INDIRECT("Tableau!$AN$133")</f>
        <v/>
      </c>
    </row>
    <row r="3347">
      <c r="A3347" s="397" t="str">
        <f t="array" ref="A3347">INDIRECT("Tableau!$A$134")</f>
        <v/>
      </c>
      <c r="B3347" s="398" t="s">
        <v>477</v>
      </c>
      <c r="C3347" s="400" t="str">
        <f t="array" ref="C3347">INDIRECT("Tableau!$AM$134")</f>
        <v/>
      </c>
      <c r="D3347" s="400" t="str">
        <f t="shared" si="19"/>
        <v>OUT</v>
      </c>
      <c r="E3347" s="403" t="str">
        <f t="array" ref="E3347">INDIRECT("Tableau!$AN$134")</f>
        <v/>
      </c>
    </row>
    <row r="3348">
      <c r="A3348" s="402">
        <f t="array" ref="A3348">INDIRECT("Tableau!$A$135")</f>
        <v>401</v>
      </c>
      <c r="B3348" s="398" t="s">
        <v>477</v>
      </c>
      <c r="C3348" s="400" t="str">
        <f t="array" ref="C3348">INDIRECT("Tableau!$AM$135")</f>
        <v/>
      </c>
      <c r="D3348" s="400" t="str">
        <f t="shared" si="19"/>
        <v>OUT</v>
      </c>
      <c r="E3348" s="403" t="str">
        <f t="array" ref="E3348">INDIRECT("Tableau!$AN$135")</f>
        <v/>
      </c>
    </row>
    <row r="3349">
      <c r="A3349" s="402">
        <f t="array" ref="A3349">INDIRECT("Tableau!$A$136")</f>
        <v>402</v>
      </c>
      <c r="B3349" s="398" t="s">
        <v>477</v>
      </c>
      <c r="C3349" s="400" t="str">
        <f t="array" ref="C3349">INDIRECT("Tableau!$AM$136")</f>
        <v/>
      </c>
      <c r="D3349" s="400" t="str">
        <f t="shared" si="19"/>
        <v>OUT</v>
      </c>
      <c r="E3349" s="403" t="str">
        <f t="array" ref="E3349">INDIRECT("Tableau!$AN$136")</f>
        <v/>
      </c>
    </row>
    <row r="3350">
      <c r="A3350" s="402">
        <f t="array" ref="A3350">INDIRECT("Tableau!$A$137")</f>
        <v>403</v>
      </c>
      <c r="B3350" s="398" t="s">
        <v>477</v>
      </c>
      <c r="C3350" s="400" t="str">
        <f t="array" ref="C3350">INDIRECT("Tableau!$AM$137")</f>
        <v/>
      </c>
      <c r="D3350" s="400" t="str">
        <f t="shared" si="19"/>
        <v>OUT</v>
      </c>
      <c r="E3350" s="403" t="str">
        <f t="array" ref="E3350">INDIRECT("Tableau!$AN$137")</f>
        <v/>
      </c>
    </row>
    <row r="3351">
      <c r="A3351" s="402">
        <f t="array" ref="A3351">INDIRECT("Tableau!$A$138")</f>
        <v>404</v>
      </c>
      <c r="B3351" s="398" t="s">
        <v>477</v>
      </c>
      <c r="C3351" s="400" t="str">
        <f t="array" ref="C3351">INDIRECT("Tableau!$AM$138")</f>
        <v/>
      </c>
      <c r="D3351" s="400" t="str">
        <f t="shared" si="19"/>
        <v>OUT</v>
      </c>
      <c r="E3351" s="403" t="str">
        <f t="array" ref="E3351">INDIRECT("Tableau!$AN$138")</f>
        <v/>
      </c>
    </row>
    <row r="3352">
      <c r="A3352" s="402">
        <f t="array" ref="A3352">INDIRECT("Tableau!$A$139")</f>
        <v>405</v>
      </c>
      <c r="B3352" s="398" t="s">
        <v>477</v>
      </c>
      <c r="C3352" s="400" t="str">
        <f t="array" ref="C3352">INDIRECT("Tableau!$AM$139")</f>
        <v/>
      </c>
      <c r="D3352" s="400" t="str">
        <f t="shared" si="19"/>
        <v>OUT</v>
      </c>
      <c r="E3352" s="403" t="str">
        <f t="array" ref="E3352">INDIRECT("Tableau!$AN$139")</f>
        <v/>
      </c>
    </row>
    <row r="3353">
      <c r="A3353" s="402">
        <f t="array" ref="A3353">INDIRECT("Tableau!$A$140")</f>
        <v>406</v>
      </c>
      <c r="B3353" s="398" t="s">
        <v>477</v>
      </c>
      <c r="C3353" s="400" t="str">
        <f t="array" ref="C3353">INDIRECT("Tableau!$AM$140")</f>
        <v/>
      </c>
      <c r="D3353" s="400" t="str">
        <f t="shared" si="19"/>
        <v>OUT</v>
      </c>
      <c r="E3353" s="403" t="str">
        <f t="array" ref="E3353">INDIRECT("Tableau!$AN$140")</f>
        <v/>
      </c>
    </row>
    <row r="3354">
      <c r="A3354" s="402">
        <f t="array" ref="A3354">INDIRECT("Tableau!$A$141")</f>
        <v>407</v>
      </c>
      <c r="B3354" s="398" t="s">
        <v>477</v>
      </c>
      <c r="C3354" s="400" t="str">
        <f t="array" ref="C3354">INDIRECT("Tableau!$AM$141")</f>
        <v/>
      </c>
      <c r="D3354" s="400" t="str">
        <f t="shared" si="19"/>
        <v>OUT</v>
      </c>
      <c r="E3354" s="403" t="str">
        <f t="array" ref="E3354">INDIRECT("Tableau!$AN$141")</f>
        <v/>
      </c>
    </row>
    <row r="3355">
      <c r="A3355" s="402">
        <f t="array" ref="A3355">INDIRECT("Tableau!$A$142")</f>
        <v>408</v>
      </c>
      <c r="B3355" s="398" t="s">
        <v>477</v>
      </c>
      <c r="C3355" s="400" t="str">
        <f t="array" ref="C3355">INDIRECT("Tableau!$AM$142")</f>
        <v/>
      </c>
      <c r="D3355" s="400" t="str">
        <f t="shared" si="19"/>
        <v>OUT</v>
      </c>
      <c r="E3355" s="403" t="str">
        <f t="array" ref="E3355">INDIRECT("Tableau!$AN$142")</f>
        <v/>
      </c>
    </row>
    <row r="3356">
      <c r="A3356" s="402">
        <f t="array" ref="A3356">INDIRECT("Tableau!$A$143")</f>
        <v>409</v>
      </c>
      <c r="B3356" s="398" t="s">
        <v>477</v>
      </c>
      <c r="C3356" s="400" t="str">
        <f t="array" ref="C3356">INDIRECT("Tableau!$AM$143")</f>
        <v>DEMA</v>
      </c>
      <c r="D3356" s="400" t="str">
        <f t="shared" si="19"/>
        <v>OUT</v>
      </c>
      <c r="E3356" s="403" t="str">
        <f t="array" ref="E3356">INDIRECT("Tableau!$AN$143")</f>
        <v/>
      </c>
    </row>
    <row r="3357">
      <c r="A3357" s="397">
        <f t="array" ref="A3357">INDIRECT("Tableau!$A$144")</f>
        <v>415</v>
      </c>
      <c r="B3357" s="398" t="s">
        <v>477</v>
      </c>
      <c r="C3357" s="400" t="str">
        <f t="array" ref="C3357">INDIRECT("Tableau!$AM$144")</f>
        <v/>
      </c>
      <c r="D3357" s="400" t="str">
        <f t="shared" si="19"/>
        <v>OUT</v>
      </c>
      <c r="E3357" s="403" t="str">
        <f t="array" ref="E3357">INDIRECT("Tableau!$AN$144")</f>
        <v/>
      </c>
    </row>
    <row r="3358">
      <c r="A3358" s="397" t="str">
        <f t="array" ref="A3358">INDIRECT("Tableau!$A$145")</f>
        <v/>
      </c>
      <c r="B3358" s="398" t="s">
        <v>477</v>
      </c>
      <c r="C3358" s="400" t="str">
        <f t="array" ref="C3358">INDIRECT("Tableau!$AM$145")</f>
        <v/>
      </c>
      <c r="D3358" s="400" t="str">
        <f t="shared" si="19"/>
        <v>OUT</v>
      </c>
      <c r="E3358" s="403" t="str">
        <f t="array" ref="E3358">INDIRECT("Tableau!$AN$145")</f>
        <v/>
      </c>
    </row>
    <row r="3359">
      <c r="A3359" s="397" t="str">
        <f t="array" ref="A3359">INDIRECT("Tableau!$A$146")</f>
        <v/>
      </c>
      <c r="B3359" s="398" t="s">
        <v>477</v>
      </c>
      <c r="C3359" s="400" t="str">
        <f t="array" ref="C3359">INDIRECT("Tableau!$AM$146")</f>
        <v/>
      </c>
      <c r="D3359" s="400" t="str">
        <f t="shared" si="19"/>
        <v>OUT</v>
      </c>
      <c r="E3359" s="403" t="str">
        <f t="array" ref="E3359">INDIRECT("Tableau!$AN$146")</f>
        <v/>
      </c>
    </row>
    <row r="3360">
      <c r="A3360" s="397" t="str">
        <f t="array" ref="A3360">INDIRECT("Tableau!$A$147")</f>
        <v/>
      </c>
      <c r="B3360" s="398" t="s">
        <v>477</v>
      </c>
      <c r="C3360" s="400" t="str">
        <f t="array" ref="C3360">INDIRECT("Tableau!$AM$147")</f>
        <v/>
      </c>
      <c r="D3360" s="400" t="str">
        <f t="shared" si="19"/>
        <v>OUT</v>
      </c>
      <c r="E3360" s="403" t="str">
        <f t="array" ref="E3360">INDIRECT("Tableau!$AN$147")</f>
        <v/>
      </c>
    </row>
    <row r="3361">
      <c r="A3361" s="397" t="str">
        <f t="array" ref="A3361">INDIRECT("Tableau!$A$148")</f>
        <v/>
      </c>
      <c r="B3361" s="398" t="s">
        <v>477</v>
      </c>
      <c r="C3361" s="400" t="str">
        <f t="array" ref="C3361">INDIRECT("Tableau!$AM$148")</f>
        <v/>
      </c>
      <c r="D3361" s="400" t="str">
        <f t="shared" si="19"/>
        <v>OUT</v>
      </c>
      <c r="E3361" s="403" t="str">
        <f t="array" ref="E3361">INDIRECT("Tableau!$AN$148")</f>
        <v/>
      </c>
    </row>
    <row r="3362">
      <c r="A3362" s="397" t="str">
        <f t="array" ref="A3362">INDIRECT("Tableau!$A$149")</f>
        <v/>
      </c>
      <c r="B3362" s="398" t="s">
        <v>477</v>
      </c>
      <c r="C3362" s="400" t="str">
        <f t="array" ref="C3362">INDIRECT("Tableau!$AM$149")</f>
        <v/>
      </c>
      <c r="D3362" s="400" t="str">
        <f t="shared" si="19"/>
        <v>OUT</v>
      </c>
      <c r="E3362" s="403" t="str">
        <f t="array" ref="E3362">INDIRECT("Tableau!$AN$149")</f>
        <v/>
      </c>
    </row>
    <row r="3363">
      <c r="A3363" s="397" t="str">
        <f t="array" ref="A3363">INDIRECT("Tableau!$A$150")</f>
        <v/>
      </c>
      <c r="B3363" s="398" t="s">
        <v>477</v>
      </c>
      <c r="C3363" s="400" t="str">
        <f t="array" ref="C3363">INDIRECT("Tableau!$AM$150")</f>
        <v/>
      </c>
      <c r="D3363" s="400" t="str">
        <f t="shared" si="19"/>
        <v>OUT</v>
      </c>
      <c r="E3363" s="403" t="str">
        <f t="array" ref="E3363">INDIRECT("Tableau!$AN$150")</f>
        <v/>
      </c>
    </row>
    <row r="3364">
      <c r="A3364" s="397" t="str">
        <f t="array" ref="A3364">INDIRECT("Tableau!$A$151")</f>
        <v/>
      </c>
      <c r="B3364" s="398" t="s">
        <v>477</v>
      </c>
      <c r="C3364" s="400" t="str">
        <f t="array" ref="C3364">INDIRECT("Tableau!$AM$151")</f>
        <v/>
      </c>
      <c r="D3364" s="400" t="str">
        <f t="shared" si="19"/>
        <v>OUT</v>
      </c>
      <c r="E3364" s="403" t="str">
        <f t="array" ref="E3364">INDIRECT("Tableau!$AN$151")</f>
        <v/>
      </c>
    </row>
    <row r="3365">
      <c r="A3365" s="397" t="str">
        <f t="array" ref="A3365">INDIRECT("Tableau!$A$152")</f>
        <v/>
      </c>
      <c r="B3365" s="398" t="s">
        <v>477</v>
      </c>
      <c r="C3365" s="400" t="str">
        <f t="array" ref="C3365">INDIRECT("Tableau!$AM$152")</f>
        <v/>
      </c>
      <c r="D3365" s="400" t="str">
        <f t="shared" si="19"/>
        <v>OUT</v>
      </c>
      <c r="E3365" s="403" t="str">
        <f t="array" ref="E3365">INDIRECT("Tableau!$AN$152")</f>
        <v/>
      </c>
    </row>
    <row r="3366">
      <c r="A3366" s="397" t="str">
        <f t="array" ref="A3366">INDIRECT("Tableau!$A$153")</f>
        <v/>
      </c>
      <c r="B3366" s="398" t="s">
        <v>477</v>
      </c>
      <c r="C3366" s="400" t="str">
        <f t="array" ref="C3366">INDIRECT("Tableau!$AM$153")</f>
        <v/>
      </c>
      <c r="D3366" s="400" t="str">
        <f t="shared" si="19"/>
        <v>OUT</v>
      </c>
      <c r="E3366" s="403" t="str">
        <f t="array" ref="E3366">INDIRECT("Tableau!$AN$153")</f>
        <v/>
      </c>
    </row>
    <row r="3367">
      <c r="A3367" s="402">
        <f t="array" ref="A3367">INDIRECT("Tableau!$A$154")</f>
        <v>501</v>
      </c>
      <c r="B3367" s="398" t="s">
        <v>477</v>
      </c>
      <c r="C3367" s="400" t="str">
        <f t="array" ref="C3367">INDIRECT("Tableau!$AM$154")</f>
        <v>DPS</v>
      </c>
      <c r="D3367" s="400" t="str">
        <f t="shared" si="19"/>
        <v>OUT</v>
      </c>
      <c r="E3367" s="403" t="str">
        <f t="array" ref="E3367">INDIRECT("Tableau!$AN$154")</f>
        <v/>
      </c>
    </row>
    <row r="3368">
      <c r="A3368" s="402">
        <f t="array" ref="A3368">INDIRECT("Tableau!$A$155")</f>
        <v>502</v>
      </c>
      <c r="B3368" s="398" t="s">
        <v>477</v>
      </c>
      <c r="C3368" s="400" t="str">
        <f t="array" ref="C3368">INDIRECT("Tableau!$AM$155")</f>
        <v/>
      </c>
      <c r="D3368" s="400" t="str">
        <f t="shared" si="19"/>
        <v>OUT</v>
      </c>
      <c r="E3368" s="403" t="str">
        <f t="array" ref="E3368">INDIRECT("Tableau!$AN$155")</f>
        <v/>
      </c>
    </row>
    <row r="3369">
      <c r="A3369" s="397" t="str">
        <f t="array" ref="A3369">INDIRECT("Tableau!$A$156")</f>
        <v/>
      </c>
      <c r="B3369" s="398" t="s">
        <v>477</v>
      </c>
      <c r="C3369" s="400" t="str">
        <f t="array" ref="C3369">INDIRECT("Tableau!$AM$156")</f>
        <v/>
      </c>
      <c r="D3369" s="400" t="str">
        <f t="shared" si="19"/>
        <v>OUT</v>
      </c>
      <c r="E3369" s="403" t="str">
        <f t="array" ref="E3369">INDIRECT("Tableau!$AN$156")</f>
        <v/>
      </c>
    </row>
    <row r="3370">
      <c r="A3370" s="397" t="str">
        <f t="array" ref="A3370">INDIRECT("Tableau!$A$157")</f>
        <v/>
      </c>
      <c r="B3370" s="398" t="s">
        <v>477</v>
      </c>
      <c r="C3370" s="400" t="str">
        <f t="array" ref="C3370">INDIRECT("Tableau!$AM$157")</f>
        <v/>
      </c>
      <c r="D3370" s="400" t="str">
        <f t="shared" si="19"/>
        <v>OUT</v>
      </c>
      <c r="E3370" s="403" t="str">
        <f t="array" ref="E3370">INDIRECT("Tableau!$AN$157")</f>
        <v/>
      </c>
    </row>
    <row r="3371">
      <c r="A3371" s="402">
        <f t="array" ref="A3371">INDIRECT("Tableau!$A$158")</f>
        <v>505</v>
      </c>
      <c r="B3371" s="398" t="s">
        <v>477</v>
      </c>
      <c r="C3371" s="400" t="str">
        <f t="array" ref="C3371">INDIRECT("Tableau!$AM$158")</f>
        <v/>
      </c>
      <c r="D3371" s="400" t="str">
        <f t="shared" si="19"/>
        <v>OUT</v>
      </c>
      <c r="E3371" s="403" t="str">
        <f t="array" ref="E3371">INDIRECT("Tableau!$AN$158")</f>
        <v/>
      </c>
    </row>
    <row r="3372">
      <c r="A3372" s="402">
        <f t="array" ref="A3372">INDIRECT("Tableau!$A$159")</f>
        <v>506</v>
      </c>
      <c r="B3372" s="398" t="s">
        <v>477</v>
      </c>
      <c r="C3372" s="400" t="str">
        <f t="array" ref="C3372">INDIRECT("Tableau!$AM$159")</f>
        <v>DPS</v>
      </c>
      <c r="D3372" s="400" t="str">
        <f t="shared" si="19"/>
        <v>OUT</v>
      </c>
      <c r="E3372" s="403" t="str">
        <f t="array" ref="E3372">INDIRECT("Tableau!$AN$159")</f>
        <v/>
      </c>
    </row>
    <row r="3373">
      <c r="A3373" s="402">
        <f t="array" ref="A3373">INDIRECT("Tableau!$A$160")</f>
        <v>507</v>
      </c>
      <c r="B3373" s="398" t="s">
        <v>477</v>
      </c>
      <c r="C3373" s="400" t="str">
        <f t="array" ref="C3373">INDIRECT("Tableau!$AM$160")</f>
        <v/>
      </c>
      <c r="D3373" s="400" t="str">
        <f t="shared" si="19"/>
        <v>OUT</v>
      </c>
      <c r="E3373" s="403" t="str">
        <f t="array" ref="E3373">INDIRECT("Tableau!$AN$160")</f>
        <v/>
      </c>
    </row>
    <row r="3374">
      <c r="A3374" s="402">
        <f t="array" ref="A3374">INDIRECT("Tableau!$A$161")</f>
        <v>508</v>
      </c>
      <c r="B3374" s="398" t="s">
        <v>477</v>
      </c>
      <c r="C3374" s="400" t="str">
        <f t="array" ref="C3374">INDIRECT("Tableau!$AM$161")</f>
        <v>DPS</v>
      </c>
      <c r="D3374" s="400" t="str">
        <f t="shared" si="19"/>
        <v>OUT</v>
      </c>
      <c r="E3374" s="403" t="str">
        <f t="array" ref="E3374">INDIRECT("Tableau!$AN$161")</f>
        <v/>
      </c>
    </row>
    <row r="3375">
      <c r="A3375" s="402">
        <f t="array" ref="A3375">INDIRECT("Tableau!$A$162")</f>
        <v>509</v>
      </c>
      <c r="B3375" s="398" t="s">
        <v>477</v>
      </c>
      <c r="C3375" s="400" t="str">
        <f t="array" ref="C3375">INDIRECT("Tableau!$AM$162")</f>
        <v/>
      </c>
      <c r="D3375" s="400" t="str">
        <f t="shared" si="19"/>
        <v>OUT</v>
      </c>
      <c r="E3375" s="403" t="str">
        <f t="array" ref="E3375">INDIRECT("Tableau!$AN$162")</f>
        <v/>
      </c>
    </row>
    <row r="3376">
      <c r="A3376" s="397">
        <f t="array" ref="A3376">INDIRECT("Tableau!$A$163")</f>
        <v>510</v>
      </c>
      <c r="B3376" s="398" t="s">
        <v>477</v>
      </c>
      <c r="C3376" s="400" t="str">
        <f t="array" ref="C3376">INDIRECT("Tableau!$AM$163")</f>
        <v/>
      </c>
      <c r="D3376" s="400" t="str">
        <f t="shared" si="19"/>
        <v>OUT</v>
      </c>
      <c r="E3376" s="403" t="str">
        <f t="array" ref="E3376">INDIRECT("Tableau!$AN$163")</f>
        <v/>
      </c>
    </row>
    <row r="3377">
      <c r="A3377" s="397" t="str">
        <f t="array" ref="A3377">INDIRECT("Tableau!$A$164")</f>
        <v/>
      </c>
      <c r="B3377" s="398" t="s">
        <v>477</v>
      </c>
      <c r="C3377" s="400" t="str">
        <f t="array" ref="C3377">INDIRECT("Tableau!$AM$164")</f>
        <v/>
      </c>
      <c r="D3377" s="400" t="str">
        <f t="shared" si="19"/>
        <v>OUT</v>
      </c>
      <c r="E3377" s="403" t="str">
        <f t="array" ref="E3377">INDIRECT("Tableau!$AN$164")</f>
        <v/>
      </c>
    </row>
    <row r="3378">
      <c r="A3378" s="397" t="str">
        <f t="array" ref="A3378">INDIRECT("Tableau!$A$165")</f>
        <v/>
      </c>
      <c r="B3378" s="398" t="s">
        <v>477</v>
      </c>
      <c r="C3378" s="400" t="str">
        <f t="array" ref="C3378">INDIRECT("Tableau!$AM$165")</f>
        <v/>
      </c>
      <c r="D3378" s="400" t="str">
        <f t="shared" si="19"/>
        <v>OUT</v>
      </c>
      <c r="E3378" s="403" t="str">
        <f t="array" ref="E3378">INDIRECT("Tableau!$AN$165")</f>
        <v/>
      </c>
    </row>
    <row r="3379">
      <c r="A3379" s="402">
        <f t="array" ref="A3379">INDIRECT("Tableau!$A$166")</f>
        <v>527</v>
      </c>
      <c r="B3379" s="398" t="s">
        <v>477</v>
      </c>
      <c r="C3379" s="400" t="str">
        <f t="array" ref="C3379">INDIRECT("Tableau!$AM$166")</f>
        <v/>
      </c>
      <c r="D3379" s="400" t="str">
        <f t="shared" si="19"/>
        <v>OUT</v>
      </c>
      <c r="E3379" s="403" t="str">
        <f t="array" ref="E3379">INDIRECT("Tableau!$AN$166")</f>
        <v/>
      </c>
    </row>
    <row r="3380">
      <c r="A3380" s="402">
        <f t="array" ref="A3380">INDIRECT("Tableau!$A$167")</f>
        <v>512</v>
      </c>
      <c r="B3380" s="398" t="s">
        <v>477</v>
      </c>
      <c r="C3380" s="400" t="str">
        <f t="array" ref="C3380">INDIRECT("Tableau!$AM$167")</f>
        <v>DPS</v>
      </c>
      <c r="D3380" s="400" t="str">
        <f t="shared" si="19"/>
        <v>OUT</v>
      </c>
      <c r="E3380" s="403" t="str">
        <f t="array" ref="E3380">INDIRECT("Tableau!$AN$167")</f>
        <v/>
      </c>
    </row>
    <row r="3381">
      <c r="A3381" s="402">
        <f t="array" ref="A3381">INDIRECT("Tableau!$A$168")</f>
        <v>513</v>
      </c>
      <c r="B3381" s="398" t="s">
        <v>477</v>
      </c>
      <c r="C3381" s="400" t="str">
        <f t="array" ref="C3381">INDIRECT("Tableau!$AM$168")</f>
        <v/>
      </c>
      <c r="D3381" s="400" t="str">
        <f t="shared" si="19"/>
        <v>OUT</v>
      </c>
      <c r="E3381" s="403" t="str">
        <f t="array" ref="E3381">INDIRECT("Tableau!$AN$168")</f>
        <v/>
      </c>
    </row>
    <row r="3382">
      <c r="A3382" s="402">
        <f t="array" ref="A3382">INDIRECT("Tableau!$A$169")</f>
        <v>514</v>
      </c>
      <c r="B3382" s="398" t="s">
        <v>477</v>
      </c>
      <c r="C3382" s="400" t="str">
        <f t="array" ref="C3382">INDIRECT("Tableau!$AM$169")</f>
        <v/>
      </c>
      <c r="D3382" s="400" t="str">
        <f t="shared" si="19"/>
        <v>OUT</v>
      </c>
      <c r="E3382" s="403" t="str">
        <f t="array" ref="E3382">INDIRECT("Tableau!$AN$169")</f>
        <v/>
      </c>
    </row>
    <row r="3383">
      <c r="A3383" s="402">
        <f t="array" ref="A3383">INDIRECT("Tableau!$A$170")</f>
        <v>515</v>
      </c>
      <c r="B3383" s="398" t="s">
        <v>477</v>
      </c>
      <c r="C3383" s="400" t="str">
        <f t="array" ref="C3383">INDIRECT("Tableau!$AM$170")</f>
        <v/>
      </c>
      <c r="D3383" s="400" t="str">
        <f t="shared" si="19"/>
        <v>OUT</v>
      </c>
      <c r="E3383" s="403" t="str">
        <f t="array" ref="E3383">INDIRECT("Tableau!$AN$170")</f>
        <v/>
      </c>
    </row>
    <row r="3384">
      <c r="A3384" s="402">
        <f t="array" ref="A3384">INDIRECT("Tableau!$A$171")</f>
        <v>517</v>
      </c>
      <c r="B3384" s="398" t="s">
        <v>477</v>
      </c>
      <c r="C3384" s="400" t="str">
        <f t="array" ref="C3384">INDIRECT("Tableau!$AM$171")</f>
        <v/>
      </c>
      <c r="D3384" s="400" t="str">
        <f t="shared" si="19"/>
        <v>OUT</v>
      </c>
      <c r="E3384" s="403" t="str">
        <f t="array" ref="E3384">INDIRECT("Tableau!$AN$171")</f>
        <v/>
      </c>
    </row>
    <row r="3385">
      <c r="A3385" s="402">
        <f t="array" ref="A3385">INDIRECT("Tableau!$A$172")</f>
        <v>518</v>
      </c>
      <c r="B3385" s="398" t="s">
        <v>477</v>
      </c>
      <c r="C3385" s="400" t="str">
        <f t="array" ref="C3385">INDIRECT("Tableau!$AM$172")</f>
        <v/>
      </c>
      <c r="D3385" s="400" t="str">
        <f t="shared" si="19"/>
        <v>OUT</v>
      </c>
      <c r="E3385" s="403" t="str">
        <f t="array" ref="E3385">INDIRECT("Tableau!$AN$172")</f>
        <v/>
      </c>
    </row>
    <row r="3386">
      <c r="A3386" s="397" t="str">
        <f t="array" ref="A3386">INDIRECT("Tableau!$A$173")</f>
        <v/>
      </c>
      <c r="B3386" s="398" t="s">
        <v>477</v>
      </c>
      <c r="C3386" s="400" t="str">
        <f t="array" ref="C3386">INDIRECT("Tableau!$AM$173")</f>
        <v/>
      </c>
      <c r="D3386" s="400" t="str">
        <f t="shared" si="19"/>
        <v>OUT</v>
      </c>
      <c r="E3386" s="403" t="str">
        <f t="array" ref="E3386">INDIRECT("Tableau!$AN$173")</f>
        <v/>
      </c>
    </row>
    <row r="3387">
      <c r="A3387" s="402">
        <f t="array" ref="A3387">INDIRECT("Tableau!$A$174")</f>
        <v>520</v>
      </c>
      <c r="B3387" s="398" t="s">
        <v>477</v>
      </c>
      <c r="C3387" s="400" t="str">
        <f t="array" ref="C3387">INDIRECT("Tableau!$AM$174")</f>
        <v/>
      </c>
      <c r="D3387" s="400" t="str">
        <f t="shared" si="19"/>
        <v>OUT</v>
      </c>
      <c r="E3387" s="403" t="str">
        <f t="array" ref="E3387">INDIRECT("Tableau!$AN$174")</f>
        <v/>
      </c>
    </row>
    <row r="3388">
      <c r="A3388" s="402">
        <f t="array" ref="A3388">INDIRECT("Tableau!$A$175")</f>
        <v>521</v>
      </c>
      <c r="B3388" s="398" t="s">
        <v>477</v>
      </c>
      <c r="C3388" s="400" t="str">
        <f t="array" ref="C3388">INDIRECT("Tableau!$AM$175")</f>
        <v/>
      </c>
      <c r="D3388" s="400" t="str">
        <f t="shared" si="19"/>
        <v>OUT</v>
      </c>
      <c r="E3388" s="403" t="str">
        <f t="array" ref="E3388">INDIRECT("Tableau!$AN$175")</f>
        <v/>
      </c>
    </row>
    <row r="3389">
      <c r="A3389" s="402">
        <f t="array" ref="A3389">INDIRECT("Tableau!$A$176")</f>
        <v>525</v>
      </c>
      <c r="B3389" s="398" t="s">
        <v>477</v>
      </c>
      <c r="C3389" s="400" t="str">
        <f t="array" ref="C3389">INDIRECT("Tableau!$AM$176")</f>
        <v/>
      </c>
      <c r="D3389" s="400" t="str">
        <f t="shared" si="19"/>
        <v>OUT</v>
      </c>
      <c r="E3389" s="403" t="str">
        <f t="array" ref="E3389">INDIRECT("Tableau!$AN$176")</f>
        <v/>
      </c>
    </row>
    <row r="3390">
      <c r="A3390" s="402">
        <f t="array" ref="A3390">INDIRECT("Tableau!$A$177")</f>
        <v>530</v>
      </c>
      <c r="B3390" s="398" t="s">
        <v>477</v>
      </c>
      <c r="C3390" s="400" t="str">
        <f t="array" ref="C3390">INDIRECT("Tableau!$AM$177")</f>
        <v/>
      </c>
      <c r="D3390" s="400" t="str">
        <f t="shared" si="19"/>
        <v>OUT</v>
      </c>
      <c r="E3390" s="403" t="str">
        <f t="array" ref="E3390">INDIRECT("Tableau!$AN$177")</f>
        <v/>
      </c>
    </row>
    <row r="3391">
      <c r="A3391" s="397" t="str">
        <f t="array" ref="A3391">INDIRECT("Tableau!$A$178")</f>
        <v/>
      </c>
      <c r="B3391" s="398" t="s">
        <v>477</v>
      </c>
      <c r="C3391" s="400" t="str">
        <f t="array" ref="C3391">INDIRECT("Tableau!$AM$178")</f>
        <v/>
      </c>
      <c r="D3391" s="400" t="str">
        <f t="shared" si="19"/>
        <v>OUT</v>
      </c>
      <c r="E3391" s="403" t="str">
        <f t="array" ref="E3391">INDIRECT("Tableau!$AN$178")</f>
        <v/>
      </c>
    </row>
    <row r="3392">
      <c r="A3392" s="397" t="str">
        <f t="array" ref="A3392">INDIRECT("Tableau!$A$179")</f>
        <v/>
      </c>
      <c r="B3392" s="398" t="s">
        <v>477</v>
      </c>
      <c r="C3392" s="400" t="str">
        <f t="array" ref="C3392">INDIRECT("Tableau!$AM$179")</f>
        <v/>
      </c>
      <c r="D3392" s="400" t="str">
        <f t="shared" si="19"/>
        <v>OUT</v>
      </c>
      <c r="E3392" s="403" t="str">
        <f t="array" ref="E3392">INDIRECT("Tableau!$AN$179")</f>
        <v/>
      </c>
    </row>
    <row r="3393">
      <c r="A3393" s="397" t="str">
        <f t="array" ref="A3393">INDIRECT("Tableau!$A$180")</f>
        <v/>
      </c>
      <c r="B3393" s="398" t="s">
        <v>477</v>
      </c>
      <c r="C3393" s="400" t="str">
        <f t="array" ref="C3393">INDIRECT("Tableau!$AM$180")</f>
        <v/>
      </c>
      <c r="D3393" s="400" t="str">
        <f t="shared" si="19"/>
        <v>OUT</v>
      </c>
      <c r="E3393" s="403" t="str">
        <f t="array" ref="E3393">INDIRECT("Tableau!$AN$180")</f>
        <v/>
      </c>
    </row>
    <row r="3394">
      <c r="A3394" s="397" t="str">
        <f t="array" ref="A3394">INDIRECT("Tableau!$A$181")</f>
        <v/>
      </c>
      <c r="B3394" s="398" t="s">
        <v>477</v>
      </c>
      <c r="C3394" s="400" t="str">
        <f t="array" ref="C3394">INDIRECT("Tableau!$AM$181")</f>
        <v/>
      </c>
      <c r="D3394" s="400" t="str">
        <f t="shared" si="19"/>
        <v>OUT</v>
      </c>
      <c r="E3394" s="403" t="str">
        <f t="array" ref="E3394">INDIRECT("Tableau!$AN$181")</f>
        <v/>
      </c>
    </row>
    <row r="3395">
      <c r="A3395" s="397" t="str">
        <f t="array" ref="A3395">INDIRECT("Tableau!$A$182")</f>
        <v/>
      </c>
      <c r="B3395" s="398" t="s">
        <v>477</v>
      </c>
      <c r="C3395" s="400" t="str">
        <f t="array" ref="C3395">INDIRECT("Tableau!$AM$182")</f>
        <v/>
      </c>
      <c r="D3395" s="400" t="str">
        <f t="shared" si="19"/>
        <v>OUT</v>
      </c>
      <c r="E3395" s="403" t="str">
        <f t="array" ref="E3395">INDIRECT("Tableau!$AN$182")</f>
        <v/>
      </c>
    </row>
    <row r="3396">
      <c r="A3396" s="397" t="str">
        <f t="array" ref="A3396">INDIRECT("Tableau!$A$183")</f>
        <v/>
      </c>
      <c r="B3396" s="398" t="s">
        <v>477</v>
      </c>
      <c r="C3396" s="400" t="str">
        <f t="array" ref="C3396">INDIRECT("Tableau!$AM$183")</f>
        <v/>
      </c>
      <c r="D3396" s="400" t="str">
        <f t="shared" si="19"/>
        <v>OUT</v>
      </c>
      <c r="E3396" s="403" t="str">
        <f t="array" ref="E3396">INDIRECT("Tableau!$AN$183")</f>
        <v/>
      </c>
    </row>
    <row r="3397">
      <c r="A3397" s="397" t="str">
        <f t="array" ref="A3397">INDIRECT("Tableau!$A$184")</f>
        <v/>
      </c>
      <c r="B3397" s="398" t="s">
        <v>477</v>
      </c>
      <c r="C3397" s="400" t="str">
        <f t="array" ref="C3397">INDIRECT("Tableau!$AM$184")</f>
        <v/>
      </c>
      <c r="D3397" s="400" t="str">
        <f t="shared" si="19"/>
        <v>OUT</v>
      </c>
      <c r="E3397" s="403" t="str">
        <f t="array" ref="E3397">INDIRECT("Tableau!$AN$184")</f>
        <v/>
      </c>
    </row>
    <row r="3398">
      <c r="A3398" s="397" t="str">
        <f t="array" ref="A3398">INDIRECT("Tableau!$A$185")</f>
        <v/>
      </c>
      <c r="B3398" s="398" t="s">
        <v>477</v>
      </c>
      <c r="C3398" s="400" t="str">
        <f t="array" ref="C3398">INDIRECT("Tableau!$AM$185")</f>
        <v/>
      </c>
      <c r="D3398" s="400" t="str">
        <f t="shared" si="19"/>
        <v>OUT</v>
      </c>
      <c r="E3398" s="403" t="str">
        <f t="array" ref="E3398">INDIRECT("Tableau!$AN$185")</f>
        <v/>
      </c>
    </row>
    <row r="3399">
      <c r="A3399" s="397" t="str">
        <f t="array" ref="A3399">INDIRECT("Tableau!$A$186")</f>
        <v/>
      </c>
      <c r="B3399" s="398" t="s">
        <v>477</v>
      </c>
      <c r="C3399" s="400" t="str">
        <f t="array" ref="C3399">INDIRECT("Tableau!$AM$186")</f>
        <v/>
      </c>
      <c r="D3399" s="400" t="str">
        <f t="shared" si="19"/>
        <v>OUT</v>
      </c>
      <c r="E3399" s="403" t="str">
        <f t="array" ref="E3399">INDIRECT("Tableau!$AN$186")</f>
        <v/>
      </c>
    </row>
    <row r="3400">
      <c r="A3400" s="397" t="str">
        <f t="array" ref="A3400">INDIRECT("Tableau!$A$187")</f>
        <v/>
      </c>
      <c r="B3400" s="398" t="s">
        <v>477</v>
      </c>
      <c r="C3400" s="400" t="str">
        <f t="array" ref="C3400">INDIRECT("Tableau!$AM$187")</f>
        <v/>
      </c>
      <c r="D3400" s="400" t="str">
        <f t="shared" si="19"/>
        <v>OUT</v>
      </c>
      <c r="E3400" s="403" t="str">
        <f t="array" ref="E3400">INDIRECT("Tableau!$AN$187")</f>
        <v/>
      </c>
    </row>
    <row r="3401">
      <c r="A3401" s="397" t="str">
        <f t="array" ref="A3401">INDIRECT("Tableau!$A$188")</f>
        <v/>
      </c>
      <c r="B3401" s="398" t="s">
        <v>477</v>
      </c>
      <c r="C3401" s="400" t="str">
        <f t="array" ref="C3401">INDIRECT("Tableau!$AM$188")</f>
        <v/>
      </c>
      <c r="D3401" s="400" t="str">
        <f t="shared" si="19"/>
        <v>OUT</v>
      </c>
      <c r="E3401" s="403" t="str">
        <f t="array" ref="E3401">INDIRECT("Tableau!$AN$188")</f>
        <v/>
      </c>
    </row>
    <row r="3402">
      <c r="A3402" s="397" t="str">
        <f t="array" ref="A3402">INDIRECT("Tableau!$A$189")</f>
        <v/>
      </c>
      <c r="B3402" s="398" t="s">
        <v>477</v>
      </c>
      <c r="C3402" s="400" t="str">
        <f t="array" ref="C3402">INDIRECT("Tableau!$AM$189")</f>
        <v/>
      </c>
      <c r="D3402" s="400" t="str">
        <f t="shared" si="19"/>
        <v>OUT</v>
      </c>
      <c r="E3402" s="403" t="str">
        <f t="array" ref="E3402">INDIRECT("Tableau!$AN$189")</f>
        <v/>
      </c>
    </row>
    <row r="3403">
      <c r="A3403" s="397" t="str">
        <f t="array" ref="A3403">INDIRECT("Tableau!$A$190")</f>
        <v/>
      </c>
      <c r="B3403" s="398" t="s">
        <v>477</v>
      </c>
      <c r="C3403" s="400" t="str">
        <f t="array" ref="C3403">INDIRECT("Tableau!$AM$190")</f>
        <v/>
      </c>
      <c r="D3403" s="400" t="str">
        <f t="shared" si="19"/>
        <v>OUT</v>
      </c>
      <c r="E3403" s="403" t="str">
        <f t="array" ref="E3403">INDIRECT("Tableau!$AN$190")</f>
        <v/>
      </c>
    </row>
    <row r="3404">
      <c r="A3404" s="397" t="str">
        <f t="array" ref="A3404">INDIRECT("Tableau!$A$2")</f>
        <v/>
      </c>
      <c r="B3404" s="398" t="s">
        <v>478</v>
      </c>
      <c r="C3404" s="400" t="str">
        <f t="array" ref="C3404">INDIRECT("Tableau!$AO$2")</f>
        <v/>
      </c>
      <c r="D3404" s="400" t="str">
        <f t="shared" ref="D3404:D3592" si="20">INDIRECT("Tableau!$AP$1")</f>
        <v>IN</v>
      </c>
      <c r="E3404" s="403" t="str">
        <f t="array" ref="E3404">INDIRECT("Tableau!$AP$2")</f>
        <v/>
      </c>
    </row>
    <row r="3405">
      <c r="A3405" s="402">
        <f t="array" ref="A3405">INDIRECT("Tableau!$A$3")</f>
        <v>102</v>
      </c>
      <c r="B3405" s="398" t="s">
        <v>478</v>
      </c>
      <c r="C3405" s="400" t="str">
        <f t="array" ref="C3405">INDIRECT("Tableau!$AO$3")</f>
        <v>DEMA</v>
      </c>
      <c r="D3405" s="400" t="str">
        <f t="shared" si="20"/>
        <v>IN</v>
      </c>
      <c r="E3405" s="403" t="str">
        <f t="array" ref="E3405">INDIRECT("Tableau!$AP$3")</f>
        <v/>
      </c>
    </row>
    <row r="3406">
      <c r="A3406" s="397" t="str">
        <f t="array" ref="A3406">INDIRECT("Tableau!$A$4")</f>
        <v/>
      </c>
      <c r="B3406" s="398" t="s">
        <v>478</v>
      </c>
      <c r="C3406" s="400" t="str">
        <f t="array" ref="C3406">INDIRECT("Tableau!$AO$4")</f>
        <v/>
      </c>
      <c r="D3406" s="400" t="str">
        <f t="shared" si="20"/>
        <v>IN</v>
      </c>
      <c r="E3406" s="403" t="str">
        <f t="array" ref="E3406">INDIRECT("Tableau!$AP$4")</f>
        <v/>
      </c>
    </row>
    <row r="3407">
      <c r="A3407" s="402">
        <f t="array" ref="A3407">INDIRECT("Tableau!$A$5")</f>
        <v>104</v>
      </c>
      <c r="B3407" s="398" t="s">
        <v>478</v>
      </c>
      <c r="C3407" s="400" t="str">
        <f t="array" ref="C3407">INDIRECT("Tableau!$AO$5")</f>
        <v/>
      </c>
      <c r="D3407" s="400" t="str">
        <f t="shared" si="20"/>
        <v>IN</v>
      </c>
      <c r="E3407" s="403" t="str">
        <f t="array" ref="E3407">INDIRECT("Tableau!$AP$5")</f>
        <v/>
      </c>
    </row>
    <row r="3408">
      <c r="A3408" s="402">
        <f t="array" ref="A3408">INDIRECT("Tableau!$A$6")</f>
        <v>105</v>
      </c>
      <c r="B3408" s="398" t="s">
        <v>478</v>
      </c>
      <c r="C3408" s="400" t="str">
        <f t="array" ref="C3408">INDIRECT("Tableau!$AO$6")</f>
        <v/>
      </c>
      <c r="D3408" s="400" t="str">
        <f t="shared" si="20"/>
        <v>IN</v>
      </c>
      <c r="E3408" s="403" t="str">
        <f t="array" ref="E3408">INDIRECT("Tableau!$AP$6")</f>
        <v/>
      </c>
    </row>
    <row r="3409">
      <c r="A3409" s="402">
        <f t="array" ref="A3409">INDIRECT("Tableau!$A$7")</f>
        <v>106</v>
      </c>
      <c r="B3409" s="398" t="s">
        <v>478</v>
      </c>
      <c r="C3409" s="400" t="str">
        <f t="array" ref="C3409">INDIRECT("Tableau!$AO$7")</f>
        <v/>
      </c>
      <c r="D3409" s="400" t="str">
        <f t="shared" si="20"/>
        <v>IN</v>
      </c>
      <c r="E3409" s="403" t="str">
        <f t="array" ref="E3409">INDIRECT("Tableau!$AP$7")</f>
        <v/>
      </c>
    </row>
    <row r="3410">
      <c r="A3410" s="402">
        <f t="array" ref="A3410">INDIRECT("Tableau!$A$8")</f>
        <v>107</v>
      </c>
      <c r="B3410" s="398" t="s">
        <v>478</v>
      </c>
      <c r="C3410" s="400" t="str">
        <f t="array" ref="C3410">INDIRECT("Tableau!$AO$8")</f>
        <v/>
      </c>
      <c r="D3410" s="400" t="str">
        <f t="shared" si="20"/>
        <v>IN</v>
      </c>
      <c r="E3410" s="403" t="str">
        <f t="array" ref="E3410">INDIRECT("Tableau!$AP$8")</f>
        <v/>
      </c>
    </row>
    <row r="3411">
      <c r="A3411" s="397">
        <f t="array" ref="A3411">INDIRECT("Tableau!$A$9")</f>
        <v>108</v>
      </c>
      <c r="B3411" s="398" t="s">
        <v>478</v>
      </c>
      <c r="C3411" s="400" t="str">
        <f t="array" ref="C3411">INDIRECT("Tableau!$AO$9")</f>
        <v/>
      </c>
      <c r="D3411" s="400" t="str">
        <f t="shared" si="20"/>
        <v>IN</v>
      </c>
      <c r="E3411" s="403" t="str">
        <f t="array" ref="E3411">INDIRECT("Tableau!$AP$9")</f>
        <v/>
      </c>
    </row>
    <row r="3412">
      <c r="A3412" s="402">
        <f t="array" ref="A3412">INDIRECT("Tableau!$A$10")</f>
        <v>109</v>
      </c>
      <c r="B3412" s="398" t="s">
        <v>478</v>
      </c>
      <c r="C3412" s="400" t="str">
        <f t="array" ref="C3412">INDIRECT("Tableau!$AO$10")</f>
        <v/>
      </c>
      <c r="D3412" s="400" t="str">
        <f t="shared" si="20"/>
        <v>IN</v>
      </c>
      <c r="E3412" s="403" t="str">
        <f t="array" ref="E3412">INDIRECT("Tableau!$AP$10")</f>
        <v/>
      </c>
    </row>
    <row r="3413">
      <c r="A3413" s="402">
        <f t="array" ref="A3413">INDIRECT("Tableau!$A$11")</f>
        <v>110</v>
      </c>
      <c r="B3413" s="398" t="s">
        <v>478</v>
      </c>
      <c r="C3413" s="400" t="str">
        <f t="array" ref="C3413">INDIRECT("Tableau!$AO$11")</f>
        <v/>
      </c>
      <c r="D3413" s="400" t="str">
        <f t="shared" si="20"/>
        <v>IN</v>
      </c>
      <c r="E3413" s="403" t="str">
        <f t="array" ref="E3413">INDIRECT("Tableau!$AP$11")</f>
        <v/>
      </c>
    </row>
    <row r="3414">
      <c r="A3414" s="402">
        <f t="array" ref="A3414">INDIRECT("Tableau!$A$12")</f>
        <v>111</v>
      </c>
      <c r="B3414" s="398" t="s">
        <v>478</v>
      </c>
      <c r="C3414" s="400" t="str">
        <f t="array" ref="C3414">INDIRECT("Tableau!$AO$12")</f>
        <v/>
      </c>
      <c r="D3414" s="400" t="str">
        <f t="shared" si="20"/>
        <v>IN</v>
      </c>
      <c r="E3414" s="403" t="str">
        <f t="array" ref="E3414">INDIRECT("Tableau!$AP$12")</f>
        <v/>
      </c>
    </row>
    <row r="3415">
      <c r="A3415" s="402">
        <f t="array" ref="A3415">INDIRECT("Tableau!$A$13")</f>
        <v>112</v>
      </c>
      <c r="B3415" s="398" t="s">
        <v>478</v>
      </c>
      <c r="C3415" s="400" t="str">
        <f t="array" ref="C3415">INDIRECT("Tableau!$AO$13")</f>
        <v/>
      </c>
      <c r="D3415" s="400" t="str">
        <f t="shared" si="20"/>
        <v>IN</v>
      </c>
      <c r="E3415" s="403" t="str">
        <f t="array" ref="E3415">INDIRECT("Tableau!$AP$13")</f>
        <v/>
      </c>
    </row>
    <row r="3416">
      <c r="A3416" s="402">
        <f t="array" ref="A3416">INDIRECT("Tableau!$A$14")</f>
        <v>113</v>
      </c>
      <c r="B3416" s="398" t="s">
        <v>478</v>
      </c>
      <c r="C3416" s="400" t="str">
        <f t="array" ref="C3416">INDIRECT("Tableau!$AO$14")</f>
        <v/>
      </c>
      <c r="D3416" s="400" t="str">
        <f t="shared" si="20"/>
        <v>IN</v>
      </c>
      <c r="E3416" s="403" t="str">
        <f t="array" ref="E3416">INDIRECT("Tableau!$AP$14")</f>
        <v/>
      </c>
    </row>
    <row r="3417">
      <c r="A3417" s="397">
        <f t="array" ref="A3417">INDIRECT("Tableau!$A$15")</f>
        <v>114</v>
      </c>
      <c r="B3417" s="398" t="s">
        <v>478</v>
      </c>
      <c r="C3417" s="400" t="str">
        <f t="array" ref="C3417">INDIRECT("Tableau!$AO$15")</f>
        <v/>
      </c>
      <c r="D3417" s="400" t="str">
        <f t="shared" si="20"/>
        <v>IN</v>
      </c>
      <c r="E3417" s="403" t="str">
        <f t="array" ref="E3417">INDIRECT("Tableau!$AP$15")</f>
        <v/>
      </c>
    </row>
    <row r="3418">
      <c r="A3418" s="397" t="str">
        <f t="array" ref="A3418">INDIRECT("Tableau!$A$16")</f>
        <v/>
      </c>
      <c r="B3418" s="398" t="s">
        <v>478</v>
      </c>
      <c r="C3418" s="400" t="str">
        <f t="array" ref="C3418">INDIRECT("Tableau!$AO$16")</f>
        <v/>
      </c>
      <c r="D3418" s="400" t="str">
        <f t="shared" si="20"/>
        <v>IN</v>
      </c>
      <c r="E3418" s="403" t="str">
        <f t="array" ref="E3418">INDIRECT("Tableau!$AP$16")</f>
        <v/>
      </c>
    </row>
    <row r="3419">
      <c r="A3419" s="397" t="str">
        <f t="array" ref="A3419">INDIRECT("Tableau!$A$17")</f>
        <v/>
      </c>
      <c r="B3419" s="398" t="s">
        <v>478</v>
      </c>
      <c r="C3419" s="400" t="str">
        <f t="array" ref="C3419">INDIRECT("Tableau!$AO$17")</f>
        <v/>
      </c>
      <c r="D3419" s="400" t="str">
        <f t="shared" si="20"/>
        <v>IN</v>
      </c>
      <c r="E3419" s="403" t="str">
        <f t="array" ref="E3419">INDIRECT("Tableau!$AP$17")</f>
        <v/>
      </c>
    </row>
    <row r="3420">
      <c r="A3420" s="397" t="str">
        <f t="array" ref="A3420">INDIRECT("Tableau!$A$18")</f>
        <v/>
      </c>
      <c r="B3420" s="398" t="s">
        <v>478</v>
      </c>
      <c r="C3420" s="400" t="str">
        <f t="array" ref="C3420">INDIRECT("Tableau!$AO$18")</f>
        <v/>
      </c>
      <c r="D3420" s="400" t="str">
        <f t="shared" si="20"/>
        <v>IN</v>
      </c>
      <c r="E3420" s="403" t="str">
        <f t="array" ref="E3420">INDIRECT("Tableau!$AP$18")</f>
        <v/>
      </c>
    </row>
    <row r="3421">
      <c r="A3421" s="397" t="str">
        <f t="array" ref="A3421">INDIRECT("Tableau!$A$19")</f>
        <v/>
      </c>
      <c r="B3421" s="398" t="s">
        <v>478</v>
      </c>
      <c r="C3421" s="400" t="str">
        <f t="array" ref="C3421">INDIRECT("Tableau!$AO$19")</f>
        <v/>
      </c>
      <c r="D3421" s="400" t="str">
        <f t="shared" si="20"/>
        <v>IN</v>
      </c>
      <c r="E3421" s="403" t="str">
        <f t="array" ref="E3421">INDIRECT("Tableau!$AP$19")</f>
        <v/>
      </c>
    </row>
    <row r="3422">
      <c r="A3422" s="397" t="str">
        <f t="array" ref="A3422">INDIRECT("Tableau!$A$20")</f>
        <v/>
      </c>
      <c r="B3422" s="398" t="s">
        <v>478</v>
      </c>
      <c r="C3422" s="400" t="str">
        <f t="array" ref="C3422">INDIRECT("Tableau!$AO$20")</f>
        <v/>
      </c>
      <c r="D3422" s="400" t="str">
        <f t="shared" si="20"/>
        <v>IN</v>
      </c>
      <c r="E3422" s="403" t="str">
        <f t="array" ref="E3422">INDIRECT("Tableau!$AP$20")</f>
        <v/>
      </c>
    </row>
    <row r="3423">
      <c r="A3423" s="397" t="str">
        <f t="array" ref="A3423">INDIRECT("Tableau!$A$21")</f>
        <v/>
      </c>
      <c r="B3423" s="398" t="s">
        <v>478</v>
      </c>
      <c r="C3423" s="400" t="str">
        <f t="array" ref="C3423">INDIRECT("Tableau!$AO$21")</f>
        <v/>
      </c>
      <c r="D3423" s="400" t="str">
        <f t="shared" si="20"/>
        <v>IN</v>
      </c>
      <c r="E3423" s="403" t="str">
        <f t="array" ref="E3423">INDIRECT("Tableau!$AP$21")</f>
        <v/>
      </c>
    </row>
    <row r="3424">
      <c r="A3424" s="397" t="str">
        <f t="array" ref="A3424">INDIRECT("Tableau!$A$22")</f>
        <v/>
      </c>
      <c r="B3424" s="398" t="s">
        <v>478</v>
      </c>
      <c r="C3424" s="400" t="str">
        <f t="array" ref="C3424">INDIRECT("Tableau!$AO$22")</f>
        <v/>
      </c>
      <c r="D3424" s="400" t="str">
        <f t="shared" si="20"/>
        <v>IN</v>
      </c>
      <c r="E3424" s="403" t="str">
        <f t="array" ref="E3424">INDIRECT("Tableau!$AP$22")</f>
        <v/>
      </c>
    </row>
    <row r="3425">
      <c r="A3425" s="397" t="str">
        <f t="array" ref="A3425">INDIRECT("Tableau!$A$23")</f>
        <v/>
      </c>
      <c r="B3425" s="398" t="s">
        <v>478</v>
      </c>
      <c r="C3425" s="400" t="str">
        <f t="array" ref="C3425">INDIRECT("Tableau!$AO$23")</f>
        <v/>
      </c>
      <c r="D3425" s="400" t="str">
        <f t="shared" si="20"/>
        <v>IN</v>
      </c>
      <c r="E3425" s="403" t="str">
        <f t="array" ref="E3425">INDIRECT("Tableau!$AP$23")</f>
        <v/>
      </c>
    </row>
    <row r="3426">
      <c r="A3426" s="397" t="str">
        <f t="array" ref="A3426">INDIRECT("Tableau!$A$24")</f>
        <v/>
      </c>
      <c r="B3426" s="398" t="s">
        <v>478</v>
      </c>
      <c r="C3426" s="400" t="str">
        <f t="array" ref="C3426">INDIRECT("Tableau!$AO$24")</f>
        <v/>
      </c>
      <c r="D3426" s="400" t="str">
        <f t="shared" si="20"/>
        <v>IN</v>
      </c>
      <c r="E3426" s="403" t="str">
        <f t="array" ref="E3426">INDIRECT("Tableau!$AP$24")</f>
        <v/>
      </c>
    </row>
    <row r="3427">
      <c r="A3427" s="397" t="str">
        <f t="array" ref="A3427">INDIRECT("Tableau!$A$25")</f>
        <v/>
      </c>
      <c r="B3427" s="398" t="s">
        <v>478</v>
      </c>
      <c r="C3427" s="400" t="str">
        <f t="array" ref="C3427">INDIRECT("Tableau!$AO$25")</f>
        <v/>
      </c>
      <c r="D3427" s="400" t="str">
        <f t="shared" si="20"/>
        <v>IN</v>
      </c>
      <c r="E3427" s="403" t="str">
        <f t="array" ref="E3427">INDIRECT("Tableau!$AP$25")</f>
        <v/>
      </c>
    </row>
    <row r="3428">
      <c r="A3428" s="402">
        <f t="array" ref="A3428">INDIRECT("Tableau!$A$26")</f>
        <v>201</v>
      </c>
      <c r="B3428" s="398" t="s">
        <v>478</v>
      </c>
      <c r="C3428" s="400" t="str">
        <f t="array" ref="C3428">INDIRECT("Tableau!$AO$26")</f>
        <v/>
      </c>
      <c r="D3428" s="400" t="str">
        <f t="shared" si="20"/>
        <v>IN</v>
      </c>
      <c r="E3428" s="403" t="str">
        <f t="array" ref="E3428">INDIRECT("Tableau!$AP$26")</f>
        <v/>
      </c>
    </row>
    <row r="3429">
      <c r="A3429" s="402">
        <f t="array" ref="A3429">INDIRECT("Tableau!$A$27")</f>
        <v>202</v>
      </c>
      <c r="B3429" s="398" t="s">
        <v>478</v>
      </c>
      <c r="C3429" s="400" t="str">
        <f t="array" ref="C3429">INDIRECT("Tableau!$AO$27")</f>
        <v/>
      </c>
      <c r="D3429" s="400" t="str">
        <f t="shared" si="20"/>
        <v>IN</v>
      </c>
      <c r="E3429" s="403" t="str">
        <f t="array" ref="E3429">INDIRECT("Tableau!$AP$27")</f>
        <v/>
      </c>
    </row>
    <row r="3430">
      <c r="A3430" s="402">
        <f t="array" ref="A3430">INDIRECT("Tableau!$A$28")</f>
        <v>203</v>
      </c>
      <c r="B3430" s="398" t="s">
        <v>478</v>
      </c>
      <c r="C3430" s="400" t="str">
        <f t="array" ref="C3430">INDIRECT("Tableau!$AO$28")</f>
        <v/>
      </c>
      <c r="D3430" s="400" t="str">
        <f t="shared" si="20"/>
        <v>IN</v>
      </c>
      <c r="E3430" s="403" t="str">
        <f t="array" ref="E3430">INDIRECT("Tableau!$AP$28")</f>
        <v/>
      </c>
    </row>
    <row r="3431">
      <c r="A3431" s="402">
        <f t="array" ref="A3431">INDIRECT("Tableau!$A$29")</f>
        <v>204</v>
      </c>
      <c r="B3431" s="398" t="s">
        <v>478</v>
      </c>
      <c r="C3431" s="400" t="str">
        <f t="array" ref="C3431">INDIRECT("Tableau!$AO$29")</f>
        <v/>
      </c>
      <c r="D3431" s="400" t="str">
        <f t="shared" si="20"/>
        <v>IN</v>
      </c>
      <c r="E3431" s="403" t="str">
        <f t="array" ref="E3431">INDIRECT("Tableau!$AP$29")</f>
        <v/>
      </c>
    </row>
    <row r="3432">
      <c r="A3432" s="402">
        <f t="array" ref="A3432">INDIRECT("Tableau!$A$30")</f>
        <v>205</v>
      </c>
      <c r="B3432" s="398" t="s">
        <v>478</v>
      </c>
      <c r="C3432" s="400" t="str">
        <f t="array" ref="C3432">INDIRECT("Tableau!$AO$30")</f>
        <v/>
      </c>
      <c r="D3432" s="400" t="str">
        <f t="shared" si="20"/>
        <v>IN</v>
      </c>
      <c r="E3432" s="403" t="str">
        <f t="array" ref="E3432">INDIRECT("Tableau!$AP$30")</f>
        <v/>
      </c>
    </row>
    <row r="3433">
      <c r="A3433" s="402">
        <f t="array" ref="A3433">INDIRECT("Tableau!$A$31")</f>
        <v>206</v>
      </c>
      <c r="B3433" s="398" t="s">
        <v>478</v>
      </c>
      <c r="C3433" s="400" t="str">
        <f t="array" ref="C3433">INDIRECT("Tableau!$AO$31")</f>
        <v/>
      </c>
      <c r="D3433" s="400" t="str">
        <f t="shared" si="20"/>
        <v>IN</v>
      </c>
      <c r="E3433" s="403" t="str">
        <f t="array" ref="E3433">INDIRECT("Tableau!$AP$31")</f>
        <v/>
      </c>
    </row>
    <row r="3434">
      <c r="A3434" s="402">
        <f t="array" ref="A3434">INDIRECT("Tableau!$A$32")</f>
        <v>207</v>
      </c>
      <c r="B3434" s="398" t="s">
        <v>478</v>
      </c>
      <c r="C3434" s="400" t="str">
        <f t="array" ref="C3434">INDIRECT("Tableau!$AO$32")</f>
        <v/>
      </c>
      <c r="D3434" s="400" t="str">
        <f t="shared" si="20"/>
        <v>IN</v>
      </c>
      <c r="E3434" s="403" t="str">
        <f t="array" ref="E3434">INDIRECT("Tableau!$AP$32")</f>
        <v/>
      </c>
    </row>
    <row r="3435">
      <c r="A3435" s="402">
        <f t="array" ref="A3435">INDIRECT("Tableau!$A$33")</f>
        <v>208</v>
      </c>
      <c r="B3435" s="398" t="s">
        <v>478</v>
      </c>
      <c r="C3435" s="400" t="str">
        <f t="array" ref="C3435">INDIRECT("Tableau!$AO$33")</f>
        <v/>
      </c>
      <c r="D3435" s="400" t="str">
        <f t="shared" si="20"/>
        <v>IN</v>
      </c>
      <c r="E3435" s="403" t="str">
        <f t="array" ref="E3435">INDIRECT("Tableau!$AP$33")</f>
        <v/>
      </c>
    </row>
    <row r="3436">
      <c r="A3436" s="402">
        <f t="array" ref="A3436">INDIRECT("Tableau!$A$34")</f>
        <v>209</v>
      </c>
      <c r="B3436" s="398" t="s">
        <v>478</v>
      </c>
      <c r="C3436" s="400" t="str">
        <f t="array" ref="C3436">INDIRECT("Tableau!$AO$34")</f>
        <v/>
      </c>
      <c r="D3436" s="400" t="str">
        <f t="shared" si="20"/>
        <v>IN</v>
      </c>
      <c r="E3436" s="403" t="str">
        <f t="array" ref="E3436">INDIRECT("Tableau!$AP$34")</f>
        <v/>
      </c>
    </row>
    <row r="3437">
      <c r="A3437" s="402">
        <f t="array" ref="A3437">INDIRECT("Tableau!$A$35")</f>
        <v>210</v>
      </c>
      <c r="B3437" s="398" t="s">
        <v>478</v>
      </c>
      <c r="C3437" s="400" t="str">
        <f t="array" ref="C3437">INDIRECT("Tableau!$AO$35")</f>
        <v>Grottes de Han</v>
      </c>
      <c r="D3437" s="400" t="str">
        <f t="shared" si="20"/>
        <v>IN</v>
      </c>
      <c r="E3437" s="403" t="str">
        <f t="array" ref="E3437">INDIRECT("Tableau!$AP$35")</f>
        <v/>
      </c>
    </row>
    <row r="3438">
      <c r="A3438" s="402">
        <f t="array" ref="A3438">INDIRECT("Tableau!$A$36")</f>
        <v>211</v>
      </c>
      <c r="B3438" s="398" t="s">
        <v>478</v>
      </c>
      <c r="C3438" s="400" t="str">
        <f t="array" ref="C3438">INDIRECT("Tableau!$AO$36")</f>
        <v/>
      </c>
      <c r="D3438" s="400" t="str">
        <f t="shared" si="20"/>
        <v>IN</v>
      </c>
      <c r="E3438" s="403" t="str">
        <f t="array" ref="E3438">INDIRECT("Tableau!$AP$36")</f>
        <v/>
      </c>
    </row>
    <row r="3439">
      <c r="A3439" s="402">
        <f t="array" ref="A3439">INDIRECT("Tableau!$A$37")</f>
        <v>212</v>
      </c>
      <c r="B3439" s="398" t="s">
        <v>478</v>
      </c>
      <c r="C3439" s="400" t="str">
        <f t="array" ref="C3439">INDIRECT("Tableau!$AO$37")</f>
        <v/>
      </c>
      <c r="D3439" s="400" t="str">
        <f t="shared" si="20"/>
        <v>IN</v>
      </c>
      <c r="E3439" s="403" t="str">
        <f t="array" ref="E3439">INDIRECT("Tableau!$AP$37")</f>
        <v/>
      </c>
    </row>
    <row r="3440">
      <c r="A3440" s="402">
        <f t="array" ref="A3440">INDIRECT("Tableau!$A$38")</f>
        <v>213</v>
      </c>
      <c r="B3440" s="398" t="s">
        <v>478</v>
      </c>
      <c r="C3440" s="400" t="str">
        <f t="array" ref="C3440">INDIRECT("Tableau!$AO$38")</f>
        <v/>
      </c>
      <c r="D3440" s="400" t="str">
        <f t="shared" si="20"/>
        <v>IN</v>
      </c>
      <c r="E3440" s="403" t="str">
        <f t="array" ref="E3440">INDIRECT("Tableau!$AP$38")</f>
        <v/>
      </c>
    </row>
    <row r="3441">
      <c r="A3441" s="402">
        <f t="array" ref="A3441">INDIRECT("Tableau!$A$39")</f>
        <v>214</v>
      </c>
      <c r="B3441" s="398" t="s">
        <v>478</v>
      </c>
      <c r="C3441" s="400" t="str">
        <f t="array" ref="C3441">INDIRECT("Tableau!$AO$39")</f>
        <v/>
      </c>
      <c r="D3441" s="400" t="str">
        <f t="shared" si="20"/>
        <v>IN</v>
      </c>
      <c r="E3441" s="403" t="str">
        <f t="array" ref="E3441">INDIRECT("Tableau!$AP$39")</f>
        <v/>
      </c>
    </row>
    <row r="3442">
      <c r="A3442" s="402">
        <f t="array" ref="A3442">INDIRECT("Tableau!$A$40")</f>
        <v>215</v>
      </c>
      <c r="B3442" s="398" t="s">
        <v>478</v>
      </c>
      <c r="C3442" s="400" t="str">
        <f t="array" ref="C3442">INDIRECT("Tableau!$AO$40")</f>
        <v/>
      </c>
      <c r="D3442" s="400" t="str">
        <f t="shared" si="20"/>
        <v>IN</v>
      </c>
      <c r="E3442" s="403" t="str">
        <f t="array" ref="E3442">INDIRECT("Tableau!$AP$40")</f>
        <v/>
      </c>
    </row>
    <row r="3443">
      <c r="A3443" s="402">
        <f t="array" ref="A3443">INDIRECT("Tableau!$A$41")</f>
        <v>216</v>
      </c>
      <c r="B3443" s="398" t="s">
        <v>478</v>
      </c>
      <c r="C3443" s="400" t="str">
        <f t="array" ref="C3443">INDIRECT("Tableau!$AO$41")</f>
        <v/>
      </c>
      <c r="D3443" s="400" t="str">
        <f t="shared" si="20"/>
        <v>IN</v>
      </c>
      <c r="E3443" s="403" t="str">
        <f t="array" ref="E3443">INDIRECT("Tableau!$AP$41")</f>
        <v/>
      </c>
    </row>
    <row r="3444">
      <c r="A3444" s="402">
        <f t="array" ref="A3444">INDIRECT("Tableau!$A$42")</f>
        <v>227</v>
      </c>
      <c r="B3444" s="398" t="s">
        <v>478</v>
      </c>
      <c r="C3444" s="400" t="str">
        <f t="array" ref="C3444">INDIRECT("Tableau!$AO$42")</f>
        <v/>
      </c>
      <c r="D3444" s="400" t="str">
        <f t="shared" si="20"/>
        <v>IN</v>
      </c>
      <c r="E3444" s="403" t="str">
        <f t="array" ref="E3444">INDIRECT("Tableau!$AP$42")</f>
        <v/>
      </c>
    </row>
    <row r="3445">
      <c r="A3445" s="402">
        <f t="array" ref="A3445">INDIRECT("Tableau!$A$43")</f>
        <v>217</v>
      </c>
      <c r="B3445" s="398" t="s">
        <v>478</v>
      </c>
      <c r="C3445" s="400" t="str">
        <f t="array" ref="C3445">INDIRECT("Tableau!$AO$43")</f>
        <v/>
      </c>
      <c r="D3445" s="400" t="str">
        <f t="shared" si="20"/>
        <v>IN</v>
      </c>
      <c r="E3445" s="403" t="str">
        <f t="array" ref="E3445">INDIRECT("Tableau!$AP$43")</f>
        <v/>
      </c>
    </row>
    <row r="3446">
      <c r="A3446" s="402">
        <f t="array" ref="A3446">INDIRECT("Tableau!$A$44")</f>
        <v>218</v>
      </c>
      <c r="B3446" s="398" t="s">
        <v>478</v>
      </c>
      <c r="C3446" s="400" t="str">
        <f t="array" ref="C3446">INDIRECT("Tableau!$AO$44")</f>
        <v/>
      </c>
      <c r="D3446" s="400" t="str">
        <f t="shared" si="20"/>
        <v>IN</v>
      </c>
      <c r="E3446" s="403" t="str">
        <f t="array" ref="E3446">INDIRECT("Tableau!$AP$44")</f>
        <v/>
      </c>
    </row>
    <row r="3447">
      <c r="A3447" s="397" t="str">
        <f t="array" ref="A3447">INDIRECT("Tableau!$A$45")</f>
        <v/>
      </c>
      <c r="B3447" s="398" t="s">
        <v>478</v>
      </c>
      <c r="C3447" s="400" t="str">
        <f t="array" ref="C3447">INDIRECT("Tableau!$AO$45")</f>
        <v/>
      </c>
      <c r="D3447" s="400" t="str">
        <f t="shared" si="20"/>
        <v>IN</v>
      </c>
      <c r="E3447" s="403" t="str">
        <f t="array" ref="E3447">INDIRECT("Tableau!$AP$45")</f>
        <v/>
      </c>
    </row>
    <row r="3448">
      <c r="A3448" s="402">
        <f t="array" ref="A3448">INDIRECT("Tableau!$A$46")</f>
        <v>220</v>
      </c>
      <c r="B3448" s="398" t="s">
        <v>478</v>
      </c>
      <c r="C3448" s="400" t="str">
        <f t="array" ref="C3448">INDIRECT("Tableau!$AO$46")</f>
        <v/>
      </c>
      <c r="D3448" s="400" t="str">
        <f t="shared" si="20"/>
        <v>IN</v>
      </c>
      <c r="E3448" s="403" t="str">
        <f t="array" ref="E3448">INDIRECT("Tableau!$AP$46")</f>
        <v/>
      </c>
    </row>
    <row r="3449">
      <c r="A3449" s="402">
        <f t="array" ref="A3449">INDIRECT("Tableau!$A$47")</f>
        <v>221</v>
      </c>
      <c r="B3449" s="398" t="s">
        <v>478</v>
      </c>
      <c r="C3449" s="400" t="str">
        <f t="array" ref="C3449">INDIRECT("Tableau!$AO$47")</f>
        <v/>
      </c>
      <c r="D3449" s="400" t="str">
        <f t="shared" si="20"/>
        <v>IN</v>
      </c>
      <c r="E3449" s="403" t="str">
        <f t="array" ref="E3449">INDIRECT("Tableau!$AP$47")</f>
        <v/>
      </c>
    </row>
    <row r="3450">
      <c r="A3450" s="402">
        <f t="array" ref="A3450">INDIRECT("Tableau!$A$48")</f>
        <v>226</v>
      </c>
      <c r="B3450" s="398" t="s">
        <v>478</v>
      </c>
      <c r="C3450" s="400" t="str">
        <f t="array" ref="C3450">INDIRECT("Tableau!$AO$48")</f>
        <v/>
      </c>
      <c r="D3450" s="400" t="str">
        <f t="shared" si="20"/>
        <v>IN</v>
      </c>
      <c r="E3450" s="403" t="str">
        <f t="array" ref="E3450">INDIRECT("Tableau!$AP$48")</f>
        <v/>
      </c>
    </row>
    <row r="3451">
      <c r="A3451" s="402">
        <f t="array" ref="A3451">INDIRECT("Tableau!$A$49")</f>
        <v>222</v>
      </c>
      <c r="B3451" s="398" t="s">
        <v>478</v>
      </c>
      <c r="C3451" s="400" t="str">
        <f t="array" ref="C3451">INDIRECT("Tableau!$AO$49")</f>
        <v/>
      </c>
      <c r="D3451" s="400" t="str">
        <f t="shared" si="20"/>
        <v>IN</v>
      </c>
      <c r="E3451" s="403" t="str">
        <f t="array" ref="E3451">INDIRECT("Tableau!$AP$49")</f>
        <v/>
      </c>
    </row>
    <row r="3452">
      <c r="A3452" s="402">
        <f t="array" ref="A3452">INDIRECT("Tableau!$A$50")</f>
        <v>224</v>
      </c>
      <c r="B3452" s="398" t="s">
        <v>478</v>
      </c>
      <c r="C3452" s="400" t="str">
        <f t="array" ref="C3452">INDIRECT("Tableau!$AO$50")</f>
        <v/>
      </c>
      <c r="D3452" s="400" t="str">
        <f t="shared" si="20"/>
        <v>IN</v>
      </c>
      <c r="E3452" s="403" t="str">
        <f t="array" ref="E3452">INDIRECT("Tableau!$AP$50")</f>
        <v/>
      </c>
    </row>
    <row r="3453">
      <c r="A3453" s="397">
        <f t="array" ref="A3453">INDIRECT("Tableau!$A$51")</f>
        <v>223</v>
      </c>
      <c r="B3453" s="398" t="s">
        <v>478</v>
      </c>
      <c r="C3453" s="400" t="str">
        <f t="array" ref="C3453">INDIRECT("Tableau!$AO$51")</f>
        <v/>
      </c>
      <c r="D3453" s="400" t="str">
        <f t="shared" si="20"/>
        <v>IN</v>
      </c>
      <c r="E3453" s="403" t="str">
        <f t="array" ref="E3453">INDIRECT("Tableau!$AP$51")</f>
        <v/>
      </c>
    </row>
    <row r="3454">
      <c r="A3454" s="402">
        <f t="array" ref="A3454">INDIRECT("Tableau!$A$52")</f>
        <v>225</v>
      </c>
      <c r="B3454" s="398" t="s">
        <v>478</v>
      </c>
      <c r="C3454" s="400" t="str">
        <f t="array" ref="C3454">INDIRECT("Tableau!$AO$52")</f>
        <v/>
      </c>
      <c r="D3454" s="400" t="str">
        <f t="shared" si="20"/>
        <v>IN</v>
      </c>
      <c r="E3454" s="403" t="str">
        <f t="array" ref="E3454">INDIRECT("Tableau!$AP$52")</f>
        <v/>
      </c>
    </row>
    <row r="3455">
      <c r="A3455" s="402">
        <f t="array" ref="A3455">INDIRECT("Tableau!$A$53")</f>
        <v>230</v>
      </c>
      <c r="B3455" s="398" t="s">
        <v>478</v>
      </c>
      <c r="C3455" s="400" t="str">
        <f t="array" ref="C3455">INDIRECT("Tableau!$AO$53")</f>
        <v>Grottes de Han</v>
      </c>
      <c r="D3455" s="400" t="str">
        <f t="shared" si="20"/>
        <v>IN</v>
      </c>
      <c r="E3455" s="403" t="str">
        <f t="array" ref="E3455">INDIRECT("Tableau!$AP$53")</f>
        <v/>
      </c>
    </row>
    <row r="3456">
      <c r="A3456" s="397">
        <f t="array" ref="A3456">INDIRECT("Tableau!$A$54")</f>
        <v>231</v>
      </c>
      <c r="B3456" s="398" t="s">
        <v>478</v>
      </c>
      <c r="C3456" s="400" t="str">
        <f t="array" ref="C3456">INDIRECT("Tableau!$AO$54")</f>
        <v/>
      </c>
      <c r="D3456" s="400" t="str">
        <f t="shared" si="20"/>
        <v>IN</v>
      </c>
      <c r="E3456" s="403" t="str">
        <f t="array" ref="E3456">INDIRECT("Tableau!$AP$54")</f>
        <v/>
      </c>
    </row>
    <row r="3457">
      <c r="A3457" s="397" t="str">
        <f t="array" ref="A3457">INDIRECT("Tableau!$A$55")</f>
        <v/>
      </c>
      <c r="B3457" s="398" t="s">
        <v>478</v>
      </c>
      <c r="C3457" s="400" t="str">
        <f t="array" ref="C3457">INDIRECT("Tableau!$AO$55")</f>
        <v/>
      </c>
      <c r="D3457" s="400" t="str">
        <f t="shared" si="20"/>
        <v>IN</v>
      </c>
      <c r="E3457" s="403" t="str">
        <f t="array" ref="E3457">INDIRECT("Tableau!$AP$55")</f>
        <v/>
      </c>
    </row>
    <row r="3458">
      <c r="A3458" s="397" t="str">
        <f t="array" ref="A3458">INDIRECT("Tableau!$A$56")</f>
        <v/>
      </c>
      <c r="B3458" s="398" t="s">
        <v>478</v>
      </c>
      <c r="C3458" s="400" t="str">
        <f t="array" ref="C3458">INDIRECT("Tableau!$AO$56")</f>
        <v/>
      </c>
      <c r="D3458" s="400" t="str">
        <f t="shared" si="20"/>
        <v>IN</v>
      </c>
      <c r="E3458" s="403" t="str">
        <f t="array" ref="E3458">INDIRECT("Tableau!$AP$56")</f>
        <v/>
      </c>
    </row>
    <row r="3459">
      <c r="A3459" s="397" t="str">
        <f t="array" ref="A3459">INDIRECT("Tableau!$A$57")</f>
        <v/>
      </c>
      <c r="B3459" s="398" t="s">
        <v>478</v>
      </c>
      <c r="C3459" s="400" t="str">
        <f t="array" ref="C3459">INDIRECT("Tableau!$AO$57")</f>
        <v/>
      </c>
      <c r="D3459" s="400" t="str">
        <f t="shared" si="20"/>
        <v>IN</v>
      </c>
      <c r="E3459" s="403" t="str">
        <f t="array" ref="E3459">INDIRECT("Tableau!$AP$57")</f>
        <v/>
      </c>
    </row>
    <row r="3460">
      <c r="A3460" s="397" t="str">
        <f t="array" ref="A3460">INDIRECT("Tableau!$A$58")</f>
        <v/>
      </c>
      <c r="B3460" s="398" t="s">
        <v>478</v>
      </c>
      <c r="C3460" s="400" t="str">
        <f t="array" ref="C3460">INDIRECT("Tableau!$AO$58")</f>
        <v/>
      </c>
      <c r="D3460" s="400" t="str">
        <f t="shared" si="20"/>
        <v>IN</v>
      </c>
      <c r="E3460" s="403" t="str">
        <f t="array" ref="E3460">INDIRECT("Tableau!$AP$58")</f>
        <v/>
      </c>
    </row>
    <row r="3461">
      <c r="A3461" s="397" t="str">
        <f t="array" ref="A3461">INDIRECT("Tableau!$A$59")</f>
        <v/>
      </c>
      <c r="B3461" s="398" t="s">
        <v>478</v>
      </c>
      <c r="C3461" s="400" t="str">
        <f t="array" ref="C3461">INDIRECT("Tableau!$AO$59")</f>
        <v/>
      </c>
      <c r="D3461" s="400" t="str">
        <f t="shared" si="20"/>
        <v>IN</v>
      </c>
      <c r="E3461" s="403" t="str">
        <f t="array" ref="E3461">INDIRECT("Tableau!$AP$59")</f>
        <v/>
      </c>
    </row>
    <row r="3462">
      <c r="A3462" s="397" t="str">
        <f t="array" ref="A3462">INDIRECT("Tableau!$A$60")</f>
        <v/>
      </c>
      <c r="B3462" s="398" t="s">
        <v>478</v>
      </c>
      <c r="C3462" s="400" t="str">
        <f t="array" ref="C3462">INDIRECT("Tableau!$AO$60")</f>
        <v/>
      </c>
      <c r="D3462" s="400" t="str">
        <f t="shared" si="20"/>
        <v>IN</v>
      </c>
      <c r="E3462" s="403" t="str">
        <f t="array" ref="E3462">INDIRECT("Tableau!$AP$60")</f>
        <v/>
      </c>
    </row>
    <row r="3463">
      <c r="A3463" s="397" t="str">
        <f t="array" ref="A3463">INDIRECT("Tableau!$A$61")</f>
        <v/>
      </c>
      <c r="B3463" s="398" t="s">
        <v>478</v>
      </c>
      <c r="C3463" s="400" t="str">
        <f t="array" ref="C3463">INDIRECT("Tableau!$AO$61")</f>
        <v/>
      </c>
      <c r="D3463" s="400" t="str">
        <f t="shared" si="20"/>
        <v>IN</v>
      </c>
      <c r="E3463" s="403" t="str">
        <f t="array" ref="E3463">INDIRECT("Tableau!$AP$61")</f>
        <v/>
      </c>
    </row>
    <row r="3464">
      <c r="A3464" s="397" t="str">
        <f t="array" ref="A3464">INDIRECT("Tableau!$A$62")</f>
        <v/>
      </c>
      <c r="B3464" s="398" t="s">
        <v>478</v>
      </c>
      <c r="C3464" s="400" t="str">
        <f t="array" ref="C3464">INDIRECT("Tableau!$AO$62")</f>
        <v/>
      </c>
      <c r="D3464" s="400" t="str">
        <f t="shared" si="20"/>
        <v>IN</v>
      </c>
      <c r="E3464" s="403" t="str">
        <f t="array" ref="E3464">INDIRECT("Tableau!$AP$62")</f>
        <v/>
      </c>
    </row>
    <row r="3465">
      <c r="A3465" s="397" t="str">
        <f t="array" ref="A3465">INDIRECT("Tableau!$A$63")</f>
        <v/>
      </c>
      <c r="B3465" s="398" t="s">
        <v>478</v>
      </c>
      <c r="C3465" s="400" t="str">
        <f t="array" ref="C3465">INDIRECT("Tableau!$AO$63")</f>
        <v/>
      </c>
      <c r="D3465" s="400" t="str">
        <f t="shared" si="20"/>
        <v>IN</v>
      </c>
      <c r="E3465" s="403" t="str">
        <f t="array" ref="E3465">INDIRECT("Tableau!$AP$63")</f>
        <v/>
      </c>
    </row>
    <row r="3466">
      <c r="A3466" s="397" t="str">
        <f t="array" ref="A3466">INDIRECT("Tableau!$A$64")</f>
        <v/>
      </c>
      <c r="B3466" s="398" t="s">
        <v>478</v>
      </c>
      <c r="C3466" s="400" t="str">
        <f t="array" ref="C3466">INDIRECT("Tableau!$AO$64")</f>
        <v/>
      </c>
      <c r="D3466" s="400" t="str">
        <f t="shared" si="20"/>
        <v>IN</v>
      </c>
      <c r="E3466" s="403" t="str">
        <f t="array" ref="E3466">INDIRECT("Tableau!$AP$64")</f>
        <v/>
      </c>
    </row>
    <row r="3467">
      <c r="A3467" s="402">
        <f t="array" ref="A3467">INDIRECT("Tableau!$A$65")</f>
        <v>301</v>
      </c>
      <c r="B3467" s="398" t="s">
        <v>478</v>
      </c>
      <c r="C3467" s="400" t="str">
        <f t="array" ref="C3467">INDIRECT("Tableau!$AO$65")</f>
        <v/>
      </c>
      <c r="D3467" s="400" t="str">
        <f t="shared" si="20"/>
        <v>IN</v>
      </c>
      <c r="E3467" s="403" t="str">
        <f t="array" ref="E3467">INDIRECT("Tableau!$AP$65")</f>
        <v/>
      </c>
    </row>
    <row r="3468">
      <c r="A3468" s="397" t="str">
        <f t="array" ref="A3468">INDIRECT("Tableau!$A$66")</f>
        <v/>
      </c>
      <c r="B3468" s="398" t="s">
        <v>478</v>
      </c>
      <c r="C3468" s="400" t="str">
        <f t="array" ref="C3468">INDIRECT("Tableau!$AO$66")</f>
        <v/>
      </c>
      <c r="D3468" s="400" t="str">
        <f t="shared" si="20"/>
        <v>IN</v>
      </c>
      <c r="E3468" s="403" t="str">
        <f t="array" ref="E3468">INDIRECT("Tableau!$AP$66")</f>
        <v/>
      </c>
    </row>
    <row r="3469">
      <c r="A3469" s="402">
        <f t="array" ref="A3469">INDIRECT("Tableau!$A$67")</f>
        <v>303</v>
      </c>
      <c r="B3469" s="398" t="s">
        <v>478</v>
      </c>
      <c r="C3469" s="400" t="str">
        <f t="array" ref="C3469">INDIRECT("Tableau!$AO$67")</f>
        <v/>
      </c>
      <c r="D3469" s="400" t="str">
        <f t="shared" si="20"/>
        <v>IN</v>
      </c>
      <c r="E3469" s="403" t="str">
        <f t="array" ref="E3469">INDIRECT("Tableau!$AP$67")</f>
        <v/>
      </c>
    </row>
    <row r="3470">
      <c r="A3470" s="402">
        <f t="array" ref="A3470">INDIRECT("Tableau!$A$68")</f>
        <v>304</v>
      </c>
      <c r="B3470" s="398" t="s">
        <v>478</v>
      </c>
      <c r="C3470" s="400" t="str">
        <f t="array" ref="C3470">INDIRECT("Tableau!$AO$68")</f>
        <v/>
      </c>
      <c r="D3470" s="400" t="str">
        <f t="shared" si="20"/>
        <v>IN</v>
      </c>
      <c r="E3470" s="403" t="str">
        <f t="array" ref="E3470">INDIRECT("Tableau!$AP$68")</f>
        <v/>
      </c>
    </row>
    <row r="3471">
      <c r="A3471" s="402">
        <f t="array" ref="A3471">INDIRECT("Tableau!$A$69")</f>
        <v>305</v>
      </c>
      <c r="B3471" s="398" t="s">
        <v>478</v>
      </c>
      <c r="C3471" s="400" t="str">
        <f t="array" ref="C3471">INDIRECT("Tableau!$AO$69")</f>
        <v/>
      </c>
      <c r="D3471" s="400" t="str">
        <f t="shared" si="20"/>
        <v>IN</v>
      </c>
      <c r="E3471" s="403" t="str">
        <f t="array" ref="E3471">INDIRECT("Tableau!$AP$69")</f>
        <v/>
      </c>
    </row>
    <row r="3472">
      <c r="A3472" s="402">
        <f t="array" ref="A3472">INDIRECT("Tableau!$A$70")</f>
        <v>306</v>
      </c>
      <c r="B3472" s="398" t="s">
        <v>478</v>
      </c>
      <c r="C3472" s="400" t="str">
        <f t="array" ref="C3472">INDIRECT("Tableau!$AO$70")</f>
        <v/>
      </c>
      <c r="D3472" s="400" t="str">
        <f t="shared" si="20"/>
        <v>IN</v>
      </c>
      <c r="E3472" s="403" t="str">
        <f t="array" ref="E3472">INDIRECT("Tableau!$AP$70")</f>
        <v/>
      </c>
    </row>
    <row r="3473">
      <c r="A3473" s="402">
        <f t="array" ref="A3473">INDIRECT("Tableau!$A$71")</f>
        <v>307</v>
      </c>
      <c r="B3473" s="398" t="s">
        <v>478</v>
      </c>
      <c r="C3473" s="400" t="str">
        <f t="array" ref="C3473">INDIRECT("Tableau!$AO$71")</f>
        <v/>
      </c>
      <c r="D3473" s="400" t="str">
        <f t="shared" si="20"/>
        <v>IN</v>
      </c>
      <c r="E3473" s="403" t="str">
        <f t="array" ref="E3473">INDIRECT("Tableau!$AP$71")</f>
        <v/>
      </c>
    </row>
    <row r="3474">
      <c r="A3474" s="397">
        <f t="array" ref="A3474">INDIRECT("Tableau!$A$72")</f>
        <v>367</v>
      </c>
      <c r="B3474" s="398" t="s">
        <v>478</v>
      </c>
      <c r="C3474" s="400" t="str">
        <f t="array" ref="C3474">INDIRECT("Tableau!$AO$72")</f>
        <v/>
      </c>
      <c r="D3474" s="400" t="str">
        <f t="shared" si="20"/>
        <v>IN</v>
      </c>
      <c r="E3474" s="403" t="str">
        <f t="array" ref="E3474">INDIRECT("Tableau!$AP$72")</f>
        <v/>
      </c>
    </row>
    <row r="3475">
      <c r="A3475" s="402">
        <f t="array" ref="A3475">INDIRECT("Tableau!$A$73")</f>
        <v>308</v>
      </c>
      <c r="B3475" s="398" t="s">
        <v>478</v>
      </c>
      <c r="C3475" s="400" t="str">
        <f t="array" ref="C3475">INDIRECT("Tableau!$AO$73")</f>
        <v/>
      </c>
      <c r="D3475" s="400" t="str">
        <f t="shared" si="20"/>
        <v>IN</v>
      </c>
      <c r="E3475" s="403" t="str">
        <f t="array" ref="E3475">INDIRECT("Tableau!$AP$73")</f>
        <v/>
      </c>
    </row>
    <row r="3476">
      <c r="A3476" s="397">
        <f t="array" ref="A3476">INDIRECT("Tableau!$A$74")</f>
        <v>319</v>
      </c>
      <c r="B3476" s="398" t="s">
        <v>478</v>
      </c>
      <c r="C3476" s="400" t="str">
        <f t="array" ref="C3476">INDIRECT("Tableau!$AO$74")</f>
        <v/>
      </c>
      <c r="D3476" s="400" t="str">
        <f t="shared" si="20"/>
        <v>IN</v>
      </c>
      <c r="E3476" s="403" t="str">
        <f t="array" ref="E3476">INDIRECT("Tableau!$AP$74")</f>
        <v/>
      </c>
    </row>
    <row r="3477">
      <c r="A3477" s="402">
        <f t="array" ref="A3477">INDIRECT("Tableau!$A$75")</f>
        <v>309</v>
      </c>
      <c r="B3477" s="398" t="s">
        <v>478</v>
      </c>
      <c r="C3477" s="400" t="str">
        <f t="array" ref="C3477">INDIRECT("Tableau!$AO$75")</f>
        <v/>
      </c>
      <c r="D3477" s="400" t="str">
        <f t="shared" si="20"/>
        <v>IN</v>
      </c>
      <c r="E3477" s="403" t="str">
        <f t="array" ref="E3477">INDIRECT("Tableau!$AP$75")</f>
        <v/>
      </c>
    </row>
    <row r="3478">
      <c r="A3478" s="402">
        <f t="array" ref="A3478">INDIRECT("Tableau!$A$76")</f>
        <v>310</v>
      </c>
      <c r="B3478" s="398" t="s">
        <v>478</v>
      </c>
      <c r="C3478" s="400" t="str">
        <f t="array" ref="C3478">INDIRECT("Tableau!$AO$76")</f>
        <v/>
      </c>
      <c r="D3478" s="400" t="str">
        <f t="shared" si="20"/>
        <v>IN</v>
      </c>
      <c r="E3478" s="403" t="str">
        <f t="array" ref="E3478">INDIRECT("Tableau!$AP$76")</f>
        <v/>
      </c>
    </row>
    <row r="3479">
      <c r="A3479" s="402">
        <f t="array" ref="A3479">INDIRECT("Tableau!$A$77")</f>
        <v>311</v>
      </c>
      <c r="B3479" s="398" t="s">
        <v>478</v>
      </c>
      <c r="C3479" s="400" t="str">
        <f t="array" ref="C3479">INDIRECT("Tableau!$AO$77")</f>
        <v/>
      </c>
      <c r="D3479" s="400" t="str">
        <f t="shared" si="20"/>
        <v>IN</v>
      </c>
      <c r="E3479" s="403" t="str">
        <f t="array" ref="E3479">INDIRECT("Tableau!$AP$77")</f>
        <v/>
      </c>
    </row>
    <row r="3480">
      <c r="A3480" s="402">
        <f t="array" ref="A3480">INDIRECT("Tableau!$A$78")</f>
        <v>312</v>
      </c>
      <c r="B3480" s="398" t="s">
        <v>478</v>
      </c>
      <c r="C3480" s="400" t="str">
        <f t="array" ref="C3480">INDIRECT("Tableau!$AO$78")</f>
        <v/>
      </c>
      <c r="D3480" s="400" t="str">
        <f t="shared" si="20"/>
        <v>IN</v>
      </c>
      <c r="E3480" s="403" t="str">
        <f t="array" ref="E3480">INDIRECT("Tableau!$AP$78")</f>
        <v/>
      </c>
    </row>
    <row r="3481">
      <c r="A3481" s="402">
        <f t="array" ref="A3481">INDIRECT("Tableau!$A$79")</f>
        <v>313</v>
      </c>
      <c r="B3481" s="398" t="s">
        <v>478</v>
      </c>
      <c r="C3481" s="400" t="str">
        <f t="array" ref="C3481">INDIRECT("Tableau!$AO$79")</f>
        <v/>
      </c>
      <c r="D3481" s="400" t="str">
        <f t="shared" si="20"/>
        <v>IN</v>
      </c>
      <c r="E3481" s="403" t="str">
        <f t="array" ref="E3481">INDIRECT("Tableau!$AP$79")</f>
        <v/>
      </c>
    </row>
    <row r="3482">
      <c r="A3482" s="402">
        <f t="array" ref="A3482">INDIRECT("Tableau!$A$80")</f>
        <v>314</v>
      </c>
      <c r="B3482" s="398" t="s">
        <v>478</v>
      </c>
      <c r="C3482" s="400" t="str">
        <f t="array" ref="C3482">INDIRECT("Tableau!$AO$80")</f>
        <v/>
      </c>
      <c r="D3482" s="400" t="str">
        <f t="shared" si="20"/>
        <v>IN</v>
      </c>
      <c r="E3482" s="403" t="str">
        <f t="array" ref="E3482">INDIRECT("Tableau!$AP$80")</f>
        <v/>
      </c>
    </row>
    <row r="3483">
      <c r="A3483" s="402">
        <f t="array" ref="A3483">INDIRECT("Tableau!$A$81")</f>
        <v>315</v>
      </c>
      <c r="B3483" s="398" t="s">
        <v>478</v>
      </c>
      <c r="C3483" s="400" t="str">
        <f t="array" ref="C3483">INDIRECT("Tableau!$AO$81")</f>
        <v/>
      </c>
      <c r="D3483" s="400" t="str">
        <f t="shared" si="20"/>
        <v>IN</v>
      </c>
      <c r="E3483" s="403" t="str">
        <f t="array" ref="E3483">INDIRECT("Tableau!$AP$81")</f>
        <v/>
      </c>
    </row>
    <row r="3484">
      <c r="A3484" s="402">
        <f t="array" ref="A3484">INDIRECT("Tableau!$A$82")</f>
        <v>316</v>
      </c>
      <c r="B3484" s="398" t="s">
        <v>478</v>
      </c>
      <c r="C3484" s="400" t="str">
        <f t="array" ref="C3484">INDIRECT("Tableau!$AO$82")</f>
        <v/>
      </c>
      <c r="D3484" s="400" t="str">
        <f t="shared" si="20"/>
        <v>IN</v>
      </c>
      <c r="E3484" s="403" t="str">
        <f t="array" ref="E3484">INDIRECT("Tableau!$AP$82")</f>
        <v/>
      </c>
    </row>
    <row r="3485">
      <c r="A3485" s="402">
        <f t="array" ref="A3485">INDIRECT("Tableau!$A$83")</f>
        <v>317</v>
      </c>
      <c r="B3485" s="398" t="s">
        <v>478</v>
      </c>
      <c r="C3485" s="400" t="str">
        <f t="array" ref="C3485">INDIRECT("Tableau!$AO$83")</f>
        <v/>
      </c>
      <c r="D3485" s="400" t="str">
        <f t="shared" si="20"/>
        <v>IN</v>
      </c>
      <c r="E3485" s="403" t="str">
        <f t="array" ref="E3485">INDIRECT("Tableau!$AP$83")</f>
        <v/>
      </c>
    </row>
    <row r="3486">
      <c r="A3486" s="402">
        <f t="array" ref="A3486">INDIRECT("Tableau!$A$84")</f>
        <v>318</v>
      </c>
      <c r="B3486" s="398" t="s">
        <v>478</v>
      </c>
      <c r="C3486" s="400" t="str">
        <f t="array" ref="C3486">INDIRECT("Tableau!$AO$84")</f>
        <v/>
      </c>
      <c r="D3486" s="400" t="str">
        <f t="shared" si="20"/>
        <v>IN</v>
      </c>
      <c r="E3486" s="403" t="str">
        <f t="array" ref="E3486">INDIRECT("Tableau!$AP$84")</f>
        <v/>
      </c>
    </row>
    <row r="3487">
      <c r="A3487" s="402">
        <f t="array" ref="A3487">INDIRECT("Tableau!$A$85")</f>
        <v>320</v>
      </c>
      <c r="B3487" s="398" t="s">
        <v>478</v>
      </c>
      <c r="C3487" s="400" t="str">
        <f t="array" ref="C3487">INDIRECT("Tableau!$AO$85")</f>
        <v/>
      </c>
      <c r="D3487" s="400" t="str">
        <f t="shared" si="20"/>
        <v>IN</v>
      </c>
      <c r="E3487" s="403" t="str">
        <f t="array" ref="E3487">INDIRECT("Tableau!$AP$85")</f>
        <v/>
      </c>
    </row>
    <row r="3488">
      <c r="A3488" s="402">
        <f t="array" ref="A3488">INDIRECT("Tableau!$A$86")</f>
        <v>321</v>
      </c>
      <c r="B3488" s="398" t="s">
        <v>478</v>
      </c>
      <c r="C3488" s="400" t="str">
        <f t="array" ref="C3488">INDIRECT("Tableau!$AO$86")</f>
        <v/>
      </c>
      <c r="D3488" s="400" t="str">
        <f t="shared" si="20"/>
        <v>IN</v>
      </c>
      <c r="E3488" s="403" t="str">
        <f t="array" ref="E3488">INDIRECT("Tableau!$AP$86")</f>
        <v/>
      </c>
    </row>
    <row r="3489">
      <c r="A3489" s="397" t="str">
        <f t="array" ref="A3489">INDIRECT("Tableau!$A$87")</f>
        <v/>
      </c>
      <c r="B3489" s="398" t="s">
        <v>478</v>
      </c>
      <c r="C3489" s="400" t="str">
        <f t="array" ref="C3489">INDIRECT("Tableau!$AO$87")</f>
        <v/>
      </c>
      <c r="D3489" s="400" t="str">
        <f t="shared" si="20"/>
        <v>IN</v>
      </c>
      <c r="E3489" s="403" t="str">
        <f t="array" ref="E3489">INDIRECT("Tableau!$AP$87")</f>
        <v/>
      </c>
    </row>
    <row r="3490">
      <c r="A3490" s="402">
        <f t="array" ref="A3490">INDIRECT("Tableau!$A$88")</f>
        <v>323</v>
      </c>
      <c r="B3490" s="398" t="s">
        <v>478</v>
      </c>
      <c r="C3490" s="400" t="str">
        <f t="array" ref="C3490">INDIRECT("Tableau!$AO$88")</f>
        <v/>
      </c>
      <c r="D3490" s="400" t="str">
        <f t="shared" si="20"/>
        <v>IN</v>
      </c>
      <c r="E3490" s="403" t="str">
        <f t="array" ref="E3490">INDIRECT("Tableau!$AP$88")</f>
        <v/>
      </c>
    </row>
    <row r="3491">
      <c r="A3491" s="402">
        <f t="array" ref="A3491">INDIRECT("Tableau!$A$89")</f>
        <v>324</v>
      </c>
      <c r="B3491" s="398" t="s">
        <v>478</v>
      </c>
      <c r="C3491" s="400" t="str">
        <f t="array" ref="C3491">INDIRECT("Tableau!$AO$89")</f>
        <v/>
      </c>
      <c r="D3491" s="400" t="str">
        <f t="shared" si="20"/>
        <v>IN</v>
      </c>
      <c r="E3491" s="403" t="str">
        <f t="array" ref="E3491">INDIRECT("Tableau!$AP$89")</f>
        <v/>
      </c>
    </row>
    <row r="3492">
      <c r="A3492" s="402">
        <f t="array" ref="A3492">INDIRECT("Tableau!$A$90")</f>
        <v>325</v>
      </c>
      <c r="B3492" s="398" t="s">
        <v>478</v>
      </c>
      <c r="C3492" s="400" t="str">
        <f t="array" ref="C3492">INDIRECT("Tableau!$AO$90")</f>
        <v/>
      </c>
      <c r="D3492" s="400" t="str">
        <f t="shared" si="20"/>
        <v>IN</v>
      </c>
      <c r="E3492" s="403" t="str">
        <f t="array" ref="E3492">INDIRECT("Tableau!$AP$90")</f>
        <v/>
      </c>
    </row>
    <row r="3493">
      <c r="A3493" s="402">
        <f t="array" ref="A3493">INDIRECT("Tableau!$A$91")</f>
        <v>326</v>
      </c>
      <c r="B3493" s="398" t="s">
        <v>478</v>
      </c>
      <c r="C3493" s="400" t="str">
        <f t="array" ref="C3493">INDIRECT("Tableau!$AO$91")</f>
        <v/>
      </c>
      <c r="D3493" s="400" t="str">
        <f t="shared" si="20"/>
        <v>IN</v>
      </c>
      <c r="E3493" s="403" t="str">
        <f t="array" ref="E3493">INDIRECT("Tableau!$AP$91")</f>
        <v/>
      </c>
    </row>
    <row r="3494">
      <c r="A3494" s="402">
        <f t="array" ref="A3494">INDIRECT("Tableau!$A$92")</f>
        <v>327</v>
      </c>
      <c r="B3494" s="398" t="s">
        <v>478</v>
      </c>
      <c r="C3494" s="400" t="str">
        <f t="array" ref="C3494">INDIRECT("Tableau!$AO$92")</f>
        <v>Grottes de Han</v>
      </c>
      <c r="D3494" s="400" t="str">
        <f t="shared" si="20"/>
        <v>IN</v>
      </c>
      <c r="E3494" s="403" t="str">
        <f t="array" ref="E3494">INDIRECT("Tableau!$AP$92")</f>
        <v/>
      </c>
    </row>
    <row r="3495">
      <c r="A3495" s="402">
        <f t="array" ref="A3495">INDIRECT("Tableau!$A$93")</f>
        <v>328</v>
      </c>
      <c r="B3495" s="398" t="s">
        <v>478</v>
      </c>
      <c r="C3495" s="400" t="str">
        <f t="array" ref="C3495">INDIRECT("Tableau!$AO$93")</f>
        <v>DPS</v>
      </c>
      <c r="D3495" s="400" t="str">
        <f t="shared" si="20"/>
        <v>IN</v>
      </c>
      <c r="E3495" s="403" t="str">
        <f t="array" ref="E3495">INDIRECT("Tableau!$AP$93")</f>
        <v/>
      </c>
    </row>
    <row r="3496">
      <c r="A3496" s="402">
        <f t="array" ref="A3496">INDIRECT("Tableau!$A$94")</f>
        <v>329</v>
      </c>
      <c r="B3496" s="398" t="s">
        <v>478</v>
      </c>
      <c r="C3496" s="400" t="str">
        <f t="array" ref="C3496">INDIRECT("Tableau!$AO$94")</f>
        <v/>
      </c>
      <c r="D3496" s="400" t="str">
        <f t="shared" si="20"/>
        <v>IN</v>
      </c>
      <c r="E3496" s="403" t="str">
        <f t="array" ref="E3496">INDIRECT("Tableau!$AP$94")</f>
        <v/>
      </c>
    </row>
    <row r="3497">
      <c r="A3497" s="402">
        <f t="array" ref="A3497">INDIRECT("Tableau!$A$95")</f>
        <v>330</v>
      </c>
      <c r="B3497" s="398" t="s">
        <v>478</v>
      </c>
      <c r="C3497" s="400" t="str">
        <f t="array" ref="C3497">INDIRECT("Tableau!$AO$95")</f>
        <v/>
      </c>
      <c r="D3497" s="400" t="str">
        <f t="shared" si="20"/>
        <v>IN</v>
      </c>
      <c r="E3497" s="403" t="str">
        <f t="array" ref="E3497">INDIRECT("Tableau!$AP$95")</f>
        <v/>
      </c>
    </row>
    <row r="3498">
      <c r="A3498" s="402">
        <f t="array" ref="A3498">INDIRECT("Tableau!$A$96")</f>
        <v>331</v>
      </c>
      <c r="B3498" s="398" t="s">
        <v>478</v>
      </c>
      <c r="C3498" s="400" t="str">
        <f t="array" ref="C3498">INDIRECT("Tableau!$AO$96")</f>
        <v/>
      </c>
      <c r="D3498" s="400" t="str">
        <f t="shared" si="20"/>
        <v>IN</v>
      </c>
      <c r="E3498" s="403" t="str">
        <f t="array" ref="E3498">INDIRECT("Tableau!$AP$96")</f>
        <v/>
      </c>
    </row>
    <row r="3499">
      <c r="A3499" s="402">
        <f t="array" ref="A3499">INDIRECT("Tableau!$A$97")</f>
        <v>332</v>
      </c>
      <c r="B3499" s="398" t="s">
        <v>478</v>
      </c>
      <c r="C3499" s="400" t="str">
        <f t="array" ref="C3499">INDIRECT("Tableau!$AO$97")</f>
        <v/>
      </c>
      <c r="D3499" s="400" t="str">
        <f t="shared" si="20"/>
        <v>IN</v>
      </c>
      <c r="E3499" s="403" t="str">
        <f t="array" ref="E3499">INDIRECT("Tableau!$AP$97")</f>
        <v/>
      </c>
    </row>
    <row r="3500">
      <c r="A3500" s="402">
        <f t="array" ref="A3500">INDIRECT("Tableau!$A$98")</f>
        <v>333</v>
      </c>
      <c r="B3500" s="398" t="s">
        <v>478</v>
      </c>
      <c r="C3500" s="400" t="str">
        <f t="array" ref="C3500">INDIRECT("Tableau!$AO$98")</f>
        <v/>
      </c>
      <c r="D3500" s="400" t="str">
        <f t="shared" si="20"/>
        <v>IN</v>
      </c>
      <c r="E3500" s="403" t="str">
        <f t="array" ref="E3500">INDIRECT("Tableau!$AP$98")</f>
        <v/>
      </c>
    </row>
    <row r="3501">
      <c r="A3501" s="402">
        <f t="array" ref="A3501">INDIRECT("Tableau!$A$99")</f>
        <v>334</v>
      </c>
      <c r="B3501" s="398" t="s">
        <v>478</v>
      </c>
      <c r="C3501" s="400" t="str">
        <f t="array" ref="C3501">INDIRECT("Tableau!$AO$99")</f>
        <v/>
      </c>
      <c r="D3501" s="400" t="str">
        <f t="shared" si="20"/>
        <v>IN</v>
      </c>
      <c r="E3501" s="403" t="str">
        <f t="array" ref="E3501">INDIRECT("Tableau!$AP$99")</f>
        <v/>
      </c>
    </row>
    <row r="3502">
      <c r="A3502" s="402">
        <f t="array" ref="A3502">INDIRECT("Tableau!$A$100")</f>
        <v>335</v>
      </c>
      <c r="B3502" s="398" t="s">
        <v>478</v>
      </c>
      <c r="C3502" s="400" t="str">
        <f t="array" ref="C3502">INDIRECT("Tableau!$AO$100")</f>
        <v/>
      </c>
      <c r="D3502" s="400" t="str">
        <f t="shared" si="20"/>
        <v>IN</v>
      </c>
      <c r="E3502" s="403" t="str">
        <f t="array" ref="E3502">INDIRECT("Tableau!$AP$100")</f>
        <v/>
      </c>
    </row>
    <row r="3503">
      <c r="A3503" s="402">
        <f t="array" ref="A3503">INDIRECT("Tableau!$A$101")</f>
        <v>336</v>
      </c>
      <c r="B3503" s="398" t="s">
        <v>478</v>
      </c>
      <c r="C3503" s="400" t="str">
        <f t="array" ref="C3503">INDIRECT("Tableau!$AO$101")</f>
        <v/>
      </c>
      <c r="D3503" s="400" t="str">
        <f t="shared" si="20"/>
        <v>IN</v>
      </c>
      <c r="E3503" s="403" t="str">
        <f t="array" ref="E3503">INDIRECT("Tableau!$AP$101")</f>
        <v/>
      </c>
    </row>
    <row r="3504">
      <c r="A3504" s="402">
        <f t="array" ref="A3504">INDIRECT("Tableau!$A$102")</f>
        <v>337</v>
      </c>
      <c r="B3504" s="398" t="s">
        <v>478</v>
      </c>
      <c r="C3504" s="400" t="str">
        <f t="array" ref="C3504">INDIRECT("Tableau!$AO$102")</f>
        <v/>
      </c>
      <c r="D3504" s="400" t="str">
        <f t="shared" si="20"/>
        <v>IN</v>
      </c>
      <c r="E3504" s="403" t="str">
        <f t="array" ref="E3504">INDIRECT("Tableau!$AP$102")</f>
        <v/>
      </c>
    </row>
    <row r="3505">
      <c r="A3505" s="402">
        <f t="array" ref="A3505">INDIRECT("Tableau!$A$103")</f>
        <v>338</v>
      </c>
      <c r="B3505" s="398" t="s">
        <v>478</v>
      </c>
      <c r="C3505" s="400" t="str">
        <f t="array" ref="C3505">INDIRECT("Tableau!$AO$103")</f>
        <v/>
      </c>
      <c r="D3505" s="400" t="str">
        <f t="shared" si="20"/>
        <v>IN</v>
      </c>
      <c r="E3505" s="403" t="str">
        <f t="array" ref="E3505">INDIRECT("Tableau!$AP$103")</f>
        <v/>
      </c>
    </row>
    <row r="3506">
      <c r="A3506" s="402">
        <f t="array" ref="A3506">INDIRECT("Tableau!$A$104")</f>
        <v>339</v>
      </c>
      <c r="B3506" s="398" t="s">
        <v>478</v>
      </c>
      <c r="C3506" s="400" t="str">
        <f t="array" ref="C3506">INDIRECT("Tableau!$AO$104")</f>
        <v/>
      </c>
      <c r="D3506" s="400" t="str">
        <f t="shared" si="20"/>
        <v>IN</v>
      </c>
      <c r="E3506" s="403" t="str">
        <f t="array" ref="E3506">INDIRECT("Tableau!$AP$104")</f>
        <v/>
      </c>
    </row>
    <row r="3507">
      <c r="A3507" s="402">
        <f t="array" ref="A3507">INDIRECT("Tableau!$A$105")</f>
        <v>340</v>
      </c>
      <c r="B3507" s="398" t="s">
        <v>478</v>
      </c>
      <c r="C3507" s="400" t="str">
        <f t="array" ref="C3507">INDIRECT("Tableau!$AO$105")</f>
        <v>DPS</v>
      </c>
      <c r="D3507" s="400" t="str">
        <f t="shared" si="20"/>
        <v>IN</v>
      </c>
      <c r="E3507" s="403" t="str">
        <f t="array" ref="E3507">INDIRECT("Tableau!$AP$105")</f>
        <v/>
      </c>
    </row>
    <row r="3508">
      <c r="A3508" s="402">
        <f t="array" ref="A3508">INDIRECT("Tableau!$A$106")</f>
        <v>341</v>
      </c>
      <c r="B3508" s="398" t="s">
        <v>478</v>
      </c>
      <c r="C3508" s="400" t="str">
        <f t="array" ref="C3508">INDIRECT("Tableau!$AO$106")</f>
        <v>DPS</v>
      </c>
      <c r="D3508" s="400" t="str">
        <f t="shared" si="20"/>
        <v>IN</v>
      </c>
      <c r="E3508" s="403" t="str">
        <f t="array" ref="E3508">INDIRECT("Tableau!$AP$106")</f>
        <v/>
      </c>
    </row>
    <row r="3509">
      <c r="A3509" s="402">
        <f t="array" ref="A3509">INDIRECT("Tableau!$A$107")</f>
        <v>365</v>
      </c>
      <c r="B3509" s="398" t="s">
        <v>478</v>
      </c>
      <c r="C3509" s="400" t="str">
        <f t="array" ref="C3509">INDIRECT("Tableau!$AO$107")</f>
        <v/>
      </c>
      <c r="D3509" s="400" t="str">
        <f t="shared" si="20"/>
        <v>IN</v>
      </c>
      <c r="E3509" s="403" t="str">
        <f t="array" ref="E3509">INDIRECT("Tableau!$AP$107")</f>
        <v/>
      </c>
    </row>
    <row r="3510">
      <c r="A3510" s="402">
        <f t="array" ref="A3510">INDIRECT("Tableau!$A$108")</f>
        <v>342</v>
      </c>
      <c r="B3510" s="398" t="s">
        <v>478</v>
      </c>
      <c r="C3510" s="400" t="str">
        <f t="array" ref="C3510">INDIRECT("Tableau!$AO$108")</f>
        <v/>
      </c>
      <c r="D3510" s="400" t="str">
        <f t="shared" si="20"/>
        <v>IN</v>
      </c>
      <c r="E3510" s="403" t="str">
        <f t="array" ref="E3510">INDIRECT("Tableau!$AP$108")</f>
        <v/>
      </c>
    </row>
    <row r="3511">
      <c r="A3511" s="402">
        <f t="array" ref="A3511">INDIRECT("Tableau!$A$109")</f>
        <v>343</v>
      </c>
      <c r="B3511" s="398" t="s">
        <v>478</v>
      </c>
      <c r="C3511" s="400" t="str">
        <f t="array" ref="C3511">INDIRECT("Tableau!$AO$109")</f>
        <v>Optic &amp; vous</v>
      </c>
      <c r="D3511" s="400" t="str">
        <f t="shared" si="20"/>
        <v>IN</v>
      </c>
      <c r="E3511" s="403" t="str">
        <f t="array" ref="E3511">INDIRECT("Tableau!$AP$109")</f>
        <v/>
      </c>
    </row>
    <row r="3512">
      <c r="A3512" s="402">
        <f t="array" ref="A3512">INDIRECT("Tableau!$A$110")</f>
        <v>344</v>
      </c>
      <c r="B3512" s="398" t="s">
        <v>478</v>
      </c>
      <c r="C3512" s="400" t="str">
        <f t="array" ref="C3512">INDIRECT("Tableau!$AO$110")</f>
        <v>Urbaine</v>
      </c>
      <c r="D3512" s="400" t="str">
        <f t="shared" si="20"/>
        <v>IN</v>
      </c>
      <c r="E3512" s="403" t="str">
        <f t="array" ref="E3512">INDIRECT("Tableau!$AP$110")</f>
        <v/>
      </c>
    </row>
    <row r="3513">
      <c r="A3513" s="402">
        <f t="array" ref="A3513">INDIRECT("Tableau!$A$111")</f>
        <v>363</v>
      </c>
      <c r="B3513" s="398" t="s">
        <v>478</v>
      </c>
      <c r="C3513" s="400" t="str">
        <f t="array" ref="C3513">INDIRECT("Tableau!$AO$111")</f>
        <v>Grottes de Han</v>
      </c>
      <c r="D3513" s="400" t="str">
        <f t="shared" si="20"/>
        <v>IN</v>
      </c>
      <c r="E3513" s="403" t="str">
        <f t="array" ref="E3513">INDIRECT("Tableau!$AP$111")</f>
        <v/>
      </c>
    </row>
    <row r="3514">
      <c r="A3514" s="402">
        <f t="array" ref="A3514">INDIRECT("Tableau!$A$112")</f>
        <v>345</v>
      </c>
      <c r="B3514" s="398" t="s">
        <v>478</v>
      </c>
      <c r="C3514" s="400" t="str">
        <f t="array" ref="C3514">INDIRECT("Tableau!$AO$112")</f>
        <v/>
      </c>
      <c r="D3514" s="400" t="str">
        <f t="shared" si="20"/>
        <v>IN</v>
      </c>
      <c r="E3514" s="403" t="str">
        <f t="array" ref="E3514">INDIRECT("Tableau!$AP$112")</f>
        <v/>
      </c>
    </row>
    <row r="3515">
      <c r="A3515" s="402">
        <f t="array" ref="A3515">INDIRECT("Tableau!$A$113")</f>
        <v>346</v>
      </c>
      <c r="B3515" s="398" t="s">
        <v>478</v>
      </c>
      <c r="C3515" s="400" t="str">
        <f t="array" ref="C3515">INDIRECT("Tableau!$AO$113")</f>
        <v/>
      </c>
      <c r="D3515" s="400" t="str">
        <f t="shared" si="20"/>
        <v>IN</v>
      </c>
      <c r="E3515" s="403" t="str">
        <f t="array" ref="E3515">INDIRECT("Tableau!$AP$113")</f>
        <v/>
      </c>
    </row>
    <row r="3516">
      <c r="A3516" s="402">
        <f t="array" ref="A3516">INDIRECT("Tableau!$A$114")</f>
        <v>359</v>
      </c>
      <c r="B3516" s="398" t="s">
        <v>478</v>
      </c>
      <c r="C3516" s="400" t="str">
        <f t="array" ref="C3516">INDIRECT("Tableau!$AO$114")</f>
        <v/>
      </c>
      <c r="D3516" s="400" t="str">
        <f t="shared" si="20"/>
        <v>IN</v>
      </c>
      <c r="E3516" s="403" t="str">
        <f t="array" ref="E3516">INDIRECT("Tableau!$AP$114")</f>
        <v/>
      </c>
    </row>
    <row r="3517">
      <c r="A3517" s="402">
        <f t="array" ref="A3517">INDIRECT("Tableau!$A$115")</f>
        <v>360</v>
      </c>
      <c r="B3517" s="398" t="s">
        <v>478</v>
      </c>
      <c r="C3517" s="400" t="str">
        <f t="array" ref="C3517">INDIRECT("Tableau!$AO$115")</f>
        <v/>
      </c>
      <c r="D3517" s="400" t="str">
        <f t="shared" si="20"/>
        <v>IN</v>
      </c>
      <c r="E3517" s="403" t="str">
        <f t="array" ref="E3517">INDIRECT("Tableau!$AP$115")</f>
        <v/>
      </c>
    </row>
    <row r="3518">
      <c r="A3518" s="402">
        <f t="array" ref="A3518">INDIRECT("Tableau!$A$116")</f>
        <v>361</v>
      </c>
      <c r="B3518" s="398" t="s">
        <v>478</v>
      </c>
      <c r="C3518" s="400" t="str">
        <f t="array" ref="C3518">INDIRECT("Tableau!$AO$116")</f>
        <v>Grottes de Han</v>
      </c>
      <c r="D3518" s="400" t="str">
        <f t="shared" si="20"/>
        <v>IN</v>
      </c>
      <c r="E3518" s="403" t="str">
        <f t="array" ref="E3518">INDIRECT("Tableau!$AP$116")</f>
        <v/>
      </c>
    </row>
    <row r="3519">
      <c r="A3519" s="397" t="str">
        <f t="array" ref="A3519">INDIRECT("Tableau!$A$117")</f>
        <v/>
      </c>
      <c r="B3519" s="398" t="s">
        <v>478</v>
      </c>
      <c r="C3519" s="400" t="str">
        <f t="array" ref="C3519">INDIRECT("Tableau!$AO$117")</f>
        <v/>
      </c>
      <c r="D3519" s="400" t="str">
        <f t="shared" si="20"/>
        <v>IN</v>
      </c>
      <c r="E3519" s="403" t="str">
        <f t="array" ref="E3519">INDIRECT("Tableau!$AP$117")</f>
        <v/>
      </c>
    </row>
    <row r="3520">
      <c r="A3520" s="402">
        <f t="array" ref="A3520">INDIRECT("Tableau!$A$118")</f>
        <v>347</v>
      </c>
      <c r="B3520" s="398" t="s">
        <v>478</v>
      </c>
      <c r="C3520" s="400" t="str">
        <f t="array" ref="C3520">INDIRECT("Tableau!$AO$118")</f>
        <v>BP Martelange</v>
      </c>
      <c r="D3520" s="400" t="str">
        <f t="shared" si="20"/>
        <v>IN</v>
      </c>
      <c r="E3520" s="403" t="str">
        <f t="array" ref="E3520">INDIRECT("Tableau!$AP$118")</f>
        <v/>
      </c>
    </row>
    <row r="3521">
      <c r="A3521" s="402">
        <f t="array" ref="A3521">INDIRECT("Tableau!$A$119")</f>
        <v>348</v>
      </c>
      <c r="B3521" s="398" t="s">
        <v>478</v>
      </c>
      <c r="C3521" s="400" t="str">
        <f t="array" ref="C3521">INDIRECT("Tableau!$AO$119")</f>
        <v/>
      </c>
      <c r="D3521" s="400" t="str">
        <f t="shared" si="20"/>
        <v>IN</v>
      </c>
      <c r="E3521" s="403" t="str">
        <f t="array" ref="E3521">INDIRECT("Tableau!$AP$119")</f>
        <v/>
      </c>
    </row>
    <row r="3522">
      <c r="A3522" s="402">
        <f t="array" ref="A3522">INDIRECT("Tableau!$A$120")</f>
        <v>349</v>
      </c>
      <c r="B3522" s="398" t="s">
        <v>478</v>
      </c>
      <c r="C3522" s="400" t="str">
        <f t="array" ref="C3522">INDIRECT("Tableau!$AO$120")</f>
        <v>Grottes de Han</v>
      </c>
      <c r="D3522" s="400" t="str">
        <f t="shared" si="20"/>
        <v>IN</v>
      </c>
      <c r="E3522" s="403" t="str">
        <f t="array" ref="E3522">INDIRECT("Tableau!$AP$120")</f>
        <v/>
      </c>
    </row>
    <row r="3523">
      <c r="A3523" s="402">
        <f t="array" ref="A3523">INDIRECT("Tableau!$A$121")</f>
        <v>350</v>
      </c>
      <c r="B3523" s="398" t="s">
        <v>478</v>
      </c>
      <c r="C3523" s="400" t="str">
        <f t="array" ref="C3523">INDIRECT("Tableau!$AO$121")</f>
        <v/>
      </c>
      <c r="D3523" s="400" t="str">
        <f t="shared" si="20"/>
        <v>IN</v>
      </c>
      <c r="E3523" s="403" t="str">
        <f t="array" ref="E3523">INDIRECT("Tableau!$AP$121")</f>
        <v/>
      </c>
    </row>
    <row r="3524">
      <c r="A3524" s="402">
        <f t="array" ref="A3524">INDIRECT("Tableau!$A$122")</f>
        <v>351</v>
      </c>
      <c r="B3524" s="398" t="s">
        <v>478</v>
      </c>
      <c r="C3524" s="400" t="str">
        <f t="array" ref="C3524">INDIRECT("Tableau!$AO$122")</f>
        <v/>
      </c>
      <c r="D3524" s="400" t="str">
        <f t="shared" si="20"/>
        <v>IN</v>
      </c>
      <c r="E3524" s="403" t="str">
        <f t="array" ref="E3524">INDIRECT("Tableau!$AP$122")</f>
        <v/>
      </c>
    </row>
    <row r="3525">
      <c r="A3525" s="402">
        <f t="array" ref="A3525">INDIRECT("Tableau!$A$123")</f>
        <v>352</v>
      </c>
      <c r="B3525" s="398" t="s">
        <v>478</v>
      </c>
      <c r="C3525" s="400" t="str">
        <f t="array" ref="C3525">INDIRECT("Tableau!$AO$123")</f>
        <v/>
      </c>
      <c r="D3525" s="400" t="str">
        <f t="shared" si="20"/>
        <v>IN</v>
      </c>
      <c r="E3525" s="403" t="str">
        <f t="array" ref="E3525">INDIRECT("Tableau!$AP$123")</f>
        <v/>
      </c>
    </row>
    <row r="3526">
      <c r="A3526" s="402">
        <f t="array" ref="A3526">INDIRECT("Tableau!$A$124")</f>
        <v>353</v>
      </c>
      <c r="B3526" s="398" t="s">
        <v>478</v>
      </c>
      <c r="C3526" s="400" t="str">
        <f t="array" ref="C3526">INDIRECT("Tableau!$AO$124")</f>
        <v/>
      </c>
      <c r="D3526" s="400" t="str">
        <f t="shared" si="20"/>
        <v>IN</v>
      </c>
      <c r="E3526" s="403" t="str">
        <f t="array" ref="E3526">INDIRECT("Tableau!$AP$124")</f>
        <v/>
      </c>
    </row>
    <row r="3527">
      <c r="A3527" s="397" t="str">
        <f t="array" ref="A3527">INDIRECT("Tableau!$A$125")</f>
        <v/>
      </c>
      <c r="B3527" s="398" t="s">
        <v>478</v>
      </c>
      <c r="C3527" s="400" t="str">
        <f t="array" ref="C3527">INDIRECT("Tableau!$AO$125")</f>
        <v/>
      </c>
      <c r="D3527" s="400" t="str">
        <f t="shared" si="20"/>
        <v>IN</v>
      </c>
      <c r="E3527" s="403" t="str">
        <f t="array" ref="E3527">INDIRECT("Tableau!$AP$125")</f>
        <v/>
      </c>
    </row>
    <row r="3528">
      <c r="A3528" s="402">
        <f t="array" ref="A3528">INDIRECT("Tableau!$A$126")</f>
        <v>354</v>
      </c>
      <c r="B3528" s="398" t="s">
        <v>478</v>
      </c>
      <c r="C3528" s="400" t="str">
        <f t="array" ref="C3528">INDIRECT("Tableau!$AO$126")</f>
        <v/>
      </c>
      <c r="D3528" s="400" t="str">
        <f t="shared" si="20"/>
        <v>IN</v>
      </c>
      <c r="E3528" s="403" t="str">
        <f t="array" ref="E3528">INDIRECT("Tableau!$AP$126")</f>
        <v/>
      </c>
    </row>
    <row r="3529">
      <c r="A3529" s="402">
        <f t="array" ref="A3529">INDIRECT("Tableau!$A$127")</f>
        <v>355</v>
      </c>
      <c r="B3529" s="398" t="s">
        <v>478</v>
      </c>
      <c r="C3529" s="400" t="str">
        <f t="array" ref="C3529">INDIRECT("Tableau!$AO$127")</f>
        <v/>
      </c>
      <c r="D3529" s="400" t="str">
        <f t="shared" si="20"/>
        <v>IN</v>
      </c>
      <c r="E3529" s="403" t="str">
        <f t="array" ref="E3529">INDIRECT("Tableau!$AP$127")</f>
        <v/>
      </c>
    </row>
    <row r="3530">
      <c r="A3530" s="402">
        <f t="array" ref="A3530">INDIRECT("Tableau!$A$128")</f>
        <v>356</v>
      </c>
      <c r="B3530" s="398" t="s">
        <v>478</v>
      </c>
      <c r="C3530" s="400" t="str">
        <f t="array" ref="C3530">INDIRECT("Tableau!$AO$128")</f>
        <v/>
      </c>
      <c r="D3530" s="400" t="str">
        <f t="shared" si="20"/>
        <v>IN</v>
      </c>
      <c r="E3530" s="403" t="str">
        <f t="array" ref="E3530">INDIRECT("Tableau!$AP$128")</f>
        <v/>
      </c>
    </row>
    <row r="3531">
      <c r="A3531" s="402">
        <f t="array" ref="A3531">INDIRECT("Tableau!$A$129")</f>
        <v>357</v>
      </c>
      <c r="B3531" s="398" t="s">
        <v>478</v>
      </c>
      <c r="C3531" s="400" t="str">
        <f t="array" ref="C3531">INDIRECT("Tableau!$AO$129")</f>
        <v/>
      </c>
      <c r="D3531" s="400" t="str">
        <f t="shared" si="20"/>
        <v>IN</v>
      </c>
      <c r="E3531" s="403" t="str">
        <f t="array" ref="E3531">INDIRECT("Tableau!$AP$129")</f>
        <v/>
      </c>
    </row>
    <row r="3532">
      <c r="A3532" s="397" t="str">
        <f t="array" ref="A3532">INDIRECT("Tableau!$A$130")</f>
        <v/>
      </c>
      <c r="B3532" s="398" t="s">
        <v>478</v>
      </c>
      <c r="C3532" s="400" t="str">
        <f t="array" ref="C3532">INDIRECT("Tableau!$AO$130")</f>
        <v/>
      </c>
      <c r="D3532" s="400" t="str">
        <f t="shared" si="20"/>
        <v>IN</v>
      </c>
      <c r="E3532" s="403" t="str">
        <f t="array" ref="E3532">INDIRECT("Tableau!$AP$130")</f>
        <v/>
      </c>
    </row>
    <row r="3533">
      <c r="A3533" s="397" t="str">
        <f t="array" ref="A3533">INDIRECT("Tableau!$A$131")</f>
        <v/>
      </c>
      <c r="B3533" s="398" t="s">
        <v>478</v>
      </c>
      <c r="C3533" s="400" t="str">
        <f t="array" ref="C3533">INDIRECT("Tableau!$AO$131")</f>
        <v/>
      </c>
      <c r="D3533" s="400" t="str">
        <f t="shared" si="20"/>
        <v>IN</v>
      </c>
      <c r="E3533" s="403" t="str">
        <f t="array" ref="E3533">INDIRECT("Tableau!$AP$131")</f>
        <v/>
      </c>
    </row>
    <row r="3534">
      <c r="A3534" s="397" t="str">
        <f t="array" ref="A3534">INDIRECT("Tableau!$A$132")</f>
        <v/>
      </c>
      <c r="B3534" s="398" t="s">
        <v>478</v>
      </c>
      <c r="C3534" s="400" t="str">
        <f t="array" ref="C3534">INDIRECT("Tableau!$AO$132")</f>
        <v/>
      </c>
      <c r="D3534" s="400" t="str">
        <f t="shared" si="20"/>
        <v>IN</v>
      </c>
      <c r="E3534" s="403" t="str">
        <f t="array" ref="E3534">INDIRECT("Tableau!$AP$132")</f>
        <v/>
      </c>
    </row>
    <row r="3535">
      <c r="A3535" s="397" t="str">
        <f t="array" ref="A3535">INDIRECT("Tableau!$A$133")</f>
        <v/>
      </c>
      <c r="B3535" s="398" t="s">
        <v>478</v>
      </c>
      <c r="C3535" s="400" t="str">
        <f t="array" ref="C3535">INDIRECT("Tableau!$AO$133")</f>
        <v/>
      </c>
      <c r="D3535" s="400" t="str">
        <f t="shared" si="20"/>
        <v>IN</v>
      </c>
      <c r="E3535" s="403" t="str">
        <f t="array" ref="E3535">INDIRECT("Tableau!$AP$133")</f>
        <v/>
      </c>
    </row>
    <row r="3536">
      <c r="A3536" s="397" t="str">
        <f t="array" ref="A3536">INDIRECT("Tableau!$A$134")</f>
        <v/>
      </c>
      <c r="B3536" s="398" t="s">
        <v>478</v>
      </c>
      <c r="C3536" s="400" t="str">
        <f t="array" ref="C3536">INDIRECT("Tableau!$AO$134")</f>
        <v/>
      </c>
      <c r="D3536" s="400" t="str">
        <f t="shared" si="20"/>
        <v>IN</v>
      </c>
      <c r="E3536" s="403" t="str">
        <f t="array" ref="E3536">INDIRECT("Tableau!$AP$134")</f>
        <v/>
      </c>
    </row>
    <row r="3537">
      <c r="A3537" s="402">
        <f t="array" ref="A3537">INDIRECT("Tableau!$A$135")</f>
        <v>401</v>
      </c>
      <c r="B3537" s="398" t="s">
        <v>478</v>
      </c>
      <c r="C3537" s="400" t="str">
        <f t="array" ref="C3537">INDIRECT("Tableau!$AO$135")</f>
        <v/>
      </c>
      <c r="D3537" s="400" t="str">
        <f t="shared" si="20"/>
        <v>IN</v>
      </c>
      <c r="E3537" s="403" t="str">
        <f t="array" ref="E3537">INDIRECT("Tableau!$AP$135")</f>
        <v/>
      </c>
    </row>
    <row r="3538">
      <c r="A3538" s="402">
        <f t="array" ref="A3538">INDIRECT("Tableau!$A$136")</f>
        <v>402</v>
      </c>
      <c r="B3538" s="398" t="s">
        <v>478</v>
      </c>
      <c r="C3538" s="400" t="str">
        <f t="array" ref="C3538">INDIRECT("Tableau!$AO$136")</f>
        <v>Grottes de Han</v>
      </c>
      <c r="D3538" s="400" t="str">
        <f t="shared" si="20"/>
        <v>IN</v>
      </c>
      <c r="E3538" s="403" t="str">
        <f t="array" ref="E3538">INDIRECT("Tableau!$AP$136")</f>
        <v/>
      </c>
    </row>
    <row r="3539">
      <c r="A3539" s="402">
        <f t="array" ref="A3539">INDIRECT("Tableau!$A$137")</f>
        <v>403</v>
      </c>
      <c r="B3539" s="398" t="s">
        <v>478</v>
      </c>
      <c r="C3539" s="400" t="str">
        <f t="array" ref="C3539">INDIRECT("Tableau!$AO$137")</f>
        <v/>
      </c>
      <c r="D3539" s="400" t="str">
        <f t="shared" si="20"/>
        <v>IN</v>
      </c>
      <c r="E3539" s="403" t="str">
        <f t="array" ref="E3539">INDIRECT("Tableau!$AP$137")</f>
        <v/>
      </c>
    </row>
    <row r="3540">
      <c r="A3540" s="402">
        <f t="array" ref="A3540">INDIRECT("Tableau!$A$138")</f>
        <v>404</v>
      </c>
      <c r="B3540" s="398" t="s">
        <v>478</v>
      </c>
      <c r="C3540" s="400" t="str">
        <f t="array" ref="C3540">INDIRECT("Tableau!$AO$138")</f>
        <v/>
      </c>
      <c r="D3540" s="400" t="str">
        <f t="shared" si="20"/>
        <v>IN</v>
      </c>
      <c r="E3540" s="403" t="str">
        <f t="array" ref="E3540">INDIRECT("Tableau!$AP$138")</f>
        <v/>
      </c>
    </row>
    <row r="3541">
      <c r="A3541" s="402">
        <f t="array" ref="A3541">INDIRECT("Tableau!$A$139")</f>
        <v>405</v>
      </c>
      <c r="B3541" s="398" t="s">
        <v>478</v>
      </c>
      <c r="C3541" s="400" t="str">
        <f t="array" ref="C3541">INDIRECT("Tableau!$AO$139")</f>
        <v/>
      </c>
      <c r="D3541" s="400" t="str">
        <f t="shared" si="20"/>
        <v>IN</v>
      </c>
      <c r="E3541" s="403" t="str">
        <f t="array" ref="E3541">INDIRECT("Tableau!$AP$139")</f>
        <v/>
      </c>
    </row>
    <row r="3542">
      <c r="A3542" s="402">
        <f t="array" ref="A3542">INDIRECT("Tableau!$A$140")</f>
        <v>406</v>
      </c>
      <c r="B3542" s="398" t="s">
        <v>478</v>
      </c>
      <c r="C3542" s="400" t="str">
        <f t="array" ref="C3542">INDIRECT("Tableau!$AO$140")</f>
        <v/>
      </c>
      <c r="D3542" s="400" t="str">
        <f t="shared" si="20"/>
        <v>IN</v>
      </c>
      <c r="E3542" s="403" t="str">
        <f t="array" ref="E3542">INDIRECT("Tableau!$AP$140")</f>
        <v/>
      </c>
    </row>
    <row r="3543">
      <c r="A3543" s="402">
        <f t="array" ref="A3543">INDIRECT("Tableau!$A$141")</f>
        <v>407</v>
      </c>
      <c r="B3543" s="398" t="s">
        <v>478</v>
      </c>
      <c r="C3543" s="400" t="str">
        <f t="array" ref="C3543">INDIRECT("Tableau!$AO$141")</f>
        <v/>
      </c>
      <c r="D3543" s="400" t="str">
        <f t="shared" si="20"/>
        <v>IN</v>
      </c>
      <c r="E3543" s="403" t="str">
        <f t="array" ref="E3543">INDIRECT("Tableau!$AP$141")</f>
        <v/>
      </c>
    </row>
    <row r="3544">
      <c r="A3544" s="402">
        <f t="array" ref="A3544">INDIRECT("Tableau!$A$142")</f>
        <v>408</v>
      </c>
      <c r="B3544" s="398" t="s">
        <v>478</v>
      </c>
      <c r="C3544" s="400" t="str">
        <f t="array" ref="C3544">INDIRECT("Tableau!$AO$142")</f>
        <v>DEMA</v>
      </c>
      <c r="D3544" s="400" t="str">
        <f t="shared" si="20"/>
        <v>IN</v>
      </c>
      <c r="E3544" s="403" t="str">
        <f t="array" ref="E3544">INDIRECT("Tableau!$AP$142")</f>
        <v/>
      </c>
    </row>
    <row r="3545">
      <c r="A3545" s="402">
        <f t="array" ref="A3545">INDIRECT("Tableau!$A$143")</f>
        <v>409</v>
      </c>
      <c r="B3545" s="398" t="s">
        <v>478</v>
      </c>
      <c r="C3545" s="400" t="str">
        <f t="array" ref="C3545">INDIRECT("Tableau!$AO$143")</f>
        <v/>
      </c>
      <c r="D3545" s="400" t="str">
        <f t="shared" si="20"/>
        <v>IN</v>
      </c>
      <c r="E3545" s="403" t="str">
        <f t="array" ref="E3545">INDIRECT("Tableau!$AP$143")</f>
        <v/>
      </c>
    </row>
    <row r="3546">
      <c r="A3546" s="397">
        <f t="array" ref="A3546">INDIRECT("Tableau!$A$144")</f>
        <v>415</v>
      </c>
      <c r="B3546" s="398" t="s">
        <v>478</v>
      </c>
      <c r="C3546" s="400" t="str">
        <f t="array" ref="C3546">INDIRECT("Tableau!$AO$144")</f>
        <v/>
      </c>
      <c r="D3546" s="400" t="str">
        <f t="shared" si="20"/>
        <v>IN</v>
      </c>
      <c r="E3546" s="403" t="str">
        <f t="array" ref="E3546">INDIRECT("Tableau!$AP$144")</f>
        <v/>
      </c>
    </row>
    <row r="3547">
      <c r="A3547" s="397" t="str">
        <f t="array" ref="A3547">INDIRECT("Tableau!$A$145")</f>
        <v/>
      </c>
      <c r="B3547" s="398" t="s">
        <v>478</v>
      </c>
      <c r="C3547" s="400" t="str">
        <f t="array" ref="C3547">INDIRECT("Tableau!$AO$145")</f>
        <v/>
      </c>
      <c r="D3547" s="400" t="str">
        <f t="shared" si="20"/>
        <v>IN</v>
      </c>
      <c r="E3547" s="403" t="str">
        <f t="array" ref="E3547">INDIRECT("Tableau!$AP$145")</f>
        <v/>
      </c>
    </row>
    <row r="3548">
      <c r="A3548" s="397" t="str">
        <f t="array" ref="A3548">INDIRECT("Tableau!$A$146")</f>
        <v/>
      </c>
      <c r="B3548" s="398" t="s">
        <v>478</v>
      </c>
      <c r="C3548" s="400" t="str">
        <f t="array" ref="C3548">INDIRECT("Tableau!$AO$146")</f>
        <v/>
      </c>
      <c r="D3548" s="400" t="str">
        <f t="shared" si="20"/>
        <v>IN</v>
      </c>
      <c r="E3548" s="403" t="str">
        <f t="array" ref="E3548">INDIRECT("Tableau!$AP$146")</f>
        <v/>
      </c>
    </row>
    <row r="3549">
      <c r="A3549" s="397" t="str">
        <f t="array" ref="A3549">INDIRECT("Tableau!$A$147")</f>
        <v/>
      </c>
      <c r="B3549" s="398" t="s">
        <v>478</v>
      </c>
      <c r="C3549" s="400" t="str">
        <f t="array" ref="C3549">INDIRECT("Tableau!$AO$147")</f>
        <v/>
      </c>
      <c r="D3549" s="400" t="str">
        <f t="shared" si="20"/>
        <v>IN</v>
      </c>
      <c r="E3549" s="403" t="str">
        <f t="array" ref="E3549">INDIRECT("Tableau!$AP$147")</f>
        <v/>
      </c>
    </row>
    <row r="3550">
      <c r="A3550" s="397" t="str">
        <f t="array" ref="A3550">INDIRECT("Tableau!$A$148")</f>
        <v/>
      </c>
      <c r="B3550" s="398" t="s">
        <v>478</v>
      </c>
      <c r="C3550" s="400" t="str">
        <f t="array" ref="C3550">INDIRECT("Tableau!$AO$148")</f>
        <v/>
      </c>
      <c r="D3550" s="400" t="str">
        <f t="shared" si="20"/>
        <v>IN</v>
      </c>
      <c r="E3550" s="403" t="str">
        <f t="array" ref="E3550">INDIRECT("Tableau!$AP$148")</f>
        <v/>
      </c>
    </row>
    <row r="3551">
      <c r="A3551" s="397" t="str">
        <f t="array" ref="A3551">INDIRECT("Tableau!$A$149")</f>
        <v/>
      </c>
      <c r="B3551" s="398" t="s">
        <v>478</v>
      </c>
      <c r="C3551" s="400" t="str">
        <f t="array" ref="C3551">INDIRECT("Tableau!$AO$149")</f>
        <v/>
      </c>
      <c r="D3551" s="400" t="str">
        <f t="shared" si="20"/>
        <v>IN</v>
      </c>
      <c r="E3551" s="403" t="str">
        <f t="array" ref="E3551">INDIRECT("Tableau!$AP$149")</f>
        <v/>
      </c>
    </row>
    <row r="3552">
      <c r="A3552" s="397" t="str">
        <f t="array" ref="A3552">INDIRECT("Tableau!$A$150")</f>
        <v/>
      </c>
      <c r="B3552" s="398" t="s">
        <v>478</v>
      </c>
      <c r="C3552" s="400" t="str">
        <f t="array" ref="C3552">INDIRECT("Tableau!$AO$150")</f>
        <v/>
      </c>
      <c r="D3552" s="400" t="str">
        <f t="shared" si="20"/>
        <v>IN</v>
      </c>
      <c r="E3552" s="403" t="str">
        <f t="array" ref="E3552">INDIRECT("Tableau!$AP$150")</f>
        <v/>
      </c>
    </row>
    <row r="3553">
      <c r="A3553" s="397" t="str">
        <f t="array" ref="A3553">INDIRECT("Tableau!$A$151")</f>
        <v/>
      </c>
      <c r="B3553" s="398" t="s">
        <v>478</v>
      </c>
      <c r="C3553" s="400" t="str">
        <f t="array" ref="C3553">INDIRECT("Tableau!$AO$151")</f>
        <v/>
      </c>
      <c r="D3553" s="400" t="str">
        <f t="shared" si="20"/>
        <v>IN</v>
      </c>
      <c r="E3553" s="403" t="str">
        <f t="array" ref="E3553">INDIRECT("Tableau!$AP$151")</f>
        <v/>
      </c>
    </row>
    <row r="3554">
      <c r="A3554" s="397" t="str">
        <f t="array" ref="A3554">INDIRECT("Tableau!$A$152")</f>
        <v/>
      </c>
      <c r="B3554" s="398" t="s">
        <v>478</v>
      </c>
      <c r="C3554" s="400" t="str">
        <f t="array" ref="C3554">INDIRECT("Tableau!$AO$152")</f>
        <v/>
      </c>
      <c r="D3554" s="400" t="str">
        <f t="shared" si="20"/>
        <v>IN</v>
      </c>
      <c r="E3554" s="403" t="str">
        <f t="array" ref="E3554">INDIRECT("Tableau!$AP$152")</f>
        <v/>
      </c>
    </row>
    <row r="3555">
      <c r="A3555" s="397" t="str">
        <f t="array" ref="A3555">INDIRECT("Tableau!$A$153")</f>
        <v/>
      </c>
      <c r="B3555" s="398" t="s">
        <v>478</v>
      </c>
      <c r="C3555" s="400" t="str">
        <f t="array" ref="C3555">INDIRECT("Tableau!$AO$153")</f>
        <v/>
      </c>
      <c r="D3555" s="400" t="str">
        <f t="shared" si="20"/>
        <v>IN</v>
      </c>
      <c r="E3555" s="403" t="str">
        <f t="array" ref="E3555">INDIRECT("Tableau!$AP$153")</f>
        <v/>
      </c>
    </row>
    <row r="3556">
      <c r="A3556" s="402">
        <f t="array" ref="A3556">INDIRECT("Tableau!$A$154")</f>
        <v>501</v>
      </c>
      <c r="B3556" s="398" t="s">
        <v>478</v>
      </c>
      <c r="C3556" s="400" t="str">
        <f t="array" ref="C3556">INDIRECT("Tableau!$AO$154")</f>
        <v/>
      </c>
      <c r="D3556" s="400" t="str">
        <f t="shared" si="20"/>
        <v>IN</v>
      </c>
      <c r="E3556" s="403" t="str">
        <f t="array" ref="E3556">INDIRECT("Tableau!$AP$154")</f>
        <v/>
      </c>
    </row>
    <row r="3557">
      <c r="A3557" s="402">
        <f t="array" ref="A3557">INDIRECT("Tableau!$A$155")</f>
        <v>502</v>
      </c>
      <c r="B3557" s="398" t="s">
        <v>478</v>
      </c>
      <c r="C3557" s="400" t="str">
        <f t="array" ref="C3557">INDIRECT("Tableau!$AO$155")</f>
        <v>DPS</v>
      </c>
      <c r="D3557" s="400" t="str">
        <f t="shared" si="20"/>
        <v>IN</v>
      </c>
      <c r="E3557" s="403" t="str">
        <f t="array" ref="E3557">INDIRECT("Tableau!$AP$155")</f>
        <v/>
      </c>
    </row>
    <row r="3558">
      <c r="A3558" s="397" t="str">
        <f t="array" ref="A3558">INDIRECT("Tableau!$A$156")</f>
        <v/>
      </c>
      <c r="B3558" s="398" t="s">
        <v>478</v>
      </c>
      <c r="C3558" s="400" t="str">
        <f t="array" ref="C3558">INDIRECT("Tableau!$AO$156")</f>
        <v/>
      </c>
      <c r="D3558" s="400" t="str">
        <f t="shared" si="20"/>
        <v>IN</v>
      </c>
      <c r="E3558" s="403" t="str">
        <f t="array" ref="E3558">INDIRECT("Tableau!$AP$156")</f>
        <v/>
      </c>
    </row>
    <row r="3559">
      <c r="A3559" s="397" t="str">
        <f t="array" ref="A3559">INDIRECT("Tableau!$A$157")</f>
        <v/>
      </c>
      <c r="B3559" s="398" t="s">
        <v>478</v>
      </c>
      <c r="C3559" s="400" t="str">
        <f t="array" ref="C3559">INDIRECT("Tableau!$AO$157")</f>
        <v/>
      </c>
      <c r="D3559" s="400" t="str">
        <f t="shared" si="20"/>
        <v>IN</v>
      </c>
      <c r="E3559" s="403" t="str">
        <f t="array" ref="E3559">INDIRECT("Tableau!$AP$157")</f>
        <v/>
      </c>
    </row>
    <row r="3560">
      <c r="A3560" s="402">
        <f t="array" ref="A3560">INDIRECT("Tableau!$A$158")</f>
        <v>505</v>
      </c>
      <c r="B3560" s="398" t="s">
        <v>478</v>
      </c>
      <c r="C3560" s="400" t="str">
        <f t="array" ref="C3560">INDIRECT("Tableau!$AO$158")</f>
        <v>DPS</v>
      </c>
      <c r="D3560" s="400" t="str">
        <f t="shared" si="20"/>
        <v>IN</v>
      </c>
      <c r="E3560" s="403" t="str">
        <f t="array" ref="E3560">INDIRECT("Tableau!$AP$158")</f>
        <v/>
      </c>
    </row>
    <row r="3561">
      <c r="A3561" s="402">
        <f t="array" ref="A3561">INDIRECT("Tableau!$A$159")</f>
        <v>506</v>
      </c>
      <c r="B3561" s="398" t="s">
        <v>478</v>
      </c>
      <c r="C3561" s="400" t="str">
        <f t="array" ref="C3561">INDIRECT("Tableau!$AO$159")</f>
        <v/>
      </c>
      <c r="D3561" s="400" t="str">
        <f t="shared" si="20"/>
        <v>IN</v>
      </c>
      <c r="E3561" s="403" t="str">
        <f t="array" ref="E3561">INDIRECT("Tableau!$AP$159")</f>
        <v/>
      </c>
    </row>
    <row r="3562">
      <c r="A3562" s="402">
        <f t="array" ref="A3562">INDIRECT("Tableau!$A$160")</f>
        <v>507</v>
      </c>
      <c r="B3562" s="398" t="s">
        <v>478</v>
      </c>
      <c r="C3562" s="400" t="str">
        <f t="array" ref="C3562">INDIRECT("Tableau!$AO$160")</f>
        <v>DPS</v>
      </c>
      <c r="D3562" s="400" t="str">
        <f t="shared" si="20"/>
        <v>IN</v>
      </c>
      <c r="E3562" s="403" t="str">
        <f t="array" ref="E3562">INDIRECT("Tableau!$AP$160")</f>
        <v/>
      </c>
    </row>
    <row r="3563">
      <c r="A3563" s="402">
        <f t="array" ref="A3563">INDIRECT("Tableau!$A$161")</f>
        <v>508</v>
      </c>
      <c r="B3563" s="398" t="s">
        <v>478</v>
      </c>
      <c r="C3563" s="400" t="str">
        <f t="array" ref="C3563">INDIRECT("Tableau!$AO$161")</f>
        <v/>
      </c>
      <c r="D3563" s="400" t="str">
        <f t="shared" si="20"/>
        <v>IN</v>
      </c>
      <c r="E3563" s="403" t="str">
        <f t="array" ref="E3563">INDIRECT("Tableau!$AP$161")</f>
        <v/>
      </c>
    </row>
    <row r="3564">
      <c r="A3564" s="402">
        <f t="array" ref="A3564">INDIRECT("Tableau!$A$162")</f>
        <v>509</v>
      </c>
      <c r="B3564" s="398" t="s">
        <v>478</v>
      </c>
      <c r="C3564" s="400" t="str">
        <f t="array" ref="C3564">INDIRECT("Tableau!$AO$162")</f>
        <v/>
      </c>
      <c r="D3564" s="400" t="str">
        <f t="shared" si="20"/>
        <v>IN</v>
      </c>
      <c r="E3564" s="403" t="str">
        <f t="array" ref="E3564">INDIRECT("Tableau!$AP$162")</f>
        <v/>
      </c>
    </row>
    <row r="3565">
      <c r="A3565" s="397">
        <f t="array" ref="A3565">INDIRECT("Tableau!$A$163")</f>
        <v>510</v>
      </c>
      <c r="B3565" s="398" t="s">
        <v>478</v>
      </c>
      <c r="C3565" s="400" t="str">
        <f t="array" ref="C3565">INDIRECT("Tableau!$AO$163")</f>
        <v>DPS</v>
      </c>
      <c r="D3565" s="400" t="str">
        <f t="shared" si="20"/>
        <v>IN</v>
      </c>
      <c r="E3565" s="403" t="str">
        <f t="array" ref="E3565">INDIRECT("Tableau!$AP$163")</f>
        <v/>
      </c>
    </row>
    <row r="3566">
      <c r="A3566" s="397" t="str">
        <f t="array" ref="A3566">INDIRECT("Tableau!$A$164")</f>
        <v/>
      </c>
      <c r="B3566" s="398" t="s">
        <v>478</v>
      </c>
      <c r="C3566" s="400" t="str">
        <f t="array" ref="C3566">INDIRECT("Tableau!$AO$164")</f>
        <v/>
      </c>
      <c r="D3566" s="400" t="str">
        <f t="shared" si="20"/>
        <v>IN</v>
      </c>
      <c r="E3566" s="403" t="str">
        <f t="array" ref="E3566">INDIRECT("Tableau!$AP$164")</f>
        <v/>
      </c>
    </row>
    <row r="3567">
      <c r="A3567" s="397" t="str">
        <f t="array" ref="A3567">INDIRECT("Tableau!$A$165")</f>
        <v/>
      </c>
      <c r="B3567" s="398" t="s">
        <v>478</v>
      </c>
      <c r="C3567" s="400" t="str">
        <f t="array" ref="C3567">INDIRECT("Tableau!$AO$165")</f>
        <v/>
      </c>
      <c r="D3567" s="400" t="str">
        <f t="shared" si="20"/>
        <v>IN</v>
      </c>
      <c r="E3567" s="403" t="str">
        <f t="array" ref="E3567">INDIRECT("Tableau!$AP$165")</f>
        <v/>
      </c>
    </row>
    <row r="3568">
      <c r="A3568" s="402">
        <f t="array" ref="A3568">INDIRECT("Tableau!$A$166")</f>
        <v>527</v>
      </c>
      <c r="B3568" s="398" t="s">
        <v>478</v>
      </c>
      <c r="C3568" s="400" t="str">
        <f t="array" ref="C3568">INDIRECT("Tableau!$AO$166")</f>
        <v/>
      </c>
      <c r="D3568" s="400" t="str">
        <f t="shared" si="20"/>
        <v>IN</v>
      </c>
      <c r="E3568" s="403" t="str">
        <f t="array" ref="E3568">INDIRECT("Tableau!$AP$166")</f>
        <v/>
      </c>
    </row>
    <row r="3569">
      <c r="A3569" s="402">
        <f t="array" ref="A3569">INDIRECT("Tableau!$A$167")</f>
        <v>512</v>
      </c>
      <c r="B3569" s="398" t="s">
        <v>478</v>
      </c>
      <c r="C3569" s="400" t="str">
        <f t="array" ref="C3569">INDIRECT("Tableau!$AO$167")</f>
        <v>Grottes de Han</v>
      </c>
      <c r="D3569" s="400" t="str">
        <f t="shared" si="20"/>
        <v>IN</v>
      </c>
      <c r="E3569" s="403" t="str">
        <f t="array" ref="E3569">INDIRECT("Tableau!$AP$167")</f>
        <v/>
      </c>
    </row>
    <row r="3570">
      <c r="A3570" s="402">
        <f t="array" ref="A3570">INDIRECT("Tableau!$A$168")</f>
        <v>513</v>
      </c>
      <c r="B3570" s="398" t="s">
        <v>478</v>
      </c>
      <c r="C3570" s="400" t="str">
        <f t="array" ref="C3570">INDIRECT("Tableau!$AO$168")</f>
        <v/>
      </c>
      <c r="D3570" s="400" t="str">
        <f t="shared" si="20"/>
        <v>IN</v>
      </c>
      <c r="E3570" s="403" t="str">
        <f t="array" ref="E3570">INDIRECT("Tableau!$AP$168")</f>
        <v/>
      </c>
    </row>
    <row r="3571">
      <c r="A3571" s="402">
        <f t="array" ref="A3571">INDIRECT("Tableau!$A$169")</f>
        <v>514</v>
      </c>
      <c r="B3571" s="398" t="s">
        <v>478</v>
      </c>
      <c r="C3571" s="400" t="str">
        <f t="array" ref="C3571">INDIRECT("Tableau!$AO$169")</f>
        <v/>
      </c>
      <c r="D3571" s="400" t="str">
        <f t="shared" si="20"/>
        <v>IN</v>
      </c>
      <c r="E3571" s="403" t="str">
        <f t="array" ref="E3571">INDIRECT("Tableau!$AP$169")</f>
        <v/>
      </c>
    </row>
    <row r="3572">
      <c r="A3572" s="402">
        <f t="array" ref="A3572">INDIRECT("Tableau!$A$170")</f>
        <v>515</v>
      </c>
      <c r="B3572" s="398" t="s">
        <v>478</v>
      </c>
      <c r="C3572" s="400" t="str">
        <f t="array" ref="C3572">INDIRECT("Tableau!$AO$170")</f>
        <v/>
      </c>
      <c r="D3572" s="400" t="str">
        <f t="shared" si="20"/>
        <v>IN</v>
      </c>
      <c r="E3572" s="403" t="str">
        <f t="array" ref="E3572">INDIRECT("Tableau!$AP$170")</f>
        <v/>
      </c>
    </row>
    <row r="3573">
      <c r="A3573" s="402">
        <f t="array" ref="A3573">INDIRECT("Tableau!$A$171")</f>
        <v>517</v>
      </c>
      <c r="B3573" s="398" t="s">
        <v>478</v>
      </c>
      <c r="C3573" s="400" t="str">
        <f t="array" ref="C3573">INDIRECT("Tableau!$AO$171")</f>
        <v/>
      </c>
      <c r="D3573" s="400" t="str">
        <f t="shared" si="20"/>
        <v>IN</v>
      </c>
      <c r="E3573" s="403" t="str">
        <f t="array" ref="E3573">INDIRECT("Tableau!$AP$171")</f>
        <v/>
      </c>
    </row>
    <row r="3574">
      <c r="A3574" s="402">
        <f t="array" ref="A3574">INDIRECT("Tableau!$A$172")</f>
        <v>518</v>
      </c>
      <c r="B3574" s="398" t="s">
        <v>478</v>
      </c>
      <c r="C3574" s="400" t="str">
        <f t="array" ref="C3574">INDIRECT("Tableau!$AO$172")</f>
        <v/>
      </c>
      <c r="D3574" s="400" t="str">
        <f t="shared" si="20"/>
        <v>IN</v>
      </c>
      <c r="E3574" s="403" t="str">
        <f t="array" ref="E3574">INDIRECT("Tableau!$AP$172")</f>
        <v/>
      </c>
    </row>
    <row r="3575">
      <c r="A3575" s="397" t="str">
        <f t="array" ref="A3575">INDIRECT("Tableau!$A$173")</f>
        <v/>
      </c>
      <c r="B3575" s="398" t="s">
        <v>478</v>
      </c>
      <c r="C3575" s="400" t="str">
        <f t="array" ref="C3575">INDIRECT("Tableau!$AO$173")</f>
        <v/>
      </c>
      <c r="D3575" s="400" t="str">
        <f t="shared" si="20"/>
        <v>IN</v>
      </c>
      <c r="E3575" s="403" t="str">
        <f t="array" ref="E3575">INDIRECT("Tableau!$AP$173")</f>
        <v/>
      </c>
    </row>
    <row r="3576">
      <c r="A3576" s="402">
        <f t="array" ref="A3576">INDIRECT("Tableau!$A$174")</f>
        <v>520</v>
      </c>
      <c r="B3576" s="398" t="s">
        <v>478</v>
      </c>
      <c r="C3576" s="400" t="str">
        <f t="array" ref="C3576">INDIRECT("Tableau!$AO$174")</f>
        <v/>
      </c>
      <c r="D3576" s="400" t="str">
        <f t="shared" si="20"/>
        <v>IN</v>
      </c>
      <c r="E3576" s="403" t="str">
        <f t="array" ref="E3576">INDIRECT("Tableau!$AP$174")</f>
        <v/>
      </c>
    </row>
    <row r="3577">
      <c r="A3577" s="402">
        <f t="array" ref="A3577">INDIRECT("Tableau!$A$175")</f>
        <v>521</v>
      </c>
      <c r="B3577" s="398" t="s">
        <v>478</v>
      </c>
      <c r="C3577" s="400" t="str">
        <f t="array" ref="C3577">INDIRECT("Tableau!$AO$175")</f>
        <v>Grottes de Han</v>
      </c>
      <c r="D3577" s="400" t="str">
        <f t="shared" si="20"/>
        <v>IN</v>
      </c>
      <c r="E3577" s="403" t="str">
        <f t="array" ref="E3577">INDIRECT("Tableau!$AP$175")</f>
        <v/>
      </c>
    </row>
    <row r="3578">
      <c r="A3578" s="402">
        <f t="array" ref="A3578">INDIRECT("Tableau!$A$176")</f>
        <v>525</v>
      </c>
      <c r="B3578" s="398" t="s">
        <v>478</v>
      </c>
      <c r="C3578" s="400" t="str">
        <f t="array" ref="C3578">INDIRECT("Tableau!$AO$176")</f>
        <v>Grottes de Han</v>
      </c>
      <c r="D3578" s="400" t="str">
        <f t="shared" si="20"/>
        <v>IN</v>
      </c>
      <c r="E3578" s="403" t="str">
        <f t="array" ref="E3578">INDIRECT("Tableau!$AP$176")</f>
        <v/>
      </c>
    </row>
    <row r="3579">
      <c r="A3579" s="402">
        <f t="array" ref="A3579">INDIRECT("Tableau!$A$177")</f>
        <v>530</v>
      </c>
      <c r="B3579" s="398" t="s">
        <v>478</v>
      </c>
      <c r="C3579" s="400" t="str">
        <f t="array" ref="C3579">INDIRECT("Tableau!$AO$177")</f>
        <v>Grottes de Han</v>
      </c>
      <c r="D3579" s="400" t="str">
        <f t="shared" si="20"/>
        <v>IN</v>
      </c>
      <c r="E3579" s="403" t="str">
        <f t="array" ref="E3579">INDIRECT("Tableau!$AP$177")</f>
        <v/>
      </c>
    </row>
    <row r="3580">
      <c r="A3580" s="397" t="str">
        <f t="array" ref="A3580">INDIRECT("Tableau!$A$178")</f>
        <v/>
      </c>
      <c r="B3580" s="398" t="s">
        <v>478</v>
      </c>
      <c r="C3580" s="400" t="str">
        <f t="array" ref="C3580">INDIRECT("Tableau!$AO$178")</f>
        <v/>
      </c>
      <c r="D3580" s="400" t="str">
        <f t="shared" si="20"/>
        <v>IN</v>
      </c>
      <c r="E3580" s="403" t="str">
        <f t="array" ref="E3580">INDIRECT("Tableau!$AP$178")</f>
        <v/>
      </c>
    </row>
    <row r="3581">
      <c r="A3581" s="397" t="str">
        <f t="array" ref="A3581">INDIRECT("Tableau!$A$179")</f>
        <v/>
      </c>
      <c r="B3581" s="398" t="s">
        <v>478</v>
      </c>
      <c r="C3581" s="400" t="str">
        <f t="array" ref="C3581">INDIRECT("Tableau!$AO$179")</f>
        <v/>
      </c>
      <c r="D3581" s="400" t="str">
        <f t="shared" si="20"/>
        <v>IN</v>
      </c>
      <c r="E3581" s="403" t="str">
        <f t="array" ref="E3581">INDIRECT("Tableau!$AP$179")</f>
        <v/>
      </c>
    </row>
    <row r="3582">
      <c r="A3582" s="397" t="str">
        <f t="array" ref="A3582">INDIRECT("Tableau!$A$180")</f>
        <v/>
      </c>
      <c r="B3582" s="398" t="s">
        <v>478</v>
      </c>
      <c r="C3582" s="400" t="str">
        <f t="array" ref="C3582">INDIRECT("Tableau!$AO$180")</f>
        <v/>
      </c>
      <c r="D3582" s="400" t="str">
        <f t="shared" si="20"/>
        <v>IN</v>
      </c>
      <c r="E3582" s="403" t="str">
        <f t="array" ref="E3582">INDIRECT("Tableau!$AP$180")</f>
        <v/>
      </c>
    </row>
    <row r="3583">
      <c r="A3583" s="397" t="str">
        <f t="array" ref="A3583">INDIRECT("Tableau!$A$181")</f>
        <v/>
      </c>
      <c r="B3583" s="398" t="s">
        <v>478</v>
      </c>
      <c r="C3583" s="400" t="str">
        <f t="array" ref="C3583">INDIRECT("Tableau!$AO$181")</f>
        <v/>
      </c>
      <c r="D3583" s="400" t="str">
        <f t="shared" si="20"/>
        <v>IN</v>
      </c>
      <c r="E3583" s="403" t="str">
        <f t="array" ref="E3583">INDIRECT("Tableau!$AP$181")</f>
        <v/>
      </c>
    </row>
    <row r="3584">
      <c r="A3584" s="397" t="str">
        <f t="array" ref="A3584">INDIRECT("Tableau!$A$182")</f>
        <v/>
      </c>
      <c r="B3584" s="398" t="s">
        <v>478</v>
      </c>
      <c r="C3584" s="400" t="str">
        <f t="array" ref="C3584">INDIRECT("Tableau!$AO$182")</f>
        <v/>
      </c>
      <c r="D3584" s="400" t="str">
        <f t="shared" si="20"/>
        <v>IN</v>
      </c>
      <c r="E3584" s="403" t="str">
        <f t="array" ref="E3584">INDIRECT("Tableau!$AP$182")</f>
        <v/>
      </c>
    </row>
    <row r="3585">
      <c r="A3585" s="397" t="str">
        <f t="array" ref="A3585">INDIRECT("Tableau!$A$183")</f>
        <v/>
      </c>
      <c r="B3585" s="398" t="s">
        <v>478</v>
      </c>
      <c r="C3585" s="400" t="str">
        <f t="array" ref="C3585">INDIRECT("Tableau!$AO$183")</f>
        <v/>
      </c>
      <c r="D3585" s="400" t="str">
        <f t="shared" si="20"/>
        <v>IN</v>
      </c>
      <c r="E3585" s="403" t="str">
        <f t="array" ref="E3585">INDIRECT("Tableau!$AP$183")</f>
        <v/>
      </c>
    </row>
    <row r="3586">
      <c r="A3586" s="397" t="str">
        <f t="array" ref="A3586">INDIRECT("Tableau!$A$184")</f>
        <v/>
      </c>
      <c r="B3586" s="398" t="s">
        <v>478</v>
      </c>
      <c r="C3586" s="400" t="str">
        <f t="array" ref="C3586">INDIRECT("Tableau!$AO$184")</f>
        <v/>
      </c>
      <c r="D3586" s="400" t="str">
        <f t="shared" si="20"/>
        <v>IN</v>
      </c>
      <c r="E3586" s="403" t="str">
        <f t="array" ref="E3586">INDIRECT("Tableau!$AP$184")</f>
        <v/>
      </c>
    </row>
    <row r="3587">
      <c r="A3587" s="397" t="str">
        <f t="array" ref="A3587">INDIRECT("Tableau!$A$185")</f>
        <v/>
      </c>
      <c r="B3587" s="398" t="s">
        <v>478</v>
      </c>
      <c r="C3587" s="400" t="str">
        <f t="array" ref="C3587">INDIRECT("Tableau!$AO$185")</f>
        <v/>
      </c>
      <c r="D3587" s="400" t="str">
        <f t="shared" si="20"/>
        <v>IN</v>
      </c>
      <c r="E3587" s="403" t="str">
        <f t="array" ref="E3587">INDIRECT("Tableau!$AP$185")</f>
        <v/>
      </c>
    </row>
    <row r="3588">
      <c r="A3588" s="397" t="str">
        <f t="array" ref="A3588">INDIRECT("Tableau!$A$186")</f>
        <v/>
      </c>
      <c r="B3588" s="398" t="s">
        <v>478</v>
      </c>
      <c r="C3588" s="400" t="str">
        <f t="array" ref="C3588">INDIRECT("Tableau!$AO$186")</f>
        <v/>
      </c>
      <c r="D3588" s="400" t="str">
        <f t="shared" si="20"/>
        <v>IN</v>
      </c>
      <c r="E3588" s="403" t="str">
        <f t="array" ref="E3588">INDIRECT("Tableau!$AP$186")</f>
        <v/>
      </c>
    </row>
    <row r="3589">
      <c r="A3589" s="397" t="str">
        <f t="array" ref="A3589">INDIRECT("Tableau!$A$187")</f>
        <v/>
      </c>
      <c r="B3589" s="398" t="s">
        <v>478</v>
      </c>
      <c r="C3589" s="400" t="str">
        <f t="array" ref="C3589">INDIRECT("Tableau!$AO$187")</f>
        <v/>
      </c>
      <c r="D3589" s="400" t="str">
        <f t="shared" si="20"/>
        <v>IN</v>
      </c>
      <c r="E3589" s="403" t="str">
        <f t="array" ref="E3589">INDIRECT("Tableau!$AP$187")</f>
        <v/>
      </c>
    </row>
    <row r="3590">
      <c r="A3590" s="397" t="str">
        <f t="array" ref="A3590">INDIRECT("Tableau!$A$188")</f>
        <v/>
      </c>
      <c r="B3590" s="398" t="s">
        <v>478</v>
      </c>
      <c r="C3590" s="400" t="str">
        <f t="array" ref="C3590">INDIRECT("Tableau!$AO$188")</f>
        <v/>
      </c>
      <c r="D3590" s="400" t="str">
        <f t="shared" si="20"/>
        <v>IN</v>
      </c>
      <c r="E3590" s="403" t="str">
        <f t="array" ref="E3590">INDIRECT("Tableau!$AP$188")</f>
        <v/>
      </c>
    </row>
    <row r="3591">
      <c r="A3591" s="397" t="str">
        <f t="array" ref="A3591">INDIRECT("Tableau!$A$189")</f>
        <v/>
      </c>
      <c r="B3591" s="398" t="s">
        <v>478</v>
      </c>
      <c r="C3591" s="400" t="str">
        <f t="array" ref="C3591">INDIRECT("Tableau!$AO$189")</f>
        <v/>
      </c>
      <c r="D3591" s="400" t="str">
        <f t="shared" si="20"/>
        <v>IN</v>
      </c>
      <c r="E3591" s="403" t="str">
        <f t="array" ref="E3591">INDIRECT("Tableau!$AP$189")</f>
        <v/>
      </c>
    </row>
    <row r="3592">
      <c r="A3592" s="397" t="str">
        <f t="array" ref="A3592">INDIRECT("Tableau!$A$190")</f>
        <v/>
      </c>
      <c r="B3592" s="398" t="s">
        <v>478</v>
      </c>
      <c r="C3592" s="400" t="str">
        <f t="array" ref="C3592">INDIRECT("Tableau!$AO$190")</f>
        <v/>
      </c>
      <c r="D3592" s="400" t="str">
        <f t="shared" si="20"/>
        <v>IN</v>
      </c>
      <c r="E3592" s="403" t="str">
        <f t="array" ref="E3592">INDIRECT("Tableau!$AP$190")</f>
        <v/>
      </c>
    </row>
    <row r="3593">
      <c r="A3593" s="397" t="str">
        <f t="array" ref="A3593">INDIRECT("Tableau!$A$2")</f>
        <v/>
      </c>
      <c r="B3593" s="398" t="s">
        <v>478</v>
      </c>
      <c r="C3593" s="400" t="str">
        <f t="array" ref="C3593">INDIRECT("Tableau!$AQ$2")</f>
        <v/>
      </c>
      <c r="D3593" s="400" t="str">
        <f t="shared" ref="D3593:D3781" si="21">INDIRECT("Tableau!$AR$1")</f>
        <v>OUT</v>
      </c>
      <c r="E3593" s="403" t="str">
        <f t="array" ref="E3593">INDIRECT("Tableau!$AR$2")</f>
        <v/>
      </c>
    </row>
    <row r="3594">
      <c r="A3594" s="402">
        <f t="array" ref="A3594">INDIRECT("Tableau!$A$3")</f>
        <v>102</v>
      </c>
      <c r="B3594" s="398" t="s">
        <v>478</v>
      </c>
      <c r="C3594" s="400" t="str">
        <f t="array" ref="C3594">INDIRECT("Tableau!$AQ$3")</f>
        <v/>
      </c>
      <c r="D3594" s="400" t="str">
        <f t="shared" si="21"/>
        <v>OUT</v>
      </c>
      <c r="E3594" s="403" t="str">
        <f t="array" ref="E3594">INDIRECT("Tableau!$AR$3")</f>
        <v/>
      </c>
    </row>
    <row r="3595">
      <c r="A3595" s="397" t="str">
        <f t="array" ref="A3595">INDIRECT("Tableau!$A$4")</f>
        <v/>
      </c>
      <c r="B3595" s="398" t="s">
        <v>478</v>
      </c>
      <c r="C3595" s="400" t="str">
        <f t="array" ref="C3595">INDIRECT("Tableau!$AQ$4")</f>
        <v/>
      </c>
      <c r="D3595" s="400" t="str">
        <f t="shared" si="21"/>
        <v>OUT</v>
      </c>
      <c r="E3595" s="403" t="str">
        <f t="array" ref="E3595">INDIRECT("Tableau!$AR$4")</f>
        <v/>
      </c>
    </row>
    <row r="3596">
      <c r="A3596" s="402">
        <f t="array" ref="A3596">INDIRECT("Tableau!$A$5")</f>
        <v>104</v>
      </c>
      <c r="B3596" s="398" t="s">
        <v>478</v>
      </c>
      <c r="C3596" s="400" t="str">
        <f t="array" ref="C3596">INDIRECT("Tableau!$AQ$5")</f>
        <v/>
      </c>
      <c r="D3596" s="400" t="str">
        <f t="shared" si="21"/>
        <v>OUT</v>
      </c>
      <c r="E3596" s="403" t="str">
        <f t="array" ref="E3596">INDIRECT("Tableau!$AR$5")</f>
        <v/>
      </c>
    </row>
    <row r="3597">
      <c r="A3597" s="402">
        <f t="array" ref="A3597">INDIRECT("Tableau!$A$6")</f>
        <v>105</v>
      </c>
      <c r="B3597" s="398" t="s">
        <v>478</v>
      </c>
      <c r="C3597" s="400" t="str">
        <f t="array" ref="C3597">INDIRECT("Tableau!$AQ$6")</f>
        <v/>
      </c>
      <c r="D3597" s="400" t="str">
        <f t="shared" si="21"/>
        <v>OUT</v>
      </c>
      <c r="E3597" s="403" t="str">
        <f t="array" ref="E3597">INDIRECT("Tableau!$AR$6")</f>
        <v/>
      </c>
    </row>
    <row r="3598">
      <c r="A3598" s="402">
        <f t="array" ref="A3598">INDIRECT("Tableau!$A$7")</f>
        <v>106</v>
      </c>
      <c r="B3598" s="398" t="s">
        <v>478</v>
      </c>
      <c r="C3598" s="400" t="str">
        <f t="array" ref="C3598">INDIRECT("Tableau!$AQ$7")</f>
        <v/>
      </c>
      <c r="D3598" s="400" t="str">
        <f t="shared" si="21"/>
        <v>OUT</v>
      </c>
      <c r="E3598" s="403" t="str">
        <f t="array" ref="E3598">INDIRECT("Tableau!$AR$7")</f>
        <v/>
      </c>
    </row>
    <row r="3599">
      <c r="A3599" s="402">
        <f t="array" ref="A3599">INDIRECT("Tableau!$A$8")</f>
        <v>107</v>
      </c>
      <c r="B3599" s="398" t="s">
        <v>478</v>
      </c>
      <c r="C3599" s="400" t="str">
        <f t="array" ref="C3599">INDIRECT("Tableau!$AQ$8")</f>
        <v/>
      </c>
      <c r="D3599" s="400" t="str">
        <f t="shared" si="21"/>
        <v>OUT</v>
      </c>
      <c r="E3599" s="403" t="str">
        <f t="array" ref="E3599">INDIRECT("Tableau!$AR$8")</f>
        <v/>
      </c>
    </row>
    <row r="3600">
      <c r="A3600" s="397">
        <f t="array" ref="A3600">INDIRECT("Tableau!$A$9")</f>
        <v>108</v>
      </c>
      <c r="B3600" s="398" t="s">
        <v>478</v>
      </c>
      <c r="C3600" s="400" t="str">
        <f t="array" ref="C3600">INDIRECT("Tableau!$AQ$9")</f>
        <v/>
      </c>
      <c r="D3600" s="400" t="str">
        <f t="shared" si="21"/>
        <v>OUT</v>
      </c>
      <c r="E3600" s="403" t="str">
        <f t="array" ref="E3600">INDIRECT("Tableau!$AR$9")</f>
        <v/>
      </c>
    </row>
    <row r="3601">
      <c r="A3601" s="402">
        <f t="array" ref="A3601">INDIRECT("Tableau!$A$10")</f>
        <v>109</v>
      </c>
      <c r="B3601" s="398" t="s">
        <v>478</v>
      </c>
      <c r="C3601" s="400" t="str">
        <f t="array" ref="C3601">INDIRECT("Tableau!$AQ$10")</f>
        <v/>
      </c>
      <c r="D3601" s="400" t="str">
        <f t="shared" si="21"/>
        <v>OUT</v>
      </c>
      <c r="E3601" s="403" t="str">
        <f t="array" ref="E3601">INDIRECT("Tableau!$AR$10")</f>
        <v/>
      </c>
    </row>
    <row r="3602">
      <c r="A3602" s="402">
        <f t="array" ref="A3602">INDIRECT("Tableau!$A$11")</f>
        <v>110</v>
      </c>
      <c r="B3602" s="398" t="s">
        <v>478</v>
      </c>
      <c r="C3602" s="400" t="str">
        <f t="array" ref="C3602">INDIRECT("Tableau!$AQ$11")</f>
        <v/>
      </c>
      <c r="D3602" s="400" t="str">
        <f t="shared" si="21"/>
        <v>OUT</v>
      </c>
      <c r="E3602" s="403" t="str">
        <f t="array" ref="E3602">INDIRECT("Tableau!$AR$11")</f>
        <v/>
      </c>
    </row>
    <row r="3603">
      <c r="A3603" s="402">
        <f t="array" ref="A3603">INDIRECT("Tableau!$A$12")</f>
        <v>111</v>
      </c>
      <c r="B3603" s="398" t="s">
        <v>478</v>
      </c>
      <c r="C3603" s="400" t="str">
        <f t="array" ref="C3603">INDIRECT("Tableau!$AQ$12")</f>
        <v/>
      </c>
      <c r="D3603" s="400" t="str">
        <f t="shared" si="21"/>
        <v>OUT</v>
      </c>
      <c r="E3603" s="403" t="str">
        <f t="array" ref="E3603">INDIRECT("Tableau!$AR$12")</f>
        <v/>
      </c>
    </row>
    <row r="3604">
      <c r="A3604" s="402">
        <f t="array" ref="A3604">INDIRECT("Tableau!$A$13")</f>
        <v>112</v>
      </c>
      <c r="B3604" s="398" t="s">
        <v>478</v>
      </c>
      <c r="C3604" s="400" t="str">
        <f t="array" ref="C3604">INDIRECT("Tableau!$AQ$13")</f>
        <v/>
      </c>
      <c r="D3604" s="400" t="str">
        <f t="shared" si="21"/>
        <v>OUT</v>
      </c>
      <c r="E3604" s="403" t="str">
        <f t="array" ref="E3604">INDIRECT("Tableau!$AR$13")</f>
        <v/>
      </c>
    </row>
    <row r="3605">
      <c r="A3605" s="402">
        <f t="array" ref="A3605">INDIRECT("Tableau!$A$14")</f>
        <v>113</v>
      </c>
      <c r="B3605" s="398" t="s">
        <v>478</v>
      </c>
      <c r="C3605" s="400" t="str">
        <f t="array" ref="C3605">INDIRECT("Tableau!$AQ$14")</f>
        <v/>
      </c>
      <c r="D3605" s="400" t="str">
        <f t="shared" si="21"/>
        <v>OUT</v>
      </c>
      <c r="E3605" s="403" t="str">
        <f t="array" ref="E3605">INDIRECT("Tableau!$AR$14")</f>
        <v/>
      </c>
    </row>
    <row r="3606">
      <c r="A3606" s="397">
        <f t="array" ref="A3606">INDIRECT("Tableau!$A$15")</f>
        <v>114</v>
      </c>
      <c r="B3606" s="398" t="s">
        <v>478</v>
      </c>
      <c r="C3606" s="400" t="str">
        <f t="array" ref="C3606">INDIRECT("Tableau!$AQ$15")</f>
        <v/>
      </c>
      <c r="D3606" s="400" t="str">
        <f t="shared" si="21"/>
        <v>OUT</v>
      </c>
      <c r="E3606" s="403" t="str">
        <f t="array" ref="E3606">INDIRECT("Tableau!$AR$15")</f>
        <v/>
      </c>
    </row>
    <row r="3607">
      <c r="A3607" s="397" t="str">
        <f t="array" ref="A3607">INDIRECT("Tableau!$A$16")</f>
        <v/>
      </c>
      <c r="B3607" s="398" t="s">
        <v>478</v>
      </c>
      <c r="C3607" s="400" t="str">
        <f t="array" ref="C3607">INDIRECT("Tableau!$AQ$16")</f>
        <v/>
      </c>
      <c r="D3607" s="400" t="str">
        <f t="shared" si="21"/>
        <v>OUT</v>
      </c>
      <c r="E3607" s="403" t="str">
        <f t="array" ref="E3607">INDIRECT("Tableau!$AR$16")</f>
        <v/>
      </c>
    </row>
    <row r="3608">
      <c r="A3608" s="397" t="str">
        <f t="array" ref="A3608">INDIRECT("Tableau!$A$17")</f>
        <v/>
      </c>
      <c r="B3608" s="398" t="s">
        <v>478</v>
      </c>
      <c r="C3608" s="400" t="str">
        <f t="array" ref="C3608">INDIRECT("Tableau!$AQ$17")</f>
        <v/>
      </c>
      <c r="D3608" s="400" t="str">
        <f t="shared" si="21"/>
        <v>OUT</v>
      </c>
      <c r="E3608" s="403" t="str">
        <f t="array" ref="E3608">INDIRECT("Tableau!$AR$17")</f>
        <v/>
      </c>
    </row>
    <row r="3609">
      <c r="A3609" s="397" t="str">
        <f t="array" ref="A3609">INDIRECT("Tableau!$A$18")</f>
        <v/>
      </c>
      <c r="B3609" s="398" t="s">
        <v>478</v>
      </c>
      <c r="C3609" s="400" t="str">
        <f t="array" ref="C3609">INDIRECT("Tableau!$AQ$18")</f>
        <v/>
      </c>
      <c r="D3609" s="400" t="str">
        <f t="shared" si="21"/>
        <v>OUT</v>
      </c>
      <c r="E3609" s="403" t="str">
        <f t="array" ref="E3609">INDIRECT("Tableau!$AR$18")</f>
        <v/>
      </c>
    </row>
    <row r="3610">
      <c r="A3610" s="397" t="str">
        <f t="array" ref="A3610">INDIRECT("Tableau!$A$19")</f>
        <v/>
      </c>
      <c r="B3610" s="398" t="s">
        <v>478</v>
      </c>
      <c r="C3610" s="400" t="str">
        <f t="array" ref="C3610">INDIRECT("Tableau!$AQ$19")</f>
        <v/>
      </c>
      <c r="D3610" s="400" t="str">
        <f t="shared" si="21"/>
        <v>OUT</v>
      </c>
      <c r="E3610" s="403" t="str">
        <f t="array" ref="E3610">INDIRECT("Tableau!$AR$19")</f>
        <v/>
      </c>
    </row>
    <row r="3611">
      <c r="A3611" s="397" t="str">
        <f t="array" ref="A3611">INDIRECT("Tableau!$A$20")</f>
        <v/>
      </c>
      <c r="B3611" s="398" t="s">
        <v>478</v>
      </c>
      <c r="C3611" s="400" t="str">
        <f t="array" ref="C3611">INDIRECT("Tableau!$AQ$20")</f>
        <v/>
      </c>
      <c r="D3611" s="400" t="str">
        <f t="shared" si="21"/>
        <v>OUT</v>
      </c>
      <c r="E3611" s="403" t="str">
        <f t="array" ref="E3611">INDIRECT("Tableau!$AR$20")</f>
        <v/>
      </c>
    </row>
    <row r="3612">
      <c r="A3612" s="397" t="str">
        <f t="array" ref="A3612">INDIRECT("Tableau!$A$21")</f>
        <v/>
      </c>
      <c r="B3612" s="398" t="s">
        <v>478</v>
      </c>
      <c r="C3612" s="400" t="str">
        <f t="array" ref="C3612">INDIRECT("Tableau!$AQ$21")</f>
        <v/>
      </c>
      <c r="D3612" s="400" t="str">
        <f t="shared" si="21"/>
        <v>OUT</v>
      </c>
      <c r="E3612" s="403" t="str">
        <f t="array" ref="E3612">INDIRECT("Tableau!$AR$21")</f>
        <v/>
      </c>
    </row>
    <row r="3613">
      <c r="A3613" s="397" t="str">
        <f t="array" ref="A3613">INDIRECT("Tableau!$A$22")</f>
        <v/>
      </c>
      <c r="B3613" s="398" t="s">
        <v>478</v>
      </c>
      <c r="C3613" s="400" t="str">
        <f t="array" ref="C3613">INDIRECT("Tableau!$AQ$22")</f>
        <v/>
      </c>
      <c r="D3613" s="400" t="str">
        <f t="shared" si="21"/>
        <v>OUT</v>
      </c>
      <c r="E3613" s="403" t="str">
        <f t="array" ref="E3613">INDIRECT("Tableau!$AR$22")</f>
        <v/>
      </c>
    </row>
    <row r="3614">
      <c r="A3614" s="397" t="str">
        <f t="array" ref="A3614">INDIRECT("Tableau!$A$23")</f>
        <v/>
      </c>
      <c r="B3614" s="398" t="s">
        <v>478</v>
      </c>
      <c r="C3614" s="400" t="str">
        <f t="array" ref="C3614">INDIRECT("Tableau!$AQ$23")</f>
        <v/>
      </c>
      <c r="D3614" s="400" t="str">
        <f t="shared" si="21"/>
        <v>OUT</v>
      </c>
      <c r="E3614" s="403" t="str">
        <f t="array" ref="E3614">INDIRECT("Tableau!$AR$23")</f>
        <v/>
      </c>
    </row>
    <row r="3615">
      <c r="A3615" s="397" t="str">
        <f t="array" ref="A3615">INDIRECT("Tableau!$A$24")</f>
        <v/>
      </c>
      <c r="B3615" s="398" t="s">
        <v>478</v>
      </c>
      <c r="C3615" s="400" t="str">
        <f t="array" ref="C3615">INDIRECT("Tableau!$AQ$24")</f>
        <v/>
      </c>
      <c r="D3615" s="400" t="str">
        <f t="shared" si="21"/>
        <v>OUT</v>
      </c>
      <c r="E3615" s="403" t="str">
        <f t="array" ref="E3615">INDIRECT("Tableau!$AR$24")</f>
        <v/>
      </c>
    </row>
    <row r="3616">
      <c r="A3616" s="397" t="str">
        <f t="array" ref="A3616">INDIRECT("Tableau!$A$25")</f>
        <v/>
      </c>
      <c r="B3616" s="398" t="s">
        <v>478</v>
      </c>
      <c r="C3616" s="400" t="str">
        <f t="array" ref="C3616">INDIRECT("Tableau!$AQ$25")</f>
        <v/>
      </c>
      <c r="D3616" s="400" t="str">
        <f t="shared" si="21"/>
        <v>OUT</v>
      </c>
      <c r="E3616" s="403" t="str">
        <f t="array" ref="E3616">INDIRECT("Tableau!$AR$25")</f>
        <v/>
      </c>
    </row>
    <row r="3617">
      <c r="A3617" s="402">
        <f t="array" ref="A3617">INDIRECT("Tableau!$A$26")</f>
        <v>201</v>
      </c>
      <c r="B3617" s="398" t="s">
        <v>478</v>
      </c>
      <c r="C3617" s="400" t="str">
        <f t="array" ref="C3617">INDIRECT("Tableau!$AQ$26")</f>
        <v/>
      </c>
      <c r="D3617" s="400" t="str">
        <f t="shared" si="21"/>
        <v>OUT</v>
      </c>
      <c r="E3617" s="403" t="str">
        <f t="array" ref="E3617">INDIRECT("Tableau!$AR$26")</f>
        <v/>
      </c>
    </row>
    <row r="3618">
      <c r="A3618" s="402">
        <f t="array" ref="A3618">INDIRECT("Tableau!$A$27")</f>
        <v>202</v>
      </c>
      <c r="B3618" s="398" t="s">
        <v>478</v>
      </c>
      <c r="C3618" s="400" t="str">
        <f t="array" ref="C3618">INDIRECT("Tableau!$AQ$27")</f>
        <v/>
      </c>
      <c r="D3618" s="400" t="str">
        <f t="shared" si="21"/>
        <v>OUT</v>
      </c>
      <c r="E3618" s="403" t="str">
        <f t="array" ref="E3618">INDIRECT("Tableau!$AR$27")</f>
        <v/>
      </c>
    </row>
    <row r="3619">
      <c r="A3619" s="402">
        <f t="array" ref="A3619">INDIRECT("Tableau!$A$28")</f>
        <v>203</v>
      </c>
      <c r="B3619" s="398" t="s">
        <v>478</v>
      </c>
      <c r="C3619" s="400" t="str">
        <f t="array" ref="C3619">INDIRECT("Tableau!$AQ$28")</f>
        <v/>
      </c>
      <c r="D3619" s="400" t="str">
        <f t="shared" si="21"/>
        <v>OUT</v>
      </c>
      <c r="E3619" s="403" t="str">
        <f t="array" ref="E3619">INDIRECT("Tableau!$AR$28")</f>
        <v/>
      </c>
    </row>
    <row r="3620">
      <c r="A3620" s="402">
        <f t="array" ref="A3620">INDIRECT("Tableau!$A$29")</f>
        <v>204</v>
      </c>
      <c r="B3620" s="398" t="s">
        <v>478</v>
      </c>
      <c r="C3620" s="400" t="str">
        <f t="array" ref="C3620">INDIRECT("Tableau!$AQ$29")</f>
        <v/>
      </c>
      <c r="D3620" s="400" t="str">
        <f t="shared" si="21"/>
        <v>OUT</v>
      </c>
      <c r="E3620" s="403" t="str">
        <f t="array" ref="E3620">INDIRECT("Tableau!$AR$29")</f>
        <v/>
      </c>
    </row>
    <row r="3621">
      <c r="A3621" s="402">
        <f t="array" ref="A3621">INDIRECT("Tableau!$A$30")</f>
        <v>205</v>
      </c>
      <c r="B3621" s="398" t="s">
        <v>478</v>
      </c>
      <c r="C3621" s="400" t="str">
        <f t="array" ref="C3621">INDIRECT("Tableau!$AQ$30")</f>
        <v/>
      </c>
      <c r="D3621" s="400" t="str">
        <f t="shared" si="21"/>
        <v>OUT</v>
      </c>
      <c r="E3621" s="403" t="str">
        <f t="array" ref="E3621">INDIRECT("Tableau!$AR$30")</f>
        <v/>
      </c>
    </row>
    <row r="3622">
      <c r="A3622" s="402">
        <f t="array" ref="A3622">INDIRECT("Tableau!$A$31")</f>
        <v>206</v>
      </c>
      <c r="B3622" s="398" t="s">
        <v>478</v>
      </c>
      <c r="C3622" s="400" t="str">
        <f t="array" ref="C3622">INDIRECT("Tableau!$AQ$31")</f>
        <v/>
      </c>
      <c r="D3622" s="400" t="str">
        <f t="shared" si="21"/>
        <v>OUT</v>
      </c>
      <c r="E3622" s="403" t="str">
        <f t="array" ref="E3622">INDIRECT("Tableau!$AR$31")</f>
        <v/>
      </c>
    </row>
    <row r="3623">
      <c r="A3623" s="402">
        <f t="array" ref="A3623">INDIRECT("Tableau!$A$32")</f>
        <v>207</v>
      </c>
      <c r="B3623" s="398" t="s">
        <v>478</v>
      </c>
      <c r="C3623" s="400" t="str">
        <f t="array" ref="C3623">INDIRECT("Tableau!$AQ$32")</f>
        <v/>
      </c>
      <c r="D3623" s="400" t="str">
        <f t="shared" si="21"/>
        <v>OUT</v>
      </c>
      <c r="E3623" s="403" t="str">
        <f t="array" ref="E3623">INDIRECT("Tableau!$AR$32")</f>
        <v/>
      </c>
    </row>
    <row r="3624">
      <c r="A3624" s="402">
        <f t="array" ref="A3624">INDIRECT("Tableau!$A$33")</f>
        <v>208</v>
      </c>
      <c r="B3624" s="398" t="s">
        <v>478</v>
      </c>
      <c r="C3624" s="400" t="str">
        <f t="array" ref="C3624">INDIRECT("Tableau!$AQ$33")</f>
        <v/>
      </c>
      <c r="D3624" s="400" t="str">
        <f t="shared" si="21"/>
        <v>OUT</v>
      </c>
      <c r="E3624" s="403" t="str">
        <f t="array" ref="E3624">INDIRECT("Tableau!$AR$33")</f>
        <v/>
      </c>
    </row>
    <row r="3625">
      <c r="A3625" s="402">
        <f t="array" ref="A3625">INDIRECT("Tableau!$A$34")</f>
        <v>209</v>
      </c>
      <c r="B3625" s="398" t="s">
        <v>478</v>
      </c>
      <c r="C3625" s="400" t="str">
        <f t="array" ref="C3625">INDIRECT("Tableau!$AQ$34")</f>
        <v/>
      </c>
      <c r="D3625" s="400" t="str">
        <f t="shared" si="21"/>
        <v>OUT</v>
      </c>
      <c r="E3625" s="403" t="str">
        <f t="array" ref="E3625">INDIRECT("Tableau!$AR$34")</f>
        <v/>
      </c>
    </row>
    <row r="3626">
      <c r="A3626" s="402">
        <f t="array" ref="A3626">INDIRECT("Tableau!$A$35")</f>
        <v>210</v>
      </c>
      <c r="B3626" s="398" t="s">
        <v>478</v>
      </c>
      <c r="C3626" s="400" t="str">
        <f t="array" ref="C3626">INDIRECT("Tableau!$AQ$35")</f>
        <v/>
      </c>
      <c r="D3626" s="400" t="str">
        <f t="shared" si="21"/>
        <v>OUT</v>
      </c>
      <c r="E3626" s="403" t="str">
        <f t="array" ref="E3626">INDIRECT("Tableau!$AR$35")</f>
        <v/>
      </c>
    </row>
    <row r="3627">
      <c r="A3627" s="402">
        <f t="array" ref="A3627">INDIRECT("Tableau!$A$36")</f>
        <v>211</v>
      </c>
      <c r="B3627" s="398" t="s">
        <v>478</v>
      </c>
      <c r="C3627" s="400" t="str">
        <f t="array" ref="C3627">INDIRECT("Tableau!$AQ$36")</f>
        <v/>
      </c>
      <c r="D3627" s="400" t="str">
        <f t="shared" si="21"/>
        <v>OUT</v>
      </c>
      <c r="E3627" s="403" t="str">
        <f t="array" ref="E3627">INDIRECT("Tableau!$AR$36")</f>
        <v/>
      </c>
    </row>
    <row r="3628">
      <c r="A3628" s="402">
        <f t="array" ref="A3628">INDIRECT("Tableau!$A$37")</f>
        <v>212</v>
      </c>
      <c r="B3628" s="398" t="s">
        <v>478</v>
      </c>
      <c r="C3628" s="400" t="str">
        <f t="array" ref="C3628">INDIRECT("Tableau!$AQ$37")</f>
        <v/>
      </c>
      <c r="D3628" s="400" t="str">
        <f t="shared" si="21"/>
        <v>OUT</v>
      </c>
      <c r="E3628" s="403" t="str">
        <f t="array" ref="E3628">INDIRECT("Tableau!$AR$37")</f>
        <v/>
      </c>
    </row>
    <row r="3629">
      <c r="A3629" s="402">
        <f t="array" ref="A3629">INDIRECT("Tableau!$A$38")</f>
        <v>213</v>
      </c>
      <c r="B3629" s="398" t="s">
        <v>478</v>
      </c>
      <c r="C3629" s="400" t="str">
        <f t="array" ref="C3629">INDIRECT("Tableau!$AQ$38")</f>
        <v/>
      </c>
      <c r="D3629" s="400" t="str">
        <f t="shared" si="21"/>
        <v>OUT</v>
      </c>
      <c r="E3629" s="403" t="str">
        <f t="array" ref="E3629">INDIRECT("Tableau!$AR$38")</f>
        <v/>
      </c>
    </row>
    <row r="3630">
      <c r="A3630" s="402">
        <f t="array" ref="A3630">INDIRECT("Tableau!$A$39")</f>
        <v>214</v>
      </c>
      <c r="B3630" s="398" t="s">
        <v>478</v>
      </c>
      <c r="C3630" s="400" t="str">
        <f t="array" ref="C3630">INDIRECT("Tableau!$AQ$39")</f>
        <v/>
      </c>
      <c r="D3630" s="400" t="str">
        <f t="shared" si="21"/>
        <v>OUT</v>
      </c>
      <c r="E3630" s="403" t="str">
        <f t="array" ref="E3630">INDIRECT("Tableau!$AR$39")</f>
        <v/>
      </c>
    </row>
    <row r="3631">
      <c r="A3631" s="402">
        <f t="array" ref="A3631">INDIRECT("Tableau!$A$40")</f>
        <v>215</v>
      </c>
      <c r="B3631" s="398" t="s">
        <v>478</v>
      </c>
      <c r="C3631" s="400" t="str">
        <f t="array" ref="C3631">INDIRECT("Tableau!$AQ$40")</f>
        <v/>
      </c>
      <c r="D3631" s="400" t="str">
        <f t="shared" si="21"/>
        <v>OUT</v>
      </c>
      <c r="E3631" s="403" t="str">
        <f t="array" ref="E3631">INDIRECT("Tableau!$AR$40")</f>
        <v/>
      </c>
    </row>
    <row r="3632">
      <c r="A3632" s="402">
        <f t="array" ref="A3632">INDIRECT("Tableau!$A$41")</f>
        <v>216</v>
      </c>
      <c r="B3632" s="398" t="s">
        <v>478</v>
      </c>
      <c r="C3632" s="400" t="str">
        <f t="array" ref="C3632">INDIRECT("Tableau!$AQ$41")</f>
        <v/>
      </c>
      <c r="D3632" s="400" t="str">
        <f t="shared" si="21"/>
        <v>OUT</v>
      </c>
      <c r="E3632" s="403" t="str">
        <f t="array" ref="E3632">INDIRECT("Tableau!$AR$41")</f>
        <v/>
      </c>
    </row>
    <row r="3633">
      <c r="A3633" s="402">
        <f t="array" ref="A3633">INDIRECT("Tableau!$A$42")</f>
        <v>227</v>
      </c>
      <c r="B3633" s="398" t="s">
        <v>478</v>
      </c>
      <c r="C3633" s="400" t="str">
        <f t="array" ref="C3633">INDIRECT("Tableau!$AQ$42")</f>
        <v/>
      </c>
      <c r="D3633" s="400" t="str">
        <f t="shared" si="21"/>
        <v>OUT</v>
      </c>
      <c r="E3633" s="403" t="str">
        <f t="array" ref="E3633">INDIRECT("Tableau!$AR$42")</f>
        <v/>
      </c>
    </row>
    <row r="3634">
      <c r="A3634" s="402">
        <f t="array" ref="A3634">INDIRECT("Tableau!$A$43")</f>
        <v>217</v>
      </c>
      <c r="B3634" s="398" t="s">
        <v>478</v>
      </c>
      <c r="C3634" s="400" t="str">
        <f t="array" ref="C3634">INDIRECT("Tableau!$AQ$43")</f>
        <v/>
      </c>
      <c r="D3634" s="400" t="str">
        <f t="shared" si="21"/>
        <v>OUT</v>
      </c>
      <c r="E3634" s="403" t="str">
        <f t="array" ref="E3634">INDIRECT("Tableau!$AR$43")</f>
        <v/>
      </c>
    </row>
    <row r="3635">
      <c r="A3635" s="402">
        <f t="array" ref="A3635">INDIRECT("Tableau!$A$44")</f>
        <v>218</v>
      </c>
      <c r="B3635" s="398" t="s">
        <v>478</v>
      </c>
      <c r="C3635" s="400" t="str">
        <f t="array" ref="C3635">INDIRECT("Tableau!$AQ$44")</f>
        <v/>
      </c>
      <c r="D3635" s="400" t="str">
        <f t="shared" si="21"/>
        <v>OUT</v>
      </c>
      <c r="E3635" s="403" t="str">
        <f t="array" ref="E3635">INDIRECT("Tableau!$AR$44")</f>
        <v/>
      </c>
    </row>
    <row r="3636">
      <c r="A3636" s="397" t="str">
        <f t="array" ref="A3636">INDIRECT("Tableau!$A$45")</f>
        <v/>
      </c>
      <c r="B3636" s="398" t="s">
        <v>478</v>
      </c>
      <c r="C3636" s="400" t="str">
        <f t="array" ref="C3636">INDIRECT("Tableau!$AQ$45")</f>
        <v/>
      </c>
      <c r="D3636" s="400" t="str">
        <f t="shared" si="21"/>
        <v>OUT</v>
      </c>
      <c r="E3636" s="403" t="str">
        <f t="array" ref="E3636">INDIRECT("Tableau!$AR$45")</f>
        <v/>
      </c>
    </row>
    <row r="3637">
      <c r="A3637" s="402">
        <f t="array" ref="A3637">INDIRECT("Tableau!$A$46")</f>
        <v>220</v>
      </c>
      <c r="B3637" s="398" t="s">
        <v>478</v>
      </c>
      <c r="C3637" s="400" t="str">
        <f t="array" ref="C3637">INDIRECT("Tableau!$AQ$46")</f>
        <v/>
      </c>
      <c r="D3637" s="400" t="str">
        <f t="shared" si="21"/>
        <v>OUT</v>
      </c>
      <c r="E3637" s="403" t="str">
        <f t="array" ref="E3637">INDIRECT("Tableau!$AR$46")</f>
        <v/>
      </c>
    </row>
    <row r="3638">
      <c r="A3638" s="402">
        <f t="array" ref="A3638">INDIRECT("Tableau!$A$47")</f>
        <v>221</v>
      </c>
      <c r="B3638" s="398" t="s">
        <v>478</v>
      </c>
      <c r="C3638" s="400" t="str">
        <f t="array" ref="C3638">INDIRECT("Tableau!$AQ$47")</f>
        <v/>
      </c>
      <c r="D3638" s="400" t="str">
        <f t="shared" si="21"/>
        <v>OUT</v>
      </c>
      <c r="E3638" s="403" t="str">
        <f t="array" ref="E3638">INDIRECT("Tableau!$AR$47")</f>
        <v/>
      </c>
    </row>
    <row r="3639">
      <c r="A3639" s="402">
        <f t="array" ref="A3639">INDIRECT("Tableau!$A$48")</f>
        <v>226</v>
      </c>
      <c r="B3639" s="398" t="s">
        <v>478</v>
      </c>
      <c r="C3639" s="400" t="str">
        <f t="array" ref="C3639">INDIRECT("Tableau!$AQ$48")</f>
        <v/>
      </c>
      <c r="D3639" s="400" t="str">
        <f t="shared" si="21"/>
        <v>OUT</v>
      </c>
      <c r="E3639" s="403" t="str">
        <f t="array" ref="E3639">INDIRECT("Tableau!$AR$48")</f>
        <v/>
      </c>
    </row>
    <row r="3640">
      <c r="A3640" s="402">
        <f t="array" ref="A3640">INDIRECT("Tableau!$A$49")</f>
        <v>222</v>
      </c>
      <c r="B3640" s="398" t="s">
        <v>478</v>
      </c>
      <c r="C3640" s="400" t="str">
        <f t="array" ref="C3640">INDIRECT("Tableau!$AQ$49")</f>
        <v/>
      </c>
      <c r="D3640" s="400" t="str">
        <f t="shared" si="21"/>
        <v>OUT</v>
      </c>
      <c r="E3640" s="403" t="str">
        <f t="array" ref="E3640">INDIRECT("Tableau!$AR$49")</f>
        <v/>
      </c>
    </row>
    <row r="3641">
      <c r="A3641" s="402">
        <f t="array" ref="A3641">INDIRECT("Tableau!$A$50")</f>
        <v>224</v>
      </c>
      <c r="B3641" s="398" t="s">
        <v>478</v>
      </c>
      <c r="C3641" s="400" t="str">
        <f t="array" ref="C3641">INDIRECT("Tableau!$AQ$50")</f>
        <v/>
      </c>
      <c r="D3641" s="400" t="str">
        <f t="shared" si="21"/>
        <v>OUT</v>
      </c>
      <c r="E3641" s="403" t="str">
        <f t="array" ref="E3641">INDIRECT("Tableau!$AR$50")</f>
        <v/>
      </c>
    </row>
    <row r="3642">
      <c r="A3642" s="397">
        <f t="array" ref="A3642">INDIRECT("Tableau!$A$51")</f>
        <v>223</v>
      </c>
      <c r="B3642" s="398" t="s">
        <v>478</v>
      </c>
      <c r="C3642" s="400" t="str">
        <f t="array" ref="C3642">INDIRECT("Tableau!$AQ$51")</f>
        <v/>
      </c>
      <c r="D3642" s="400" t="str">
        <f t="shared" si="21"/>
        <v>OUT</v>
      </c>
      <c r="E3642" s="403" t="str">
        <f t="array" ref="E3642">INDIRECT("Tableau!$AR$51")</f>
        <v/>
      </c>
    </row>
    <row r="3643">
      <c r="A3643" s="402">
        <f t="array" ref="A3643">INDIRECT("Tableau!$A$52")</f>
        <v>225</v>
      </c>
      <c r="B3643" s="398" t="s">
        <v>478</v>
      </c>
      <c r="C3643" s="400" t="str">
        <f t="array" ref="C3643">INDIRECT("Tableau!$AQ$52")</f>
        <v/>
      </c>
      <c r="D3643" s="400" t="str">
        <f t="shared" si="21"/>
        <v>OUT</v>
      </c>
      <c r="E3643" s="403" t="str">
        <f t="array" ref="E3643">INDIRECT("Tableau!$AR$52")</f>
        <v/>
      </c>
    </row>
    <row r="3644">
      <c r="A3644" s="402">
        <f t="array" ref="A3644">INDIRECT("Tableau!$A$53")</f>
        <v>230</v>
      </c>
      <c r="B3644" s="398" t="s">
        <v>478</v>
      </c>
      <c r="C3644" s="400" t="str">
        <f t="array" ref="C3644">INDIRECT("Tableau!$AQ$53")</f>
        <v/>
      </c>
      <c r="D3644" s="400" t="str">
        <f t="shared" si="21"/>
        <v>OUT</v>
      </c>
      <c r="E3644" s="403" t="str">
        <f t="array" ref="E3644">INDIRECT("Tableau!$AR$53")</f>
        <v/>
      </c>
    </row>
    <row r="3645">
      <c r="A3645" s="397">
        <f t="array" ref="A3645">INDIRECT("Tableau!$A$54")</f>
        <v>231</v>
      </c>
      <c r="B3645" s="398" t="s">
        <v>478</v>
      </c>
      <c r="C3645" s="400" t="str">
        <f t="array" ref="C3645">INDIRECT("Tableau!$AQ$54")</f>
        <v/>
      </c>
      <c r="D3645" s="400" t="str">
        <f t="shared" si="21"/>
        <v>OUT</v>
      </c>
      <c r="E3645" s="403" t="str">
        <f t="array" ref="E3645">INDIRECT("Tableau!$AR$54")</f>
        <v/>
      </c>
    </row>
    <row r="3646">
      <c r="A3646" s="397" t="str">
        <f t="array" ref="A3646">INDIRECT("Tableau!$A$55")</f>
        <v/>
      </c>
      <c r="B3646" s="398" t="s">
        <v>478</v>
      </c>
      <c r="C3646" s="400" t="str">
        <f t="array" ref="C3646">INDIRECT("Tableau!$AQ$55")</f>
        <v/>
      </c>
      <c r="D3646" s="400" t="str">
        <f t="shared" si="21"/>
        <v>OUT</v>
      </c>
      <c r="E3646" s="403" t="str">
        <f t="array" ref="E3646">INDIRECT("Tableau!$AR$55")</f>
        <v/>
      </c>
    </row>
    <row r="3647">
      <c r="A3647" s="397" t="str">
        <f t="array" ref="A3647">INDIRECT("Tableau!$A$56")</f>
        <v/>
      </c>
      <c r="B3647" s="398" t="s">
        <v>478</v>
      </c>
      <c r="C3647" s="400" t="str">
        <f t="array" ref="C3647">INDIRECT("Tableau!$AQ$56")</f>
        <v/>
      </c>
      <c r="D3647" s="400" t="str">
        <f t="shared" si="21"/>
        <v>OUT</v>
      </c>
      <c r="E3647" s="403" t="str">
        <f t="array" ref="E3647">INDIRECT("Tableau!$AR$56")</f>
        <v/>
      </c>
    </row>
    <row r="3648">
      <c r="A3648" s="397" t="str">
        <f t="array" ref="A3648">INDIRECT("Tableau!$A$57")</f>
        <v/>
      </c>
      <c r="B3648" s="398" t="s">
        <v>478</v>
      </c>
      <c r="C3648" s="400" t="str">
        <f t="array" ref="C3648">INDIRECT("Tableau!$AQ$57")</f>
        <v/>
      </c>
      <c r="D3648" s="400" t="str">
        <f t="shared" si="21"/>
        <v>OUT</v>
      </c>
      <c r="E3648" s="403" t="str">
        <f t="array" ref="E3648">INDIRECT("Tableau!$AR$57")</f>
        <v/>
      </c>
    </row>
    <row r="3649">
      <c r="A3649" s="397" t="str">
        <f t="array" ref="A3649">INDIRECT("Tableau!$A$58")</f>
        <v/>
      </c>
      <c r="B3649" s="398" t="s">
        <v>478</v>
      </c>
      <c r="C3649" s="400" t="str">
        <f t="array" ref="C3649">INDIRECT("Tableau!$AQ$58")</f>
        <v/>
      </c>
      <c r="D3649" s="400" t="str">
        <f t="shared" si="21"/>
        <v>OUT</v>
      </c>
      <c r="E3649" s="403" t="str">
        <f t="array" ref="E3649">INDIRECT("Tableau!$AR$58")</f>
        <v/>
      </c>
    </row>
    <row r="3650">
      <c r="A3650" s="397" t="str">
        <f t="array" ref="A3650">INDIRECT("Tableau!$A$59")</f>
        <v/>
      </c>
      <c r="B3650" s="398" t="s">
        <v>478</v>
      </c>
      <c r="C3650" s="400" t="str">
        <f t="array" ref="C3650">INDIRECT("Tableau!$AQ$59")</f>
        <v/>
      </c>
      <c r="D3650" s="400" t="str">
        <f t="shared" si="21"/>
        <v>OUT</v>
      </c>
      <c r="E3650" s="403" t="str">
        <f t="array" ref="E3650">INDIRECT("Tableau!$AR$59")</f>
        <v/>
      </c>
    </row>
    <row r="3651">
      <c r="A3651" s="397" t="str">
        <f t="array" ref="A3651">INDIRECT("Tableau!$A$60")</f>
        <v/>
      </c>
      <c r="B3651" s="398" t="s">
        <v>478</v>
      </c>
      <c r="C3651" s="400" t="str">
        <f t="array" ref="C3651">INDIRECT("Tableau!$AQ$60")</f>
        <v/>
      </c>
      <c r="D3651" s="400" t="str">
        <f t="shared" si="21"/>
        <v>OUT</v>
      </c>
      <c r="E3651" s="403" t="str">
        <f t="array" ref="E3651">INDIRECT("Tableau!$AR$60")</f>
        <v/>
      </c>
    </row>
    <row r="3652">
      <c r="A3652" s="397" t="str">
        <f t="array" ref="A3652">INDIRECT("Tableau!$A$61")</f>
        <v/>
      </c>
      <c r="B3652" s="398" t="s">
        <v>478</v>
      </c>
      <c r="C3652" s="400" t="str">
        <f t="array" ref="C3652">INDIRECT("Tableau!$AQ$61")</f>
        <v/>
      </c>
      <c r="D3652" s="400" t="str">
        <f t="shared" si="21"/>
        <v>OUT</v>
      </c>
      <c r="E3652" s="403" t="str">
        <f t="array" ref="E3652">INDIRECT("Tableau!$AR$61")</f>
        <v/>
      </c>
    </row>
    <row r="3653">
      <c r="A3653" s="397" t="str">
        <f t="array" ref="A3653">INDIRECT("Tableau!$A$62")</f>
        <v/>
      </c>
      <c r="B3653" s="398" t="s">
        <v>478</v>
      </c>
      <c r="C3653" s="400" t="str">
        <f t="array" ref="C3653">INDIRECT("Tableau!$AQ$62")</f>
        <v/>
      </c>
      <c r="D3653" s="400" t="str">
        <f t="shared" si="21"/>
        <v>OUT</v>
      </c>
      <c r="E3653" s="403" t="str">
        <f t="array" ref="E3653">INDIRECT("Tableau!$AR$62")</f>
        <v/>
      </c>
    </row>
    <row r="3654">
      <c r="A3654" s="397" t="str">
        <f t="array" ref="A3654">INDIRECT("Tableau!$A$63")</f>
        <v/>
      </c>
      <c r="B3654" s="398" t="s">
        <v>478</v>
      </c>
      <c r="C3654" s="400" t="str">
        <f t="array" ref="C3654">INDIRECT("Tableau!$AQ$63")</f>
        <v/>
      </c>
      <c r="D3654" s="400" t="str">
        <f t="shared" si="21"/>
        <v>OUT</v>
      </c>
      <c r="E3654" s="403" t="str">
        <f t="array" ref="E3654">INDIRECT("Tableau!$AR$63")</f>
        <v/>
      </c>
    </row>
    <row r="3655">
      <c r="A3655" s="397" t="str">
        <f t="array" ref="A3655">INDIRECT("Tableau!$A$64")</f>
        <v/>
      </c>
      <c r="B3655" s="398" t="s">
        <v>478</v>
      </c>
      <c r="C3655" s="400" t="str">
        <f t="array" ref="C3655">INDIRECT("Tableau!$AQ$64")</f>
        <v/>
      </c>
      <c r="D3655" s="400" t="str">
        <f t="shared" si="21"/>
        <v>OUT</v>
      </c>
      <c r="E3655" s="403" t="str">
        <f t="array" ref="E3655">INDIRECT("Tableau!$AR$64")</f>
        <v/>
      </c>
    </row>
    <row r="3656">
      <c r="A3656" s="402">
        <f t="array" ref="A3656">INDIRECT("Tableau!$A$65")</f>
        <v>301</v>
      </c>
      <c r="B3656" s="398" t="s">
        <v>478</v>
      </c>
      <c r="C3656" s="400" t="str">
        <f t="array" ref="C3656">INDIRECT("Tableau!$AQ$65")</f>
        <v/>
      </c>
      <c r="D3656" s="400" t="str">
        <f t="shared" si="21"/>
        <v>OUT</v>
      </c>
      <c r="E3656" s="403" t="str">
        <f t="array" ref="E3656">INDIRECT("Tableau!$AR$65")</f>
        <v/>
      </c>
    </row>
    <row r="3657">
      <c r="A3657" s="397" t="str">
        <f t="array" ref="A3657">INDIRECT("Tableau!$A$66")</f>
        <v/>
      </c>
      <c r="B3657" s="398" t="s">
        <v>478</v>
      </c>
      <c r="C3657" s="400" t="str">
        <f t="array" ref="C3657">INDIRECT("Tableau!$AQ$66")</f>
        <v/>
      </c>
      <c r="D3657" s="400" t="str">
        <f t="shared" si="21"/>
        <v>OUT</v>
      </c>
      <c r="E3657" s="403" t="str">
        <f t="array" ref="E3657">INDIRECT("Tableau!$AR$66")</f>
        <v/>
      </c>
    </row>
    <row r="3658">
      <c r="A3658" s="402">
        <f t="array" ref="A3658">INDIRECT("Tableau!$A$67")</f>
        <v>303</v>
      </c>
      <c r="B3658" s="398" t="s">
        <v>478</v>
      </c>
      <c r="C3658" s="400" t="str">
        <f t="array" ref="C3658">INDIRECT("Tableau!$AQ$67")</f>
        <v/>
      </c>
      <c r="D3658" s="400" t="str">
        <f t="shared" si="21"/>
        <v>OUT</v>
      </c>
      <c r="E3658" s="403" t="str">
        <f t="array" ref="E3658">INDIRECT("Tableau!$AR$67")</f>
        <v/>
      </c>
    </row>
    <row r="3659">
      <c r="A3659" s="402">
        <f t="array" ref="A3659">INDIRECT("Tableau!$A$68")</f>
        <v>304</v>
      </c>
      <c r="B3659" s="398" t="s">
        <v>478</v>
      </c>
      <c r="C3659" s="400" t="str">
        <f t="array" ref="C3659">INDIRECT("Tableau!$AQ$68")</f>
        <v/>
      </c>
      <c r="D3659" s="400" t="str">
        <f t="shared" si="21"/>
        <v>OUT</v>
      </c>
      <c r="E3659" s="403" t="str">
        <f t="array" ref="E3659">INDIRECT("Tableau!$AR$68")</f>
        <v/>
      </c>
    </row>
    <row r="3660">
      <c r="A3660" s="402">
        <f t="array" ref="A3660">INDIRECT("Tableau!$A$69")</f>
        <v>305</v>
      </c>
      <c r="B3660" s="398" t="s">
        <v>478</v>
      </c>
      <c r="C3660" s="400" t="str">
        <f t="array" ref="C3660">INDIRECT("Tableau!$AQ$69")</f>
        <v/>
      </c>
      <c r="D3660" s="400" t="str">
        <f t="shared" si="21"/>
        <v>OUT</v>
      </c>
      <c r="E3660" s="403" t="str">
        <f t="array" ref="E3660">INDIRECT("Tableau!$AR$69")</f>
        <v/>
      </c>
    </row>
    <row r="3661">
      <c r="A3661" s="402">
        <f t="array" ref="A3661">INDIRECT("Tableau!$A$70")</f>
        <v>306</v>
      </c>
      <c r="B3661" s="398" t="s">
        <v>478</v>
      </c>
      <c r="C3661" s="400" t="str">
        <f t="array" ref="C3661">INDIRECT("Tableau!$AQ$70")</f>
        <v/>
      </c>
      <c r="D3661" s="400" t="str">
        <f t="shared" si="21"/>
        <v>OUT</v>
      </c>
      <c r="E3661" s="403" t="str">
        <f t="array" ref="E3661">INDIRECT("Tableau!$AR$70")</f>
        <v/>
      </c>
    </row>
    <row r="3662">
      <c r="A3662" s="402">
        <f t="array" ref="A3662">INDIRECT("Tableau!$A$71")</f>
        <v>307</v>
      </c>
      <c r="B3662" s="398" t="s">
        <v>478</v>
      </c>
      <c r="C3662" s="400" t="str">
        <f t="array" ref="C3662">INDIRECT("Tableau!$AQ$71")</f>
        <v/>
      </c>
      <c r="D3662" s="400" t="str">
        <f t="shared" si="21"/>
        <v>OUT</v>
      </c>
      <c r="E3662" s="403" t="str">
        <f t="array" ref="E3662">INDIRECT("Tableau!$AR$71")</f>
        <v/>
      </c>
    </row>
    <row r="3663">
      <c r="A3663" s="397">
        <f t="array" ref="A3663">INDIRECT("Tableau!$A$72")</f>
        <v>367</v>
      </c>
      <c r="B3663" s="398" t="s">
        <v>478</v>
      </c>
      <c r="C3663" s="400" t="str">
        <f t="array" ref="C3663">INDIRECT("Tableau!$AQ$72")</f>
        <v/>
      </c>
      <c r="D3663" s="400" t="str">
        <f t="shared" si="21"/>
        <v>OUT</v>
      </c>
      <c r="E3663" s="403" t="str">
        <f t="array" ref="E3663">INDIRECT("Tableau!$AR$72")</f>
        <v/>
      </c>
    </row>
    <row r="3664">
      <c r="A3664" s="402">
        <f t="array" ref="A3664">INDIRECT("Tableau!$A$73")</f>
        <v>308</v>
      </c>
      <c r="B3664" s="398" t="s">
        <v>478</v>
      </c>
      <c r="C3664" s="400" t="str">
        <f t="array" ref="C3664">INDIRECT("Tableau!$AQ$73")</f>
        <v/>
      </c>
      <c r="D3664" s="400" t="str">
        <f t="shared" si="21"/>
        <v>OUT</v>
      </c>
      <c r="E3664" s="403" t="str">
        <f t="array" ref="E3664">INDIRECT("Tableau!$AR$73")</f>
        <v/>
      </c>
    </row>
    <row r="3665">
      <c r="A3665" s="397">
        <f t="array" ref="A3665">INDIRECT("Tableau!$A$74")</f>
        <v>319</v>
      </c>
      <c r="B3665" s="398" t="s">
        <v>478</v>
      </c>
      <c r="C3665" s="400" t="str">
        <f t="array" ref="C3665">INDIRECT("Tableau!$AQ$74")</f>
        <v/>
      </c>
      <c r="D3665" s="400" t="str">
        <f t="shared" si="21"/>
        <v>OUT</v>
      </c>
      <c r="E3665" s="403" t="str">
        <f t="array" ref="E3665">INDIRECT("Tableau!$AR$74")</f>
        <v/>
      </c>
    </row>
    <row r="3666">
      <c r="A3666" s="402">
        <f t="array" ref="A3666">INDIRECT("Tableau!$A$75")</f>
        <v>309</v>
      </c>
      <c r="B3666" s="398" t="s">
        <v>478</v>
      </c>
      <c r="C3666" s="400" t="str">
        <f t="array" ref="C3666">INDIRECT("Tableau!$AQ$75")</f>
        <v/>
      </c>
      <c r="D3666" s="400" t="str">
        <f t="shared" si="21"/>
        <v>OUT</v>
      </c>
      <c r="E3666" s="403" t="str">
        <f t="array" ref="E3666">INDIRECT("Tableau!$AR$75")</f>
        <v/>
      </c>
    </row>
    <row r="3667">
      <c r="A3667" s="402">
        <f t="array" ref="A3667">INDIRECT("Tableau!$A$76")</f>
        <v>310</v>
      </c>
      <c r="B3667" s="398" t="s">
        <v>478</v>
      </c>
      <c r="C3667" s="400" t="str">
        <f t="array" ref="C3667">INDIRECT("Tableau!$AQ$76")</f>
        <v/>
      </c>
      <c r="D3667" s="400" t="str">
        <f t="shared" si="21"/>
        <v>OUT</v>
      </c>
      <c r="E3667" s="403" t="str">
        <f t="array" ref="E3667">INDIRECT("Tableau!$AR$76")</f>
        <v/>
      </c>
    </row>
    <row r="3668">
      <c r="A3668" s="402">
        <f t="array" ref="A3668">INDIRECT("Tableau!$A$77")</f>
        <v>311</v>
      </c>
      <c r="B3668" s="398" t="s">
        <v>478</v>
      </c>
      <c r="C3668" s="400" t="str">
        <f t="array" ref="C3668">INDIRECT("Tableau!$AQ$77")</f>
        <v/>
      </c>
      <c r="D3668" s="400" t="str">
        <f t="shared" si="21"/>
        <v>OUT</v>
      </c>
      <c r="E3668" s="403" t="str">
        <f t="array" ref="E3668">INDIRECT("Tableau!$AR$77")</f>
        <v/>
      </c>
    </row>
    <row r="3669">
      <c r="A3669" s="402">
        <f t="array" ref="A3669">INDIRECT("Tableau!$A$78")</f>
        <v>312</v>
      </c>
      <c r="B3669" s="398" t="s">
        <v>478</v>
      </c>
      <c r="C3669" s="400" t="str">
        <f t="array" ref="C3669">INDIRECT("Tableau!$AQ$78")</f>
        <v/>
      </c>
      <c r="D3669" s="400" t="str">
        <f t="shared" si="21"/>
        <v>OUT</v>
      </c>
      <c r="E3669" s="403" t="str">
        <f t="array" ref="E3669">INDIRECT("Tableau!$AR$78")</f>
        <v/>
      </c>
    </row>
    <row r="3670">
      <c r="A3670" s="402">
        <f t="array" ref="A3670">INDIRECT("Tableau!$A$79")</f>
        <v>313</v>
      </c>
      <c r="B3670" s="398" t="s">
        <v>478</v>
      </c>
      <c r="C3670" s="400" t="str">
        <f t="array" ref="C3670">INDIRECT("Tableau!$AQ$79")</f>
        <v/>
      </c>
      <c r="D3670" s="400" t="str">
        <f t="shared" si="21"/>
        <v>OUT</v>
      </c>
      <c r="E3670" s="403" t="str">
        <f t="array" ref="E3670">INDIRECT("Tableau!$AR$79")</f>
        <v/>
      </c>
    </row>
    <row r="3671">
      <c r="A3671" s="402">
        <f t="array" ref="A3671">INDIRECT("Tableau!$A$80")</f>
        <v>314</v>
      </c>
      <c r="B3671" s="398" t="s">
        <v>478</v>
      </c>
      <c r="C3671" s="400" t="str">
        <f t="array" ref="C3671">INDIRECT("Tableau!$AQ$80")</f>
        <v/>
      </c>
      <c r="D3671" s="400" t="str">
        <f t="shared" si="21"/>
        <v>OUT</v>
      </c>
      <c r="E3671" s="403" t="str">
        <f t="array" ref="E3671">INDIRECT("Tableau!$AR$80")</f>
        <v/>
      </c>
    </row>
    <row r="3672">
      <c r="A3672" s="402">
        <f t="array" ref="A3672">INDIRECT("Tableau!$A$81")</f>
        <v>315</v>
      </c>
      <c r="B3672" s="398" t="s">
        <v>478</v>
      </c>
      <c r="C3672" s="400" t="str">
        <f t="array" ref="C3672">INDIRECT("Tableau!$AQ$81")</f>
        <v/>
      </c>
      <c r="D3672" s="400" t="str">
        <f t="shared" si="21"/>
        <v>OUT</v>
      </c>
      <c r="E3672" s="403" t="str">
        <f t="array" ref="E3672">INDIRECT("Tableau!$AR$81")</f>
        <v/>
      </c>
    </row>
    <row r="3673">
      <c r="A3673" s="402">
        <f t="array" ref="A3673">INDIRECT("Tableau!$A$82")</f>
        <v>316</v>
      </c>
      <c r="B3673" s="398" t="s">
        <v>478</v>
      </c>
      <c r="C3673" s="400" t="str">
        <f t="array" ref="C3673">INDIRECT("Tableau!$AQ$82")</f>
        <v/>
      </c>
      <c r="D3673" s="400" t="str">
        <f t="shared" si="21"/>
        <v>OUT</v>
      </c>
      <c r="E3673" s="403" t="str">
        <f t="array" ref="E3673">INDIRECT("Tableau!$AR$82")</f>
        <v/>
      </c>
    </row>
    <row r="3674">
      <c r="A3674" s="402">
        <f t="array" ref="A3674">INDIRECT("Tableau!$A$83")</f>
        <v>317</v>
      </c>
      <c r="B3674" s="398" t="s">
        <v>478</v>
      </c>
      <c r="C3674" s="400" t="str">
        <f t="array" ref="C3674">INDIRECT("Tableau!$AQ$83")</f>
        <v/>
      </c>
      <c r="D3674" s="400" t="str">
        <f t="shared" si="21"/>
        <v>OUT</v>
      </c>
      <c r="E3674" s="403" t="str">
        <f t="array" ref="E3674">INDIRECT("Tableau!$AR$83")</f>
        <v/>
      </c>
    </row>
    <row r="3675">
      <c r="A3675" s="402">
        <f t="array" ref="A3675">INDIRECT("Tableau!$A$84")</f>
        <v>318</v>
      </c>
      <c r="B3675" s="398" t="s">
        <v>478</v>
      </c>
      <c r="C3675" s="400" t="str">
        <f t="array" ref="C3675">INDIRECT("Tableau!$AQ$84")</f>
        <v/>
      </c>
      <c r="D3675" s="400" t="str">
        <f t="shared" si="21"/>
        <v>OUT</v>
      </c>
      <c r="E3675" s="403" t="str">
        <f t="array" ref="E3675">INDIRECT("Tableau!$AR$84")</f>
        <v/>
      </c>
    </row>
    <row r="3676">
      <c r="A3676" s="402">
        <f t="array" ref="A3676">INDIRECT("Tableau!$A$85")</f>
        <v>320</v>
      </c>
      <c r="B3676" s="398" t="s">
        <v>478</v>
      </c>
      <c r="C3676" s="400" t="str">
        <f t="array" ref="C3676">INDIRECT("Tableau!$AQ$85")</f>
        <v/>
      </c>
      <c r="D3676" s="400" t="str">
        <f t="shared" si="21"/>
        <v>OUT</v>
      </c>
      <c r="E3676" s="403" t="str">
        <f t="array" ref="E3676">INDIRECT("Tableau!$AR$85")</f>
        <v/>
      </c>
    </row>
    <row r="3677">
      <c r="A3677" s="402">
        <f t="array" ref="A3677">INDIRECT("Tableau!$A$86")</f>
        <v>321</v>
      </c>
      <c r="B3677" s="398" t="s">
        <v>478</v>
      </c>
      <c r="C3677" s="400" t="str">
        <f t="array" ref="C3677">INDIRECT("Tableau!$AQ$86")</f>
        <v/>
      </c>
      <c r="D3677" s="400" t="str">
        <f t="shared" si="21"/>
        <v>OUT</v>
      </c>
      <c r="E3677" s="403" t="str">
        <f t="array" ref="E3677">INDIRECT("Tableau!$AR$86")</f>
        <v/>
      </c>
    </row>
    <row r="3678">
      <c r="A3678" s="397" t="str">
        <f t="array" ref="A3678">INDIRECT("Tableau!$A$87")</f>
        <v/>
      </c>
      <c r="B3678" s="398" t="s">
        <v>478</v>
      </c>
      <c r="C3678" s="400" t="str">
        <f t="array" ref="C3678">INDIRECT("Tableau!$AQ$87")</f>
        <v/>
      </c>
      <c r="D3678" s="400" t="str">
        <f t="shared" si="21"/>
        <v>OUT</v>
      </c>
      <c r="E3678" s="403" t="str">
        <f t="array" ref="E3678">INDIRECT("Tableau!$AR$87")</f>
        <v/>
      </c>
    </row>
    <row r="3679">
      <c r="A3679" s="402">
        <f t="array" ref="A3679">INDIRECT("Tableau!$A$88")</f>
        <v>323</v>
      </c>
      <c r="B3679" s="398" t="s">
        <v>478</v>
      </c>
      <c r="C3679" s="400" t="str">
        <f t="array" ref="C3679">INDIRECT("Tableau!$AQ$88")</f>
        <v/>
      </c>
      <c r="D3679" s="400" t="str">
        <f t="shared" si="21"/>
        <v>OUT</v>
      </c>
      <c r="E3679" s="403" t="str">
        <f t="array" ref="E3679">INDIRECT("Tableau!$AR$88")</f>
        <v/>
      </c>
    </row>
    <row r="3680">
      <c r="A3680" s="402">
        <f t="array" ref="A3680">INDIRECT("Tableau!$A$89")</f>
        <v>324</v>
      </c>
      <c r="B3680" s="398" t="s">
        <v>478</v>
      </c>
      <c r="C3680" s="400" t="str">
        <f t="array" ref="C3680">INDIRECT("Tableau!$AQ$89")</f>
        <v/>
      </c>
      <c r="D3680" s="400" t="str">
        <f t="shared" si="21"/>
        <v>OUT</v>
      </c>
      <c r="E3680" s="403" t="str">
        <f t="array" ref="E3680">INDIRECT("Tableau!$AR$89")</f>
        <v/>
      </c>
    </row>
    <row r="3681">
      <c r="A3681" s="402">
        <f t="array" ref="A3681">INDIRECT("Tableau!$A$90")</f>
        <v>325</v>
      </c>
      <c r="B3681" s="398" t="s">
        <v>478</v>
      </c>
      <c r="C3681" s="400" t="str">
        <f t="array" ref="C3681">INDIRECT("Tableau!$AQ$90")</f>
        <v>DEMA</v>
      </c>
      <c r="D3681" s="400" t="str">
        <f t="shared" si="21"/>
        <v>OUT</v>
      </c>
      <c r="E3681" s="403" t="str">
        <f t="array" ref="E3681">INDIRECT("Tableau!$AR$90")</f>
        <v/>
      </c>
    </row>
    <row r="3682">
      <c r="A3682" s="402">
        <f t="array" ref="A3682">INDIRECT("Tableau!$A$91")</f>
        <v>326</v>
      </c>
      <c r="B3682" s="398" t="s">
        <v>478</v>
      </c>
      <c r="C3682" s="400" t="str">
        <f t="array" ref="C3682">INDIRECT("Tableau!$AQ$91")</f>
        <v/>
      </c>
      <c r="D3682" s="400" t="str">
        <f t="shared" si="21"/>
        <v>OUT</v>
      </c>
      <c r="E3682" s="403" t="str">
        <f t="array" ref="E3682">INDIRECT("Tableau!$AR$91")</f>
        <v/>
      </c>
    </row>
    <row r="3683">
      <c r="A3683" s="402">
        <f t="array" ref="A3683">INDIRECT("Tableau!$A$92")</f>
        <v>327</v>
      </c>
      <c r="B3683" s="398" t="s">
        <v>478</v>
      </c>
      <c r="C3683" s="400" t="str">
        <f t="array" ref="C3683">INDIRECT("Tableau!$AQ$92")</f>
        <v/>
      </c>
      <c r="D3683" s="400" t="str">
        <f t="shared" si="21"/>
        <v>OUT</v>
      </c>
      <c r="E3683" s="403" t="str">
        <f t="array" ref="E3683">INDIRECT("Tableau!$AR$92")</f>
        <v/>
      </c>
    </row>
    <row r="3684">
      <c r="A3684" s="402">
        <f t="array" ref="A3684">INDIRECT("Tableau!$A$93")</f>
        <v>328</v>
      </c>
      <c r="B3684" s="398" t="s">
        <v>478</v>
      </c>
      <c r="C3684" s="400" t="str">
        <f t="array" ref="C3684">INDIRECT("Tableau!$AQ$93")</f>
        <v/>
      </c>
      <c r="D3684" s="400" t="str">
        <f t="shared" si="21"/>
        <v>OUT</v>
      </c>
      <c r="E3684" s="403" t="str">
        <f t="array" ref="E3684">INDIRECT("Tableau!$AR$93")</f>
        <v/>
      </c>
    </row>
    <row r="3685">
      <c r="A3685" s="402">
        <f t="array" ref="A3685">INDIRECT("Tableau!$A$94")</f>
        <v>329</v>
      </c>
      <c r="B3685" s="398" t="s">
        <v>478</v>
      </c>
      <c r="C3685" s="400" t="str">
        <f t="array" ref="C3685">INDIRECT("Tableau!$AQ$94")</f>
        <v/>
      </c>
      <c r="D3685" s="400" t="str">
        <f t="shared" si="21"/>
        <v>OUT</v>
      </c>
      <c r="E3685" s="403" t="str">
        <f t="array" ref="E3685">INDIRECT("Tableau!$AR$94")</f>
        <v/>
      </c>
    </row>
    <row r="3686">
      <c r="A3686" s="402">
        <f t="array" ref="A3686">INDIRECT("Tableau!$A$95")</f>
        <v>330</v>
      </c>
      <c r="B3686" s="398" t="s">
        <v>478</v>
      </c>
      <c r="C3686" s="400" t="str">
        <f t="array" ref="C3686">INDIRECT("Tableau!$AQ$95")</f>
        <v/>
      </c>
      <c r="D3686" s="400" t="str">
        <f t="shared" si="21"/>
        <v>OUT</v>
      </c>
      <c r="E3686" s="403" t="str">
        <f t="array" ref="E3686">INDIRECT("Tableau!$AR$95")</f>
        <v/>
      </c>
    </row>
    <row r="3687">
      <c r="A3687" s="402">
        <f t="array" ref="A3687">INDIRECT("Tableau!$A$96")</f>
        <v>331</v>
      </c>
      <c r="B3687" s="398" t="s">
        <v>478</v>
      </c>
      <c r="C3687" s="400" t="str">
        <f t="array" ref="C3687">INDIRECT("Tableau!$AQ$96")</f>
        <v/>
      </c>
      <c r="D3687" s="400" t="str">
        <f t="shared" si="21"/>
        <v>OUT</v>
      </c>
      <c r="E3687" s="403" t="str">
        <f t="array" ref="E3687">INDIRECT("Tableau!$AR$96")</f>
        <v/>
      </c>
    </row>
    <row r="3688">
      <c r="A3688" s="402">
        <f t="array" ref="A3688">INDIRECT("Tableau!$A$97")</f>
        <v>332</v>
      </c>
      <c r="B3688" s="398" t="s">
        <v>478</v>
      </c>
      <c r="C3688" s="400" t="str">
        <f t="array" ref="C3688">INDIRECT("Tableau!$AQ$97")</f>
        <v/>
      </c>
      <c r="D3688" s="400" t="str">
        <f t="shared" si="21"/>
        <v>OUT</v>
      </c>
      <c r="E3688" s="403" t="str">
        <f t="array" ref="E3688">INDIRECT("Tableau!$AR$97")</f>
        <v/>
      </c>
    </row>
    <row r="3689">
      <c r="A3689" s="402">
        <f t="array" ref="A3689">INDIRECT("Tableau!$A$98")</f>
        <v>333</v>
      </c>
      <c r="B3689" s="398" t="s">
        <v>478</v>
      </c>
      <c r="C3689" s="400" t="str">
        <f t="array" ref="C3689">INDIRECT("Tableau!$AQ$98")</f>
        <v/>
      </c>
      <c r="D3689" s="400" t="str">
        <f t="shared" si="21"/>
        <v>OUT</v>
      </c>
      <c r="E3689" s="403" t="str">
        <f t="array" ref="E3689">INDIRECT("Tableau!$AR$98")</f>
        <v/>
      </c>
    </row>
    <row r="3690">
      <c r="A3690" s="402">
        <f t="array" ref="A3690">INDIRECT("Tableau!$A$99")</f>
        <v>334</v>
      </c>
      <c r="B3690" s="398" t="s">
        <v>478</v>
      </c>
      <c r="C3690" s="400" t="str">
        <f t="array" ref="C3690">INDIRECT("Tableau!$AQ$99")</f>
        <v>Bloqué</v>
      </c>
      <c r="D3690" s="400" t="str">
        <f t="shared" si="21"/>
        <v>OUT</v>
      </c>
      <c r="E3690" s="403" t="str">
        <f t="array" ref="E3690">INDIRECT("Tableau!$AR$99")</f>
        <v/>
      </c>
    </row>
    <row r="3691">
      <c r="A3691" s="402">
        <f t="array" ref="A3691">INDIRECT("Tableau!$A$100")</f>
        <v>335</v>
      </c>
      <c r="B3691" s="398" t="s">
        <v>478</v>
      </c>
      <c r="C3691" s="400" t="str">
        <f t="array" ref="C3691">INDIRECT("Tableau!$AQ$100")</f>
        <v/>
      </c>
      <c r="D3691" s="400" t="str">
        <f t="shared" si="21"/>
        <v>OUT</v>
      </c>
      <c r="E3691" s="403" t="str">
        <f t="array" ref="E3691">INDIRECT("Tableau!$AR$100")</f>
        <v/>
      </c>
    </row>
    <row r="3692">
      <c r="A3692" s="402">
        <f t="array" ref="A3692">INDIRECT("Tableau!$A$101")</f>
        <v>336</v>
      </c>
      <c r="B3692" s="398" t="s">
        <v>478</v>
      </c>
      <c r="C3692" s="400" t="str">
        <f t="array" ref="C3692">INDIRECT("Tableau!$AQ$101")</f>
        <v/>
      </c>
      <c r="D3692" s="400" t="str">
        <f t="shared" si="21"/>
        <v>OUT</v>
      </c>
      <c r="E3692" s="403" t="str">
        <f t="array" ref="E3692">INDIRECT("Tableau!$AR$101")</f>
        <v/>
      </c>
    </row>
    <row r="3693">
      <c r="A3693" s="402">
        <f t="array" ref="A3693">INDIRECT("Tableau!$A$102")</f>
        <v>337</v>
      </c>
      <c r="B3693" s="398" t="s">
        <v>478</v>
      </c>
      <c r="C3693" s="400" t="str">
        <f t="array" ref="C3693">INDIRECT("Tableau!$AQ$102")</f>
        <v/>
      </c>
      <c r="D3693" s="400" t="str">
        <f t="shared" si="21"/>
        <v>OUT</v>
      </c>
      <c r="E3693" s="403" t="str">
        <f t="array" ref="E3693">INDIRECT("Tableau!$AR$102")</f>
        <v/>
      </c>
    </row>
    <row r="3694">
      <c r="A3694" s="402">
        <f t="array" ref="A3694">INDIRECT("Tableau!$A$103")</f>
        <v>338</v>
      </c>
      <c r="B3694" s="398" t="s">
        <v>478</v>
      </c>
      <c r="C3694" s="400" t="str">
        <f t="array" ref="C3694">INDIRECT("Tableau!$AQ$103")</f>
        <v/>
      </c>
      <c r="D3694" s="400" t="str">
        <f t="shared" si="21"/>
        <v>OUT</v>
      </c>
      <c r="E3694" s="403" t="str">
        <f t="array" ref="E3694">INDIRECT("Tableau!$AR$103")</f>
        <v/>
      </c>
    </row>
    <row r="3695">
      <c r="A3695" s="402">
        <f t="array" ref="A3695">INDIRECT("Tableau!$A$104")</f>
        <v>339</v>
      </c>
      <c r="B3695" s="398" t="s">
        <v>478</v>
      </c>
      <c r="C3695" s="400" t="str">
        <f t="array" ref="C3695">INDIRECT("Tableau!$AQ$104")</f>
        <v/>
      </c>
      <c r="D3695" s="400" t="str">
        <f t="shared" si="21"/>
        <v>OUT</v>
      </c>
      <c r="E3695" s="403" t="str">
        <f t="array" ref="E3695">INDIRECT("Tableau!$AR$104")</f>
        <v/>
      </c>
    </row>
    <row r="3696">
      <c r="A3696" s="402">
        <f t="array" ref="A3696">INDIRECT("Tableau!$A$105")</f>
        <v>340</v>
      </c>
      <c r="B3696" s="398" t="s">
        <v>478</v>
      </c>
      <c r="C3696" s="400" t="str">
        <f t="array" ref="C3696">INDIRECT("Tableau!$AQ$105")</f>
        <v/>
      </c>
      <c r="D3696" s="400" t="str">
        <f t="shared" si="21"/>
        <v>OUT</v>
      </c>
      <c r="E3696" s="403" t="str">
        <f t="array" ref="E3696">INDIRECT("Tableau!$AR$105")</f>
        <v/>
      </c>
    </row>
    <row r="3697">
      <c r="A3697" s="402">
        <f t="array" ref="A3697">INDIRECT("Tableau!$A$106")</f>
        <v>341</v>
      </c>
      <c r="B3697" s="398" t="s">
        <v>478</v>
      </c>
      <c r="C3697" s="400" t="str">
        <f t="array" ref="C3697">INDIRECT("Tableau!$AQ$106")</f>
        <v/>
      </c>
      <c r="D3697" s="400" t="str">
        <f t="shared" si="21"/>
        <v>OUT</v>
      </c>
      <c r="E3697" s="403" t="str">
        <f t="array" ref="E3697">INDIRECT("Tableau!$AR$106")</f>
        <v/>
      </c>
    </row>
    <row r="3698">
      <c r="A3698" s="402">
        <f t="array" ref="A3698">INDIRECT("Tableau!$A$107")</f>
        <v>365</v>
      </c>
      <c r="B3698" s="398" t="s">
        <v>478</v>
      </c>
      <c r="C3698" s="400" t="str">
        <f t="array" ref="C3698">INDIRECT("Tableau!$AQ$107")</f>
        <v/>
      </c>
      <c r="D3698" s="400" t="str">
        <f t="shared" si="21"/>
        <v>OUT</v>
      </c>
      <c r="E3698" s="403" t="str">
        <f t="array" ref="E3698">INDIRECT("Tableau!$AR$107")</f>
        <v/>
      </c>
    </row>
    <row r="3699">
      <c r="A3699" s="402">
        <f t="array" ref="A3699">INDIRECT("Tableau!$A$108")</f>
        <v>342</v>
      </c>
      <c r="B3699" s="398" t="s">
        <v>478</v>
      </c>
      <c r="C3699" s="400" t="str">
        <f t="array" ref="C3699">INDIRECT("Tableau!$AQ$108")</f>
        <v/>
      </c>
      <c r="D3699" s="400" t="str">
        <f t="shared" si="21"/>
        <v>OUT</v>
      </c>
      <c r="E3699" s="403" t="str">
        <f t="array" ref="E3699">INDIRECT("Tableau!$AR$108")</f>
        <v/>
      </c>
    </row>
    <row r="3700">
      <c r="A3700" s="402">
        <f t="array" ref="A3700">INDIRECT("Tableau!$A$109")</f>
        <v>343</v>
      </c>
      <c r="B3700" s="398" t="s">
        <v>478</v>
      </c>
      <c r="C3700" s="400" t="str">
        <f t="array" ref="C3700">INDIRECT("Tableau!$AQ$109")</f>
        <v/>
      </c>
      <c r="D3700" s="400" t="str">
        <f t="shared" si="21"/>
        <v>OUT</v>
      </c>
      <c r="E3700" s="403" t="str">
        <f t="array" ref="E3700">INDIRECT("Tableau!$AR$109")</f>
        <v/>
      </c>
    </row>
    <row r="3701">
      <c r="A3701" s="402">
        <f t="array" ref="A3701">INDIRECT("Tableau!$A$110")</f>
        <v>344</v>
      </c>
      <c r="B3701" s="398" t="s">
        <v>478</v>
      </c>
      <c r="C3701" s="400" t="str">
        <f t="array" ref="C3701">INDIRECT("Tableau!$AQ$110")</f>
        <v/>
      </c>
      <c r="D3701" s="400" t="str">
        <f t="shared" si="21"/>
        <v>OUT</v>
      </c>
      <c r="E3701" s="403" t="str">
        <f t="array" ref="E3701">INDIRECT("Tableau!$AR$110")</f>
        <v/>
      </c>
    </row>
    <row r="3702">
      <c r="A3702" s="402">
        <f t="array" ref="A3702">INDIRECT("Tableau!$A$111")</f>
        <v>363</v>
      </c>
      <c r="B3702" s="398" t="s">
        <v>478</v>
      </c>
      <c r="C3702" s="400" t="str">
        <f t="array" ref="C3702">INDIRECT("Tableau!$AQ$111")</f>
        <v/>
      </c>
      <c r="D3702" s="400" t="str">
        <f t="shared" si="21"/>
        <v>OUT</v>
      </c>
      <c r="E3702" s="403" t="str">
        <f t="array" ref="E3702">INDIRECT("Tableau!$AR$111")</f>
        <v/>
      </c>
    </row>
    <row r="3703">
      <c r="A3703" s="402">
        <f t="array" ref="A3703">INDIRECT("Tableau!$A$112")</f>
        <v>345</v>
      </c>
      <c r="B3703" s="398" t="s">
        <v>478</v>
      </c>
      <c r="C3703" s="400" t="str">
        <f t="array" ref="C3703">INDIRECT("Tableau!$AQ$112")</f>
        <v/>
      </c>
      <c r="D3703" s="400" t="str">
        <f t="shared" si="21"/>
        <v>OUT</v>
      </c>
      <c r="E3703" s="403" t="str">
        <f t="array" ref="E3703">INDIRECT("Tableau!$AR$112")</f>
        <v/>
      </c>
    </row>
    <row r="3704">
      <c r="A3704" s="402">
        <f t="array" ref="A3704">INDIRECT("Tableau!$A$113")</f>
        <v>346</v>
      </c>
      <c r="B3704" s="398" t="s">
        <v>478</v>
      </c>
      <c r="C3704" s="400" t="str">
        <f t="array" ref="C3704">INDIRECT("Tableau!$AQ$113")</f>
        <v/>
      </c>
      <c r="D3704" s="400" t="str">
        <f t="shared" si="21"/>
        <v>OUT</v>
      </c>
      <c r="E3704" s="403" t="str">
        <f t="array" ref="E3704">INDIRECT("Tableau!$AR$113")</f>
        <v/>
      </c>
    </row>
    <row r="3705">
      <c r="A3705" s="402">
        <f t="array" ref="A3705">INDIRECT("Tableau!$A$114")</f>
        <v>359</v>
      </c>
      <c r="B3705" s="398" t="s">
        <v>478</v>
      </c>
      <c r="C3705" s="400" t="str">
        <f t="array" ref="C3705">INDIRECT("Tableau!$AQ$114")</f>
        <v/>
      </c>
      <c r="D3705" s="400" t="str">
        <f t="shared" si="21"/>
        <v>OUT</v>
      </c>
      <c r="E3705" s="403" t="str">
        <f t="array" ref="E3705">INDIRECT("Tableau!$AR$114")</f>
        <v/>
      </c>
    </row>
    <row r="3706">
      <c r="A3706" s="402">
        <f t="array" ref="A3706">INDIRECT("Tableau!$A$115")</f>
        <v>360</v>
      </c>
      <c r="B3706" s="398" t="s">
        <v>478</v>
      </c>
      <c r="C3706" s="400" t="str">
        <f t="array" ref="C3706">INDIRECT("Tableau!$AQ$115")</f>
        <v/>
      </c>
      <c r="D3706" s="400" t="str">
        <f t="shared" si="21"/>
        <v>OUT</v>
      </c>
      <c r="E3706" s="403" t="str">
        <f t="array" ref="E3706">INDIRECT("Tableau!$AR$115")</f>
        <v/>
      </c>
    </row>
    <row r="3707">
      <c r="A3707" s="402">
        <f t="array" ref="A3707">INDIRECT("Tableau!$A$116")</f>
        <v>361</v>
      </c>
      <c r="B3707" s="398" t="s">
        <v>478</v>
      </c>
      <c r="C3707" s="400" t="str">
        <f t="array" ref="C3707">INDIRECT("Tableau!$AQ$116")</f>
        <v/>
      </c>
      <c r="D3707" s="400" t="str">
        <f t="shared" si="21"/>
        <v>OUT</v>
      </c>
      <c r="E3707" s="403" t="str">
        <f t="array" ref="E3707">INDIRECT("Tableau!$AR$116")</f>
        <v/>
      </c>
    </row>
    <row r="3708">
      <c r="A3708" s="397" t="str">
        <f t="array" ref="A3708">INDIRECT("Tableau!$A$117")</f>
        <v/>
      </c>
      <c r="B3708" s="398" t="s">
        <v>478</v>
      </c>
      <c r="C3708" s="400" t="str">
        <f t="array" ref="C3708">INDIRECT("Tableau!$AQ$117")</f>
        <v/>
      </c>
      <c r="D3708" s="400" t="str">
        <f t="shared" si="21"/>
        <v>OUT</v>
      </c>
      <c r="E3708" s="403" t="str">
        <f t="array" ref="E3708">INDIRECT("Tableau!$AR$117")</f>
        <v/>
      </c>
    </row>
    <row r="3709">
      <c r="A3709" s="402">
        <f t="array" ref="A3709">INDIRECT("Tableau!$A$118")</f>
        <v>347</v>
      </c>
      <c r="B3709" s="398" t="s">
        <v>478</v>
      </c>
      <c r="C3709" s="400" t="str">
        <f t="array" ref="C3709">INDIRECT("Tableau!$AQ$118")</f>
        <v/>
      </c>
      <c r="D3709" s="400" t="str">
        <f t="shared" si="21"/>
        <v>OUT</v>
      </c>
      <c r="E3709" s="403" t="str">
        <f t="array" ref="E3709">INDIRECT("Tableau!$AR$118")</f>
        <v/>
      </c>
    </row>
    <row r="3710">
      <c r="A3710" s="402">
        <f t="array" ref="A3710">INDIRECT("Tableau!$A$119")</f>
        <v>348</v>
      </c>
      <c r="B3710" s="398" t="s">
        <v>478</v>
      </c>
      <c r="C3710" s="400" t="str">
        <f t="array" ref="C3710">INDIRECT("Tableau!$AQ$119")</f>
        <v/>
      </c>
      <c r="D3710" s="400" t="str">
        <f t="shared" si="21"/>
        <v>OUT</v>
      </c>
      <c r="E3710" s="403" t="str">
        <f t="array" ref="E3710">INDIRECT("Tableau!$AR$119")</f>
        <v/>
      </c>
    </row>
    <row r="3711">
      <c r="A3711" s="402">
        <f t="array" ref="A3711">INDIRECT("Tableau!$A$120")</f>
        <v>349</v>
      </c>
      <c r="B3711" s="398" t="s">
        <v>478</v>
      </c>
      <c r="C3711" s="400" t="str">
        <f t="array" ref="C3711">INDIRECT("Tableau!$AQ$120")</f>
        <v/>
      </c>
      <c r="D3711" s="400" t="str">
        <f t="shared" si="21"/>
        <v>OUT</v>
      </c>
      <c r="E3711" s="403" t="str">
        <f t="array" ref="E3711">INDIRECT("Tableau!$AR$120")</f>
        <v/>
      </c>
    </row>
    <row r="3712">
      <c r="A3712" s="402">
        <f t="array" ref="A3712">INDIRECT("Tableau!$A$121")</f>
        <v>350</v>
      </c>
      <c r="B3712" s="398" t="s">
        <v>478</v>
      </c>
      <c r="C3712" s="400" t="str">
        <f t="array" ref="C3712">INDIRECT("Tableau!$AQ$121")</f>
        <v/>
      </c>
      <c r="D3712" s="400" t="str">
        <f t="shared" si="21"/>
        <v>OUT</v>
      </c>
      <c r="E3712" s="403" t="str">
        <f t="array" ref="E3712">INDIRECT("Tableau!$AR$121")</f>
        <v/>
      </c>
    </row>
    <row r="3713">
      <c r="A3713" s="402">
        <f t="array" ref="A3713">INDIRECT("Tableau!$A$122")</f>
        <v>351</v>
      </c>
      <c r="B3713" s="398" t="s">
        <v>478</v>
      </c>
      <c r="C3713" s="400" t="str">
        <f t="array" ref="C3713">INDIRECT("Tableau!$AQ$122")</f>
        <v/>
      </c>
      <c r="D3713" s="400" t="str">
        <f t="shared" si="21"/>
        <v>OUT</v>
      </c>
      <c r="E3713" s="403" t="str">
        <f t="array" ref="E3713">INDIRECT("Tableau!$AR$122")</f>
        <v/>
      </c>
    </row>
    <row r="3714">
      <c r="A3714" s="402">
        <f t="array" ref="A3714">INDIRECT("Tableau!$A$123")</f>
        <v>352</v>
      </c>
      <c r="B3714" s="398" t="s">
        <v>478</v>
      </c>
      <c r="C3714" s="400" t="str">
        <f t="array" ref="C3714">INDIRECT("Tableau!$AQ$123")</f>
        <v/>
      </c>
      <c r="D3714" s="400" t="str">
        <f t="shared" si="21"/>
        <v>OUT</v>
      </c>
      <c r="E3714" s="403" t="str">
        <f t="array" ref="E3714">INDIRECT("Tableau!$AR$123")</f>
        <v/>
      </c>
    </row>
    <row r="3715">
      <c r="A3715" s="402">
        <f t="array" ref="A3715">INDIRECT("Tableau!$A$124")</f>
        <v>353</v>
      </c>
      <c r="B3715" s="398" t="s">
        <v>478</v>
      </c>
      <c r="C3715" s="400" t="str">
        <f t="array" ref="C3715">INDIRECT("Tableau!$AQ$124")</f>
        <v/>
      </c>
      <c r="D3715" s="400" t="str">
        <f t="shared" si="21"/>
        <v>OUT</v>
      </c>
      <c r="E3715" s="403" t="str">
        <f t="array" ref="E3715">INDIRECT("Tableau!$AR$124")</f>
        <v/>
      </c>
    </row>
    <row r="3716">
      <c r="A3716" s="397" t="str">
        <f t="array" ref="A3716">INDIRECT("Tableau!$A$125")</f>
        <v/>
      </c>
      <c r="B3716" s="398" t="s">
        <v>478</v>
      </c>
      <c r="C3716" s="400" t="str">
        <f t="array" ref="C3716">INDIRECT("Tableau!$AQ$125")</f>
        <v/>
      </c>
      <c r="D3716" s="400" t="str">
        <f t="shared" si="21"/>
        <v>OUT</v>
      </c>
      <c r="E3716" s="403" t="str">
        <f t="array" ref="E3716">INDIRECT("Tableau!$AR$125")</f>
        <v/>
      </c>
    </row>
    <row r="3717">
      <c r="A3717" s="402">
        <f t="array" ref="A3717">INDIRECT("Tableau!$A$126")</f>
        <v>354</v>
      </c>
      <c r="B3717" s="398" t="s">
        <v>478</v>
      </c>
      <c r="C3717" s="400" t="str">
        <f t="array" ref="C3717">INDIRECT("Tableau!$AQ$126")</f>
        <v/>
      </c>
      <c r="D3717" s="400" t="str">
        <f t="shared" si="21"/>
        <v>OUT</v>
      </c>
      <c r="E3717" s="403" t="str">
        <f t="array" ref="E3717">INDIRECT("Tableau!$AR$126")</f>
        <v/>
      </c>
    </row>
    <row r="3718">
      <c r="A3718" s="402">
        <f t="array" ref="A3718">INDIRECT("Tableau!$A$127")</f>
        <v>355</v>
      </c>
      <c r="B3718" s="398" t="s">
        <v>478</v>
      </c>
      <c r="C3718" s="400" t="str">
        <f t="array" ref="C3718">INDIRECT("Tableau!$AQ$127")</f>
        <v/>
      </c>
      <c r="D3718" s="400" t="str">
        <f t="shared" si="21"/>
        <v>OUT</v>
      </c>
      <c r="E3718" s="403" t="str">
        <f t="array" ref="E3718">INDIRECT("Tableau!$AR$127")</f>
        <v/>
      </c>
    </row>
    <row r="3719">
      <c r="A3719" s="402">
        <f t="array" ref="A3719">INDIRECT("Tableau!$A$128")</f>
        <v>356</v>
      </c>
      <c r="B3719" s="398" t="s">
        <v>478</v>
      </c>
      <c r="C3719" s="400" t="str">
        <f t="array" ref="C3719">INDIRECT("Tableau!$AQ$128")</f>
        <v/>
      </c>
      <c r="D3719" s="400" t="str">
        <f t="shared" si="21"/>
        <v>OUT</v>
      </c>
      <c r="E3719" s="403" t="str">
        <f t="array" ref="E3719">INDIRECT("Tableau!$AR$128")</f>
        <v/>
      </c>
    </row>
    <row r="3720">
      <c r="A3720" s="402">
        <f t="array" ref="A3720">INDIRECT("Tableau!$A$129")</f>
        <v>357</v>
      </c>
      <c r="B3720" s="398" t="s">
        <v>478</v>
      </c>
      <c r="C3720" s="400" t="str">
        <f t="array" ref="C3720">INDIRECT("Tableau!$AQ$129")</f>
        <v/>
      </c>
      <c r="D3720" s="400" t="str">
        <f t="shared" si="21"/>
        <v>OUT</v>
      </c>
      <c r="E3720" s="403" t="str">
        <f t="array" ref="E3720">INDIRECT("Tableau!$AR$129")</f>
        <v/>
      </c>
    </row>
    <row r="3721">
      <c r="A3721" s="397" t="str">
        <f t="array" ref="A3721">INDIRECT("Tableau!$A$130")</f>
        <v/>
      </c>
      <c r="B3721" s="398" t="s">
        <v>478</v>
      </c>
      <c r="C3721" s="400" t="str">
        <f t="array" ref="C3721">INDIRECT("Tableau!$AQ$130")</f>
        <v/>
      </c>
      <c r="D3721" s="400" t="str">
        <f t="shared" si="21"/>
        <v>OUT</v>
      </c>
      <c r="E3721" s="403" t="str">
        <f t="array" ref="E3721">INDIRECT("Tableau!$AR$130")</f>
        <v/>
      </c>
    </row>
    <row r="3722">
      <c r="A3722" s="397" t="str">
        <f t="array" ref="A3722">INDIRECT("Tableau!$A$131")</f>
        <v/>
      </c>
      <c r="B3722" s="398" t="s">
        <v>478</v>
      </c>
      <c r="C3722" s="400" t="str">
        <f t="array" ref="C3722">INDIRECT("Tableau!$AQ$131")</f>
        <v/>
      </c>
      <c r="D3722" s="400" t="str">
        <f t="shared" si="21"/>
        <v>OUT</v>
      </c>
      <c r="E3722" s="403" t="str">
        <f t="array" ref="E3722">INDIRECT("Tableau!$AR$131")</f>
        <v/>
      </c>
    </row>
    <row r="3723">
      <c r="A3723" s="397" t="str">
        <f t="array" ref="A3723">INDIRECT("Tableau!$A$132")</f>
        <v/>
      </c>
      <c r="B3723" s="398" t="s">
        <v>478</v>
      </c>
      <c r="C3723" s="400" t="str">
        <f t="array" ref="C3723">INDIRECT("Tableau!$AQ$132")</f>
        <v/>
      </c>
      <c r="D3723" s="400" t="str">
        <f t="shared" si="21"/>
        <v>OUT</v>
      </c>
      <c r="E3723" s="403" t="str">
        <f t="array" ref="E3723">INDIRECT("Tableau!$AR$132")</f>
        <v/>
      </c>
    </row>
    <row r="3724">
      <c r="A3724" s="397" t="str">
        <f t="array" ref="A3724">INDIRECT("Tableau!$A$133")</f>
        <v/>
      </c>
      <c r="B3724" s="398" t="s">
        <v>478</v>
      </c>
      <c r="C3724" s="400" t="str">
        <f t="array" ref="C3724">INDIRECT("Tableau!$AQ$133")</f>
        <v/>
      </c>
      <c r="D3724" s="400" t="str">
        <f t="shared" si="21"/>
        <v>OUT</v>
      </c>
      <c r="E3724" s="403" t="str">
        <f t="array" ref="E3724">INDIRECT("Tableau!$AR$133")</f>
        <v/>
      </c>
    </row>
    <row r="3725">
      <c r="A3725" s="397" t="str">
        <f t="array" ref="A3725">INDIRECT("Tableau!$A$134")</f>
        <v/>
      </c>
      <c r="B3725" s="398" t="s">
        <v>478</v>
      </c>
      <c r="C3725" s="400" t="str">
        <f t="array" ref="C3725">INDIRECT("Tableau!$AQ$134")</f>
        <v/>
      </c>
      <c r="D3725" s="400" t="str">
        <f t="shared" si="21"/>
        <v>OUT</v>
      </c>
      <c r="E3725" s="403" t="str">
        <f t="array" ref="E3725">INDIRECT("Tableau!$AR$134")</f>
        <v/>
      </c>
    </row>
    <row r="3726">
      <c r="A3726" s="402">
        <f t="array" ref="A3726">INDIRECT("Tableau!$A$135")</f>
        <v>401</v>
      </c>
      <c r="B3726" s="398" t="s">
        <v>478</v>
      </c>
      <c r="C3726" s="400" t="str">
        <f t="array" ref="C3726">INDIRECT("Tableau!$AQ$135")</f>
        <v/>
      </c>
      <c r="D3726" s="400" t="str">
        <f t="shared" si="21"/>
        <v>OUT</v>
      </c>
      <c r="E3726" s="403" t="str">
        <f t="array" ref="E3726">INDIRECT("Tableau!$AR$135")</f>
        <v/>
      </c>
    </row>
    <row r="3727">
      <c r="A3727" s="402">
        <f t="array" ref="A3727">INDIRECT("Tableau!$A$136")</f>
        <v>402</v>
      </c>
      <c r="B3727" s="398" t="s">
        <v>478</v>
      </c>
      <c r="C3727" s="400" t="str">
        <f t="array" ref="C3727">INDIRECT("Tableau!$AQ$136")</f>
        <v/>
      </c>
      <c r="D3727" s="400" t="str">
        <f t="shared" si="21"/>
        <v>OUT</v>
      </c>
      <c r="E3727" s="403" t="str">
        <f t="array" ref="E3727">INDIRECT("Tableau!$AR$136")</f>
        <v/>
      </c>
    </row>
    <row r="3728">
      <c r="A3728" s="402">
        <f t="array" ref="A3728">INDIRECT("Tableau!$A$137")</f>
        <v>403</v>
      </c>
      <c r="B3728" s="398" t="s">
        <v>478</v>
      </c>
      <c r="C3728" s="400" t="str">
        <f t="array" ref="C3728">INDIRECT("Tableau!$AQ$137")</f>
        <v/>
      </c>
      <c r="D3728" s="400" t="str">
        <f t="shared" si="21"/>
        <v>OUT</v>
      </c>
      <c r="E3728" s="403" t="str">
        <f t="array" ref="E3728">INDIRECT("Tableau!$AR$137")</f>
        <v/>
      </c>
    </row>
    <row r="3729">
      <c r="A3729" s="402">
        <f t="array" ref="A3729">INDIRECT("Tableau!$A$138")</f>
        <v>404</v>
      </c>
      <c r="B3729" s="398" t="s">
        <v>478</v>
      </c>
      <c r="C3729" s="400" t="str">
        <f t="array" ref="C3729">INDIRECT("Tableau!$AQ$138")</f>
        <v/>
      </c>
      <c r="D3729" s="400" t="str">
        <f t="shared" si="21"/>
        <v>OUT</v>
      </c>
      <c r="E3729" s="403" t="str">
        <f t="array" ref="E3729">INDIRECT("Tableau!$AR$138")</f>
        <v/>
      </c>
    </row>
    <row r="3730">
      <c r="A3730" s="402">
        <f t="array" ref="A3730">INDIRECT("Tableau!$A$139")</f>
        <v>405</v>
      </c>
      <c r="B3730" s="398" t="s">
        <v>478</v>
      </c>
      <c r="C3730" s="400" t="str">
        <f t="array" ref="C3730">INDIRECT("Tableau!$AQ$139")</f>
        <v/>
      </c>
      <c r="D3730" s="400" t="str">
        <f t="shared" si="21"/>
        <v>OUT</v>
      </c>
      <c r="E3730" s="403" t="str">
        <f t="array" ref="E3730">INDIRECT("Tableau!$AR$139")</f>
        <v/>
      </c>
    </row>
    <row r="3731">
      <c r="A3731" s="402">
        <f t="array" ref="A3731">INDIRECT("Tableau!$A$140")</f>
        <v>406</v>
      </c>
      <c r="B3731" s="398" t="s">
        <v>478</v>
      </c>
      <c r="C3731" s="400" t="str">
        <f t="array" ref="C3731">INDIRECT("Tableau!$AQ$140")</f>
        <v/>
      </c>
      <c r="D3731" s="400" t="str">
        <f t="shared" si="21"/>
        <v>OUT</v>
      </c>
      <c r="E3731" s="403" t="str">
        <f t="array" ref="E3731">INDIRECT("Tableau!$AR$140")</f>
        <v/>
      </c>
    </row>
    <row r="3732">
      <c r="A3732" s="402">
        <f t="array" ref="A3732">INDIRECT("Tableau!$A$141")</f>
        <v>407</v>
      </c>
      <c r="B3732" s="398" t="s">
        <v>478</v>
      </c>
      <c r="C3732" s="400" t="str">
        <f t="array" ref="C3732">INDIRECT("Tableau!$AQ$141")</f>
        <v/>
      </c>
      <c r="D3732" s="400" t="str">
        <f t="shared" si="21"/>
        <v>OUT</v>
      </c>
      <c r="E3732" s="403" t="str">
        <f t="array" ref="E3732">INDIRECT("Tableau!$AR$141")</f>
        <v/>
      </c>
    </row>
    <row r="3733">
      <c r="A3733" s="402">
        <f t="array" ref="A3733">INDIRECT("Tableau!$A$142")</f>
        <v>408</v>
      </c>
      <c r="B3733" s="398" t="s">
        <v>478</v>
      </c>
      <c r="C3733" s="400" t="str">
        <f t="array" ref="C3733">INDIRECT("Tableau!$AQ$142")</f>
        <v/>
      </c>
      <c r="D3733" s="400" t="str">
        <f t="shared" si="21"/>
        <v>OUT</v>
      </c>
      <c r="E3733" s="403" t="str">
        <f t="array" ref="E3733">INDIRECT("Tableau!$AR$142")</f>
        <v/>
      </c>
    </row>
    <row r="3734">
      <c r="A3734" s="402">
        <f t="array" ref="A3734">INDIRECT("Tableau!$A$143")</f>
        <v>409</v>
      </c>
      <c r="B3734" s="398" t="s">
        <v>478</v>
      </c>
      <c r="C3734" s="400" t="str">
        <f t="array" ref="C3734">INDIRECT("Tableau!$AQ$143")</f>
        <v/>
      </c>
      <c r="D3734" s="400" t="str">
        <f t="shared" si="21"/>
        <v>OUT</v>
      </c>
      <c r="E3734" s="403" t="str">
        <f t="array" ref="E3734">INDIRECT("Tableau!$AR$143")</f>
        <v/>
      </c>
    </row>
    <row r="3735">
      <c r="A3735" s="397">
        <f t="array" ref="A3735">INDIRECT("Tableau!$A$144")</f>
        <v>415</v>
      </c>
      <c r="B3735" s="398" t="s">
        <v>478</v>
      </c>
      <c r="C3735" s="400" t="str">
        <f t="array" ref="C3735">INDIRECT("Tableau!$AQ$144")</f>
        <v/>
      </c>
      <c r="D3735" s="400" t="str">
        <f t="shared" si="21"/>
        <v>OUT</v>
      </c>
      <c r="E3735" s="403" t="str">
        <f t="array" ref="E3735">INDIRECT("Tableau!$AR$144")</f>
        <v/>
      </c>
    </row>
    <row r="3736">
      <c r="A3736" s="397" t="str">
        <f t="array" ref="A3736">INDIRECT("Tableau!$A$145")</f>
        <v/>
      </c>
      <c r="B3736" s="398" t="s">
        <v>478</v>
      </c>
      <c r="C3736" s="400" t="str">
        <f t="array" ref="C3736">INDIRECT("Tableau!$AQ$145")</f>
        <v/>
      </c>
      <c r="D3736" s="400" t="str">
        <f t="shared" si="21"/>
        <v>OUT</v>
      </c>
      <c r="E3736" s="403" t="str">
        <f t="array" ref="E3736">INDIRECT("Tableau!$AR$145")</f>
        <v/>
      </c>
    </row>
    <row r="3737">
      <c r="A3737" s="397" t="str">
        <f t="array" ref="A3737">INDIRECT("Tableau!$A$146")</f>
        <v/>
      </c>
      <c r="B3737" s="398" t="s">
        <v>478</v>
      </c>
      <c r="C3737" s="400" t="str">
        <f t="array" ref="C3737">INDIRECT("Tableau!$AQ$146")</f>
        <v/>
      </c>
      <c r="D3737" s="400" t="str">
        <f t="shared" si="21"/>
        <v>OUT</v>
      </c>
      <c r="E3737" s="403" t="str">
        <f t="array" ref="E3737">INDIRECT("Tableau!$AR$146")</f>
        <v/>
      </c>
    </row>
    <row r="3738">
      <c r="A3738" s="397" t="str">
        <f t="array" ref="A3738">INDIRECT("Tableau!$A$147")</f>
        <v/>
      </c>
      <c r="B3738" s="398" t="s">
        <v>478</v>
      </c>
      <c r="C3738" s="400" t="str">
        <f t="array" ref="C3738">INDIRECT("Tableau!$AQ$147")</f>
        <v/>
      </c>
      <c r="D3738" s="400" t="str">
        <f t="shared" si="21"/>
        <v>OUT</v>
      </c>
      <c r="E3738" s="403" t="str">
        <f t="array" ref="E3738">INDIRECT("Tableau!$AR$147")</f>
        <v/>
      </c>
    </row>
    <row r="3739">
      <c r="A3739" s="397" t="str">
        <f t="array" ref="A3739">INDIRECT("Tableau!$A$148")</f>
        <v/>
      </c>
      <c r="B3739" s="398" t="s">
        <v>478</v>
      </c>
      <c r="C3739" s="400" t="str">
        <f t="array" ref="C3739">INDIRECT("Tableau!$AQ$148")</f>
        <v/>
      </c>
      <c r="D3739" s="400" t="str">
        <f t="shared" si="21"/>
        <v>OUT</v>
      </c>
      <c r="E3739" s="403" t="str">
        <f t="array" ref="E3739">INDIRECT("Tableau!$AR$148")</f>
        <v/>
      </c>
    </row>
    <row r="3740">
      <c r="A3740" s="397" t="str">
        <f t="array" ref="A3740">INDIRECT("Tableau!$A$149")</f>
        <v/>
      </c>
      <c r="B3740" s="398" t="s">
        <v>478</v>
      </c>
      <c r="C3740" s="400" t="str">
        <f t="array" ref="C3740">INDIRECT("Tableau!$AQ$149")</f>
        <v/>
      </c>
      <c r="D3740" s="400" t="str">
        <f t="shared" si="21"/>
        <v>OUT</v>
      </c>
      <c r="E3740" s="403" t="str">
        <f t="array" ref="E3740">INDIRECT("Tableau!$AR$149")</f>
        <v/>
      </c>
    </row>
    <row r="3741">
      <c r="A3741" s="397" t="str">
        <f t="array" ref="A3741">INDIRECT("Tableau!$A$150")</f>
        <v/>
      </c>
      <c r="B3741" s="398" t="s">
        <v>478</v>
      </c>
      <c r="C3741" s="400" t="str">
        <f t="array" ref="C3741">INDIRECT("Tableau!$AQ$150")</f>
        <v/>
      </c>
      <c r="D3741" s="400" t="str">
        <f t="shared" si="21"/>
        <v>OUT</v>
      </c>
      <c r="E3741" s="403" t="str">
        <f t="array" ref="E3741">INDIRECT("Tableau!$AR$150")</f>
        <v/>
      </c>
    </row>
    <row r="3742">
      <c r="A3742" s="397" t="str">
        <f t="array" ref="A3742">INDIRECT("Tableau!$A$151")</f>
        <v/>
      </c>
      <c r="B3742" s="398" t="s">
        <v>478</v>
      </c>
      <c r="C3742" s="400" t="str">
        <f t="array" ref="C3742">INDIRECT("Tableau!$AQ$151")</f>
        <v/>
      </c>
      <c r="D3742" s="400" t="str">
        <f t="shared" si="21"/>
        <v>OUT</v>
      </c>
      <c r="E3742" s="403" t="str">
        <f t="array" ref="E3742">INDIRECT("Tableau!$AR$151")</f>
        <v/>
      </c>
    </row>
    <row r="3743">
      <c r="A3743" s="397" t="str">
        <f t="array" ref="A3743">INDIRECT("Tableau!$A$152")</f>
        <v/>
      </c>
      <c r="B3743" s="398" t="s">
        <v>478</v>
      </c>
      <c r="C3743" s="400" t="str">
        <f t="array" ref="C3743">INDIRECT("Tableau!$AQ$152")</f>
        <v/>
      </c>
      <c r="D3743" s="400" t="str">
        <f t="shared" si="21"/>
        <v>OUT</v>
      </c>
      <c r="E3743" s="403" t="str">
        <f t="array" ref="E3743">INDIRECT("Tableau!$AR$152")</f>
        <v/>
      </c>
    </row>
    <row r="3744">
      <c r="A3744" s="397" t="str">
        <f t="array" ref="A3744">INDIRECT("Tableau!$A$153")</f>
        <v/>
      </c>
      <c r="B3744" s="398" t="s">
        <v>478</v>
      </c>
      <c r="C3744" s="400" t="str">
        <f t="array" ref="C3744">INDIRECT("Tableau!$AQ$153")</f>
        <v/>
      </c>
      <c r="D3744" s="400" t="str">
        <f t="shared" si="21"/>
        <v>OUT</v>
      </c>
      <c r="E3744" s="403" t="str">
        <f t="array" ref="E3744">INDIRECT("Tableau!$AR$153")</f>
        <v/>
      </c>
    </row>
    <row r="3745">
      <c r="A3745" s="402">
        <f t="array" ref="A3745">INDIRECT("Tableau!$A$154")</f>
        <v>501</v>
      </c>
      <c r="B3745" s="398" t="s">
        <v>478</v>
      </c>
      <c r="C3745" s="400" t="str">
        <f t="array" ref="C3745">INDIRECT("Tableau!$AQ$154")</f>
        <v>DPS</v>
      </c>
      <c r="D3745" s="400" t="str">
        <f t="shared" si="21"/>
        <v>OUT</v>
      </c>
      <c r="E3745" s="403" t="str">
        <f t="array" ref="E3745">INDIRECT("Tableau!$AR$154")</f>
        <v/>
      </c>
    </row>
    <row r="3746">
      <c r="A3746" s="402">
        <f t="array" ref="A3746">INDIRECT("Tableau!$A$155")</f>
        <v>502</v>
      </c>
      <c r="B3746" s="398" t="s">
        <v>478</v>
      </c>
      <c r="C3746" s="400" t="str">
        <f t="array" ref="C3746">INDIRECT("Tableau!$AQ$155")</f>
        <v/>
      </c>
      <c r="D3746" s="400" t="str">
        <f t="shared" si="21"/>
        <v>OUT</v>
      </c>
      <c r="E3746" s="403" t="str">
        <f t="array" ref="E3746">INDIRECT("Tableau!$AR$155")</f>
        <v/>
      </c>
    </row>
    <row r="3747">
      <c r="A3747" s="397" t="str">
        <f t="array" ref="A3747">INDIRECT("Tableau!$A$156")</f>
        <v/>
      </c>
      <c r="B3747" s="398" t="s">
        <v>478</v>
      </c>
      <c r="C3747" s="400" t="str">
        <f t="array" ref="C3747">INDIRECT("Tableau!$AQ$156")</f>
        <v/>
      </c>
      <c r="D3747" s="400" t="str">
        <f t="shared" si="21"/>
        <v>OUT</v>
      </c>
      <c r="E3747" s="403" t="str">
        <f t="array" ref="E3747">INDIRECT("Tableau!$AR$156")</f>
        <v/>
      </c>
    </row>
    <row r="3748">
      <c r="A3748" s="397" t="str">
        <f t="array" ref="A3748">INDIRECT("Tableau!$A$157")</f>
        <v/>
      </c>
      <c r="B3748" s="398" t="s">
        <v>478</v>
      </c>
      <c r="C3748" s="400" t="str">
        <f t="array" ref="C3748">INDIRECT("Tableau!$AQ$157")</f>
        <v/>
      </c>
      <c r="D3748" s="400" t="str">
        <f t="shared" si="21"/>
        <v>OUT</v>
      </c>
      <c r="E3748" s="403" t="str">
        <f t="array" ref="E3748">INDIRECT("Tableau!$AR$157")</f>
        <v/>
      </c>
    </row>
    <row r="3749">
      <c r="A3749" s="402">
        <f t="array" ref="A3749">INDIRECT("Tableau!$A$158")</f>
        <v>505</v>
      </c>
      <c r="B3749" s="398" t="s">
        <v>478</v>
      </c>
      <c r="C3749" s="400" t="str">
        <f t="array" ref="C3749">INDIRECT("Tableau!$AQ$158")</f>
        <v/>
      </c>
      <c r="D3749" s="400" t="str">
        <f t="shared" si="21"/>
        <v>OUT</v>
      </c>
      <c r="E3749" s="403" t="str">
        <f t="array" ref="E3749">INDIRECT("Tableau!$AR$158")</f>
        <v/>
      </c>
    </row>
    <row r="3750">
      <c r="A3750" s="402">
        <f t="array" ref="A3750">INDIRECT("Tableau!$A$159")</f>
        <v>506</v>
      </c>
      <c r="B3750" s="398" t="s">
        <v>478</v>
      </c>
      <c r="C3750" s="400" t="str">
        <f t="array" ref="C3750">INDIRECT("Tableau!$AQ$159")</f>
        <v>DPS</v>
      </c>
      <c r="D3750" s="400" t="str">
        <f t="shared" si="21"/>
        <v>OUT</v>
      </c>
      <c r="E3750" s="403" t="str">
        <f t="array" ref="E3750">INDIRECT("Tableau!$AR$159")</f>
        <v/>
      </c>
    </row>
    <row r="3751">
      <c r="A3751" s="402">
        <f t="array" ref="A3751">INDIRECT("Tableau!$A$160")</f>
        <v>507</v>
      </c>
      <c r="B3751" s="398" t="s">
        <v>478</v>
      </c>
      <c r="C3751" s="400" t="str">
        <f t="array" ref="C3751">INDIRECT("Tableau!$AQ$160")</f>
        <v/>
      </c>
      <c r="D3751" s="400" t="str">
        <f t="shared" si="21"/>
        <v>OUT</v>
      </c>
      <c r="E3751" s="403" t="str">
        <f t="array" ref="E3751">INDIRECT("Tableau!$AR$160")</f>
        <v/>
      </c>
    </row>
    <row r="3752">
      <c r="A3752" s="402">
        <f t="array" ref="A3752">INDIRECT("Tableau!$A$161")</f>
        <v>508</v>
      </c>
      <c r="B3752" s="398" t="s">
        <v>478</v>
      </c>
      <c r="C3752" s="400" t="str">
        <f t="array" ref="C3752">INDIRECT("Tableau!$AQ$161")</f>
        <v>DPS</v>
      </c>
      <c r="D3752" s="400" t="str">
        <f t="shared" si="21"/>
        <v>OUT</v>
      </c>
      <c r="E3752" s="403" t="str">
        <f t="array" ref="E3752">INDIRECT("Tableau!$AR$161")</f>
        <v/>
      </c>
    </row>
    <row r="3753">
      <c r="A3753" s="402">
        <f t="array" ref="A3753">INDIRECT("Tableau!$A$162")</f>
        <v>509</v>
      </c>
      <c r="B3753" s="398" t="s">
        <v>478</v>
      </c>
      <c r="C3753" s="400" t="str">
        <f t="array" ref="C3753">INDIRECT("Tableau!$AQ$162")</f>
        <v/>
      </c>
      <c r="D3753" s="400" t="str">
        <f t="shared" si="21"/>
        <v>OUT</v>
      </c>
      <c r="E3753" s="403" t="str">
        <f t="array" ref="E3753">INDIRECT("Tableau!$AR$162")</f>
        <v/>
      </c>
    </row>
    <row r="3754">
      <c r="A3754" s="397">
        <f t="array" ref="A3754">INDIRECT("Tableau!$A$163")</f>
        <v>510</v>
      </c>
      <c r="B3754" s="398" t="s">
        <v>478</v>
      </c>
      <c r="C3754" s="400" t="str">
        <f t="array" ref="C3754">INDIRECT("Tableau!$AQ$163")</f>
        <v/>
      </c>
      <c r="D3754" s="400" t="str">
        <f t="shared" si="21"/>
        <v>OUT</v>
      </c>
      <c r="E3754" s="403" t="str">
        <f t="array" ref="E3754">INDIRECT("Tableau!$AR$163")</f>
        <v/>
      </c>
    </row>
    <row r="3755">
      <c r="A3755" s="397" t="str">
        <f t="array" ref="A3755">INDIRECT("Tableau!$A$164")</f>
        <v/>
      </c>
      <c r="B3755" s="398" t="s">
        <v>478</v>
      </c>
      <c r="C3755" s="400" t="str">
        <f t="array" ref="C3755">INDIRECT("Tableau!$AQ$164")</f>
        <v/>
      </c>
      <c r="D3755" s="400" t="str">
        <f t="shared" si="21"/>
        <v>OUT</v>
      </c>
      <c r="E3755" s="403" t="str">
        <f t="array" ref="E3755">INDIRECT("Tableau!$AR$164")</f>
        <v/>
      </c>
    </row>
    <row r="3756">
      <c r="A3756" s="397" t="str">
        <f t="array" ref="A3756">INDIRECT("Tableau!$A$165")</f>
        <v/>
      </c>
      <c r="B3756" s="398" t="s">
        <v>478</v>
      </c>
      <c r="C3756" s="400" t="str">
        <f t="array" ref="C3756">INDIRECT("Tableau!$AQ$165")</f>
        <v/>
      </c>
      <c r="D3756" s="400" t="str">
        <f t="shared" si="21"/>
        <v>OUT</v>
      </c>
      <c r="E3756" s="403" t="str">
        <f t="array" ref="E3756">INDIRECT("Tableau!$AR$165")</f>
        <v/>
      </c>
    </row>
    <row r="3757">
      <c r="A3757" s="402">
        <f t="array" ref="A3757">INDIRECT("Tableau!$A$166")</f>
        <v>527</v>
      </c>
      <c r="B3757" s="398" t="s">
        <v>478</v>
      </c>
      <c r="C3757" s="400" t="str">
        <f t="array" ref="C3757">INDIRECT("Tableau!$AQ$166")</f>
        <v/>
      </c>
      <c r="D3757" s="400" t="str">
        <f t="shared" si="21"/>
        <v>OUT</v>
      </c>
      <c r="E3757" s="403" t="str">
        <f t="array" ref="E3757">INDIRECT("Tableau!$AR$166")</f>
        <v/>
      </c>
    </row>
    <row r="3758">
      <c r="A3758" s="402">
        <f t="array" ref="A3758">INDIRECT("Tableau!$A$167")</f>
        <v>512</v>
      </c>
      <c r="B3758" s="398" t="s">
        <v>478</v>
      </c>
      <c r="C3758" s="400" t="str">
        <f t="array" ref="C3758">INDIRECT("Tableau!$AQ$167")</f>
        <v>DPS</v>
      </c>
      <c r="D3758" s="400" t="str">
        <f t="shared" si="21"/>
        <v>OUT</v>
      </c>
      <c r="E3758" s="403" t="str">
        <f t="array" ref="E3758">INDIRECT("Tableau!$AR$167")</f>
        <v/>
      </c>
    </row>
    <row r="3759">
      <c r="A3759" s="402">
        <f t="array" ref="A3759">INDIRECT("Tableau!$A$168")</f>
        <v>513</v>
      </c>
      <c r="B3759" s="398" t="s">
        <v>478</v>
      </c>
      <c r="C3759" s="400" t="str">
        <f t="array" ref="C3759">INDIRECT("Tableau!$AQ$168")</f>
        <v/>
      </c>
      <c r="D3759" s="400" t="str">
        <f t="shared" si="21"/>
        <v>OUT</v>
      </c>
      <c r="E3759" s="403" t="str">
        <f t="array" ref="E3759">INDIRECT("Tableau!$AR$168")</f>
        <v/>
      </c>
    </row>
    <row r="3760">
      <c r="A3760" s="402">
        <f t="array" ref="A3760">INDIRECT("Tableau!$A$169")</f>
        <v>514</v>
      </c>
      <c r="B3760" s="398" t="s">
        <v>478</v>
      </c>
      <c r="C3760" s="400" t="str">
        <f t="array" ref="C3760">INDIRECT("Tableau!$AQ$169")</f>
        <v/>
      </c>
      <c r="D3760" s="400" t="str">
        <f t="shared" si="21"/>
        <v>OUT</v>
      </c>
      <c r="E3760" s="403" t="str">
        <f t="array" ref="E3760">INDIRECT("Tableau!$AR$169")</f>
        <v/>
      </c>
    </row>
    <row r="3761">
      <c r="A3761" s="402">
        <f t="array" ref="A3761">INDIRECT("Tableau!$A$170")</f>
        <v>515</v>
      </c>
      <c r="B3761" s="398" t="s">
        <v>478</v>
      </c>
      <c r="C3761" s="400" t="str">
        <f t="array" ref="C3761">INDIRECT("Tableau!$AQ$170")</f>
        <v/>
      </c>
      <c r="D3761" s="400" t="str">
        <f t="shared" si="21"/>
        <v>OUT</v>
      </c>
      <c r="E3761" s="403" t="str">
        <f t="array" ref="E3761">INDIRECT("Tableau!$AR$170")</f>
        <v/>
      </c>
    </row>
    <row r="3762">
      <c r="A3762" s="402">
        <f t="array" ref="A3762">INDIRECT("Tableau!$A$171")</f>
        <v>517</v>
      </c>
      <c r="B3762" s="398" t="s">
        <v>478</v>
      </c>
      <c r="C3762" s="400" t="str">
        <f t="array" ref="C3762">INDIRECT("Tableau!$AQ$171")</f>
        <v/>
      </c>
      <c r="D3762" s="400" t="str">
        <f t="shared" si="21"/>
        <v>OUT</v>
      </c>
      <c r="E3762" s="403" t="str">
        <f t="array" ref="E3762">INDIRECT("Tableau!$AR$171")</f>
        <v/>
      </c>
    </row>
    <row r="3763">
      <c r="A3763" s="402">
        <f t="array" ref="A3763">INDIRECT("Tableau!$A$172")</f>
        <v>518</v>
      </c>
      <c r="B3763" s="398" t="s">
        <v>478</v>
      </c>
      <c r="C3763" s="400" t="str">
        <f t="array" ref="C3763">INDIRECT("Tableau!$AQ$172")</f>
        <v/>
      </c>
      <c r="D3763" s="400" t="str">
        <f t="shared" si="21"/>
        <v>OUT</v>
      </c>
      <c r="E3763" s="403" t="str">
        <f t="array" ref="E3763">INDIRECT("Tableau!$AR$172")</f>
        <v/>
      </c>
    </row>
    <row r="3764">
      <c r="A3764" s="397" t="str">
        <f t="array" ref="A3764">INDIRECT("Tableau!$A$173")</f>
        <v/>
      </c>
      <c r="B3764" s="398" t="s">
        <v>478</v>
      </c>
      <c r="C3764" s="400" t="str">
        <f t="array" ref="C3764">INDIRECT("Tableau!$AQ$173")</f>
        <v/>
      </c>
      <c r="D3764" s="400" t="str">
        <f t="shared" si="21"/>
        <v>OUT</v>
      </c>
      <c r="E3764" s="403" t="str">
        <f t="array" ref="E3764">INDIRECT("Tableau!$AR$173")</f>
        <v/>
      </c>
    </row>
    <row r="3765">
      <c r="A3765" s="402">
        <f t="array" ref="A3765">INDIRECT("Tableau!$A$174")</f>
        <v>520</v>
      </c>
      <c r="B3765" s="398" t="s">
        <v>478</v>
      </c>
      <c r="C3765" s="400" t="str">
        <f t="array" ref="C3765">INDIRECT("Tableau!$AQ$174")</f>
        <v/>
      </c>
      <c r="D3765" s="400" t="str">
        <f t="shared" si="21"/>
        <v>OUT</v>
      </c>
      <c r="E3765" s="403" t="str">
        <f t="array" ref="E3765">INDIRECT("Tableau!$AR$174")</f>
        <v/>
      </c>
    </row>
    <row r="3766">
      <c r="A3766" s="402">
        <f t="array" ref="A3766">INDIRECT("Tableau!$A$175")</f>
        <v>521</v>
      </c>
      <c r="B3766" s="398" t="s">
        <v>478</v>
      </c>
      <c r="C3766" s="400" t="str">
        <f t="array" ref="C3766">INDIRECT("Tableau!$AQ$175")</f>
        <v/>
      </c>
      <c r="D3766" s="400" t="str">
        <f t="shared" si="21"/>
        <v>OUT</v>
      </c>
      <c r="E3766" s="403" t="str">
        <f t="array" ref="E3766">INDIRECT("Tableau!$AR$175")</f>
        <v/>
      </c>
    </row>
    <row r="3767">
      <c r="A3767" s="402">
        <f t="array" ref="A3767">INDIRECT("Tableau!$A$176")</f>
        <v>525</v>
      </c>
      <c r="B3767" s="398" t="s">
        <v>478</v>
      </c>
      <c r="C3767" s="400" t="str">
        <f t="array" ref="C3767">INDIRECT("Tableau!$AQ$176")</f>
        <v/>
      </c>
      <c r="D3767" s="400" t="str">
        <f t="shared" si="21"/>
        <v>OUT</v>
      </c>
      <c r="E3767" s="403" t="str">
        <f t="array" ref="E3767">INDIRECT("Tableau!$AR$176")</f>
        <v/>
      </c>
    </row>
    <row r="3768">
      <c r="A3768" s="402">
        <f t="array" ref="A3768">INDIRECT("Tableau!$A$177")</f>
        <v>530</v>
      </c>
      <c r="B3768" s="398" t="s">
        <v>478</v>
      </c>
      <c r="C3768" s="400" t="str">
        <f t="array" ref="C3768">INDIRECT("Tableau!$AQ$177")</f>
        <v>DPS</v>
      </c>
      <c r="D3768" s="400" t="str">
        <f t="shared" si="21"/>
        <v>OUT</v>
      </c>
      <c r="E3768" s="403" t="str">
        <f t="array" ref="E3768">INDIRECT("Tableau!$AR$177")</f>
        <v/>
      </c>
    </row>
    <row r="3769">
      <c r="A3769" s="397" t="str">
        <f t="array" ref="A3769">INDIRECT("Tableau!$A$178")</f>
        <v/>
      </c>
      <c r="B3769" s="398" t="s">
        <v>478</v>
      </c>
      <c r="C3769" s="400" t="str">
        <f t="array" ref="C3769">INDIRECT("Tableau!$AQ$178")</f>
        <v/>
      </c>
      <c r="D3769" s="400" t="str">
        <f t="shared" si="21"/>
        <v>OUT</v>
      </c>
      <c r="E3769" s="403" t="str">
        <f t="array" ref="E3769">INDIRECT("Tableau!$AR$178")</f>
        <v/>
      </c>
    </row>
    <row r="3770">
      <c r="A3770" s="397" t="str">
        <f t="array" ref="A3770">INDIRECT("Tableau!$A$179")</f>
        <v/>
      </c>
      <c r="B3770" s="398" t="s">
        <v>478</v>
      </c>
      <c r="C3770" s="400" t="str">
        <f t="array" ref="C3770">INDIRECT("Tableau!$AQ$179")</f>
        <v/>
      </c>
      <c r="D3770" s="400" t="str">
        <f t="shared" si="21"/>
        <v>OUT</v>
      </c>
      <c r="E3770" s="403" t="str">
        <f t="array" ref="E3770">INDIRECT("Tableau!$AR$179")</f>
        <v/>
      </c>
    </row>
    <row r="3771">
      <c r="A3771" s="397" t="str">
        <f t="array" ref="A3771">INDIRECT("Tableau!$A$180")</f>
        <v/>
      </c>
      <c r="B3771" s="398" t="s">
        <v>478</v>
      </c>
      <c r="C3771" s="400" t="str">
        <f t="array" ref="C3771">INDIRECT("Tableau!$AQ$180")</f>
        <v/>
      </c>
      <c r="D3771" s="400" t="str">
        <f t="shared" si="21"/>
        <v>OUT</v>
      </c>
      <c r="E3771" s="403" t="str">
        <f t="array" ref="E3771">INDIRECT("Tableau!$AR$180")</f>
        <v/>
      </c>
    </row>
    <row r="3772">
      <c r="A3772" s="397" t="str">
        <f t="array" ref="A3772">INDIRECT("Tableau!$A$181")</f>
        <v/>
      </c>
      <c r="B3772" s="398" t="s">
        <v>478</v>
      </c>
      <c r="C3772" s="400" t="str">
        <f t="array" ref="C3772">INDIRECT("Tableau!$AQ$181")</f>
        <v/>
      </c>
      <c r="D3772" s="400" t="str">
        <f t="shared" si="21"/>
        <v>OUT</v>
      </c>
      <c r="E3772" s="403" t="str">
        <f t="array" ref="E3772">INDIRECT("Tableau!$AR$181")</f>
        <v/>
      </c>
    </row>
    <row r="3773">
      <c r="A3773" s="397" t="str">
        <f t="array" ref="A3773">INDIRECT("Tableau!$A$182")</f>
        <v/>
      </c>
      <c r="B3773" s="398" t="s">
        <v>478</v>
      </c>
      <c r="C3773" s="400" t="str">
        <f t="array" ref="C3773">INDIRECT("Tableau!$AQ$182")</f>
        <v/>
      </c>
      <c r="D3773" s="400" t="str">
        <f t="shared" si="21"/>
        <v>OUT</v>
      </c>
      <c r="E3773" s="403" t="str">
        <f t="array" ref="E3773">INDIRECT("Tableau!$AR$182")</f>
        <v/>
      </c>
    </row>
    <row r="3774">
      <c r="A3774" s="397" t="str">
        <f t="array" ref="A3774">INDIRECT("Tableau!$A$183")</f>
        <v/>
      </c>
      <c r="B3774" s="398" t="s">
        <v>478</v>
      </c>
      <c r="C3774" s="400" t="str">
        <f t="array" ref="C3774">INDIRECT("Tableau!$AQ$183")</f>
        <v/>
      </c>
      <c r="D3774" s="400" t="str">
        <f t="shared" si="21"/>
        <v>OUT</v>
      </c>
      <c r="E3774" s="403" t="str">
        <f t="array" ref="E3774">INDIRECT("Tableau!$AR$183")</f>
        <v/>
      </c>
    </row>
    <row r="3775">
      <c r="A3775" s="397" t="str">
        <f t="array" ref="A3775">INDIRECT("Tableau!$A$184")</f>
        <v/>
      </c>
      <c r="B3775" s="398" t="s">
        <v>478</v>
      </c>
      <c r="C3775" s="400" t="str">
        <f t="array" ref="C3775">INDIRECT("Tableau!$AQ$184")</f>
        <v/>
      </c>
      <c r="D3775" s="400" t="str">
        <f t="shared" si="21"/>
        <v>OUT</v>
      </c>
      <c r="E3775" s="403" t="str">
        <f t="array" ref="E3775">INDIRECT("Tableau!$AR$184")</f>
        <v/>
      </c>
    </row>
    <row r="3776">
      <c r="A3776" s="397" t="str">
        <f t="array" ref="A3776">INDIRECT("Tableau!$A$185")</f>
        <v/>
      </c>
      <c r="B3776" s="398" t="s">
        <v>478</v>
      </c>
      <c r="C3776" s="400" t="str">
        <f t="array" ref="C3776">INDIRECT("Tableau!$AQ$185")</f>
        <v/>
      </c>
      <c r="D3776" s="400" t="str">
        <f t="shared" si="21"/>
        <v>OUT</v>
      </c>
      <c r="E3776" s="403" t="str">
        <f t="array" ref="E3776">INDIRECT("Tableau!$AR$185")</f>
        <v/>
      </c>
    </row>
    <row r="3777">
      <c r="A3777" s="397" t="str">
        <f t="array" ref="A3777">INDIRECT("Tableau!$A$186")</f>
        <v/>
      </c>
      <c r="B3777" s="398" t="s">
        <v>478</v>
      </c>
      <c r="C3777" s="400" t="str">
        <f t="array" ref="C3777">INDIRECT("Tableau!$AQ$186")</f>
        <v/>
      </c>
      <c r="D3777" s="400" t="str">
        <f t="shared" si="21"/>
        <v>OUT</v>
      </c>
      <c r="E3777" s="403" t="str">
        <f t="array" ref="E3777">INDIRECT("Tableau!$AR$186")</f>
        <v/>
      </c>
    </row>
    <row r="3778">
      <c r="A3778" s="397" t="str">
        <f t="array" ref="A3778">INDIRECT("Tableau!$A$187")</f>
        <v/>
      </c>
      <c r="B3778" s="398" t="s">
        <v>478</v>
      </c>
      <c r="C3778" s="400" t="str">
        <f t="array" ref="C3778">INDIRECT("Tableau!$AQ$187")</f>
        <v/>
      </c>
      <c r="D3778" s="400" t="str">
        <f t="shared" si="21"/>
        <v>OUT</v>
      </c>
      <c r="E3778" s="403" t="str">
        <f t="array" ref="E3778">INDIRECT("Tableau!$AR$187")</f>
        <v/>
      </c>
    </row>
    <row r="3779">
      <c r="A3779" s="397" t="str">
        <f t="array" ref="A3779">INDIRECT("Tableau!$A$188")</f>
        <v/>
      </c>
      <c r="B3779" s="398" t="s">
        <v>478</v>
      </c>
      <c r="C3779" s="400" t="str">
        <f t="array" ref="C3779">INDIRECT("Tableau!$AQ$188")</f>
        <v/>
      </c>
      <c r="D3779" s="400" t="str">
        <f t="shared" si="21"/>
        <v>OUT</v>
      </c>
      <c r="E3779" s="403" t="str">
        <f t="array" ref="E3779">INDIRECT("Tableau!$AR$188")</f>
        <v/>
      </c>
    </row>
    <row r="3780">
      <c r="A3780" s="397" t="str">
        <f t="array" ref="A3780">INDIRECT("Tableau!$A$189")</f>
        <v/>
      </c>
      <c r="B3780" s="398" t="s">
        <v>478</v>
      </c>
      <c r="C3780" s="400" t="str">
        <f t="array" ref="C3780">INDIRECT("Tableau!$AQ$189")</f>
        <v/>
      </c>
      <c r="D3780" s="400" t="str">
        <f t="shared" si="21"/>
        <v>OUT</v>
      </c>
      <c r="E3780" s="403" t="str">
        <f t="array" ref="E3780">INDIRECT("Tableau!$AR$189")</f>
        <v/>
      </c>
    </row>
    <row r="3781">
      <c r="A3781" s="397" t="str">
        <f t="array" ref="A3781">INDIRECT("Tableau!$A$190")</f>
        <v/>
      </c>
      <c r="B3781" s="398" t="s">
        <v>478</v>
      </c>
      <c r="C3781" s="400" t="str">
        <f t="array" ref="C3781">INDIRECT("Tableau!$AQ$190")</f>
        <v/>
      </c>
      <c r="D3781" s="400" t="str">
        <f t="shared" si="21"/>
        <v>OUT</v>
      </c>
      <c r="E3781" s="403" t="str">
        <f t="array" ref="E3781">INDIRECT("Tableau!$AR$190")</f>
        <v/>
      </c>
    </row>
    <row r="3782">
      <c r="A3782" s="397" t="str">
        <f t="array" ref="A3782">INDIRECT("Tableau!$A$2")</f>
        <v/>
      </c>
      <c r="B3782" s="398" t="s">
        <v>479</v>
      </c>
      <c r="C3782" s="400" t="str">
        <f t="array" ref="C3782">INDIRECT("Tableau!$AS$2")</f>
        <v/>
      </c>
      <c r="D3782" s="400" t="str">
        <f t="shared" ref="D3782:D3970" si="22">INDIRECT("Tableau!$AT$1")</f>
        <v>IN</v>
      </c>
      <c r="E3782" s="403" t="str">
        <f t="array" ref="E3782">INDIRECT("Tableau!$AT$2")</f>
        <v/>
      </c>
    </row>
    <row r="3783">
      <c r="A3783" s="402">
        <f t="array" ref="A3783">INDIRECT("Tableau!$A$3")</f>
        <v>102</v>
      </c>
      <c r="B3783" s="398" t="s">
        <v>479</v>
      </c>
      <c r="C3783" s="400" t="str">
        <f t="array" ref="C3783">INDIRECT("Tableau!$AS$3")</f>
        <v/>
      </c>
      <c r="D3783" s="400" t="str">
        <f t="shared" si="22"/>
        <v>IN</v>
      </c>
      <c r="E3783" s="403" t="str">
        <f t="array" ref="E3783">INDIRECT("Tableau!$AT$3")</f>
        <v/>
      </c>
    </row>
    <row r="3784">
      <c r="A3784" s="397" t="str">
        <f t="array" ref="A3784">INDIRECT("Tableau!$A$4")</f>
        <v/>
      </c>
      <c r="B3784" s="398" t="s">
        <v>479</v>
      </c>
      <c r="C3784" s="400" t="str">
        <f t="array" ref="C3784">INDIRECT("Tableau!$AS$4")</f>
        <v/>
      </c>
      <c r="D3784" s="400" t="str">
        <f t="shared" si="22"/>
        <v>IN</v>
      </c>
      <c r="E3784" s="403" t="str">
        <f t="array" ref="E3784">INDIRECT("Tableau!$AT$4")</f>
        <v/>
      </c>
    </row>
    <row r="3785">
      <c r="A3785" s="402">
        <f t="array" ref="A3785">INDIRECT("Tableau!$A$5")</f>
        <v>104</v>
      </c>
      <c r="B3785" s="398" t="s">
        <v>479</v>
      </c>
      <c r="C3785" s="400" t="str">
        <f t="array" ref="C3785">INDIRECT("Tableau!$AS$5")</f>
        <v>Schmidt cuisines- Wavre </v>
      </c>
      <c r="D3785" s="400" t="str">
        <f t="shared" si="22"/>
        <v>IN</v>
      </c>
      <c r="E3785" s="403" t="str">
        <f t="array" ref="E3785">INDIRECT("Tableau!$AT$5")</f>
        <v/>
      </c>
    </row>
    <row r="3786">
      <c r="A3786" s="402">
        <f t="array" ref="A3786">INDIRECT("Tableau!$A$6")</f>
        <v>105</v>
      </c>
      <c r="B3786" s="398" t="s">
        <v>479</v>
      </c>
      <c r="C3786" s="400" t="str">
        <f t="array" ref="C3786">INDIRECT("Tableau!$AS$6")</f>
        <v/>
      </c>
      <c r="D3786" s="400" t="str">
        <f t="shared" si="22"/>
        <v>IN</v>
      </c>
      <c r="E3786" s="403" t="str">
        <f t="array" ref="E3786">INDIRECT("Tableau!$AT$6")</f>
        <v/>
      </c>
    </row>
    <row r="3787">
      <c r="A3787" s="402">
        <f t="array" ref="A3787">INDIRECT("Tableau!$A$7")</f>
        <v>106</v>
      </c>
      <c r="B3787" s="398" t="s">
        <v>479</v>
      </c>
      <c r="C3787" s="400" t="str">
        <f t="array" ref="C3787">INDIRECT("Tableau!$AS$7")</f>
        <v>Schmidt cuisines- Wavre </v>
      </c>
      <c r="D3787" s="400" t="str">
        <f t="shared" si="22"/>
        <v>IN</v>
      </c>
      <c r="E3787" s="403" t="str">
        <f t="array" ref="E3787">INDIRECT("Tableau!$AT$7")</f>
        <v/>
      </c>
    </row>
    <row r="3788">
      <c r="A3788" s="402">
        <f t="array" ref="A3788">INDIRECT("Tableau!$A$8")</f>
        <v>107</v>
      </c>
      <c r="B3788" s="398" t="s">
        <v>479</v>
      </c>
      <c r="C3788" s="400" t="str">
        <f t="array" ref="C3788">INDIRECT("Tableau!$AS$8")</f>
        <v>Schmidt cuisines- Wavre </v>
      </c>
      <c r="D3788" s="400" t="str">
        <f t="shared" si="22"/>
        <v>IN</v>
      </c>
      <c r="E3788" s="403" t="str">
        <f t="array" ref="E3788">INDIRECT("Tableau!$AT$8")</f>
        <v/>
      </c>
    </row>
    <row r="3789">
      <c r="A3789" s="397">
        <f t="array" ref="A3789">INDIRECT("Tableau!$A$9")</f>
        <v>108</v>
      </c>
      <c r="B3789" s="398" t="s">
        <v>479</v>
      </c>
      <c r="C3789" s="400" t="str">
        <f t="array" ref="C3789">INDIRECT("Tableau!$AS$9")</f>
        <v>Schmidt cuisines- Wavre </v>
      </c>
      <c r="D3789" s="400" t="str">
        <f t="shared" si="22"/>
        <v>IN</v>
      </c>
      <c r="E3789" s="403" t="str">
        <f t="array" ref="E3789">INDIRECT("Tableau!$AT$9")</f>
        <v/>
      </c>
    </row>
    <row r="3790">
      <c r="A3790" s="402">
        <f t="array" ref="A3790">INDIRECT("Tableau!$A$10")</f>
        <v>109</v>
      </c>
      <c r="B3790" s="398" t="s">
        <v>479</v>
      </c>
      <c r="C3790" s="400" t="str">
        <f t="array" ref="C3790">INDIRECT("Tableau!$AS$10")</f>
        <v/>
      </c>
      <c r="D3790" s="400" t="str">
        <f t="shared" si="22"/>
        <v>IN</v>
      </c>
      <c r="E3790" s="403" t="str">
        <f t="array" ref="E3790">INDIRECT("Tableau!$AT$10")</f>
        <v/>
      </c>
    </row>
    <row r="3791">
      <c r="A3791" s="402">
        <f t="array" ref="A3791">INDIRECT("Tableau!$A$11")</f>
        <v>110</v>
      </c>
      <c r="B3791" s="398" t="s">
        <v>479</v>
      </c>
      <c r="C3791" s="400" t="str">
        <f t="array" ref="C3791">INDIRECT("Tableau!$AS$11")</f>
        <v/>
      </c>
      <c r="D3791" s="400" t="str">
        <f t="shared" si="22"/>
        <v>IN</v>
      </c>
      <c r="E3791" s="403" t="str">
        <f t="array" ref="E3791">INDIRECT("Tableau!$AT$11")</f>
        <v/>
      </c>
    </row>
    <row r="3792">
      <c r="A3792" s="402">
        <f t="array" ref="A3792">INDIRECT("Tableau!$A$12")</f>
        <v>111</v>
      </c>
      <c r="B3792" s="398" t="s">
        <v>479</v>
      </c>
      <c r="C3792" s="400" t="str">
        <f t="array" ref="C3792">INDIRECT("Tableau!$AS$12")</f>
        <v>Schmidt cuisines- Wavre </v>
      </c>
      <c r="D3792" s="400" t="str">
        <f t="shared" si="22"/>
        <v>IN</v>
      </c>
      <c r="E3792" s="403" t="str">
        <f t="array" ref="E3792">INDIRECT("Tableau!$AT$12")</f>
        <v/>
      </c>
    </row>
    <row r="3793">
      <c r="A3793" s="402">
        <f t="array" ref="A3793">INDIRECT("Tableau!$A$13")</f>
        <v>112</v>
      </c>
      <c r="B3793" s="398" t="s">
        <v>479</v>
      </c>
      <c r="C3793" s="400" t="str">
        <f t="array" ref="C3793">INDIRECT("Tableau!$AS$13")</f>
        <v/>
      </c>
      <c r="D3793" s="400" t="str">
        <f t="shared" si="22"/>
        <v>IN</v>
      </c>
      <c r="E3793" s="403" t="str">
        <f t="array" ref="E3793">INDIRECT("Tableau!$AT$13")</f>
        <v/>
      </c>
    </row>
    <row r="3794">
      <c r="A3794" s="402">
        <f t="array" ref="A3794">INDIRECT("Tableau!$A$14")</f>
        <v>113</v>
      </c>
      <c r="B3794" s="398" t="s">
        <v>479</v>
      </c>
      <c r="C3794" s="400" t="str">
        <f t="array" ref="C3794">INDIRECT("Tableau!$AS$14")</f>
        <v/>
      </c>
      <c r="D3794" s="400" t="str">
        <f t="shared" si="22"/>
        <v>IN</v>
      </c>
      <c r="E3794" s="403" t="str">
        <f t="array" ref="E3794">INDIRECT("Tableau!$AT$14")</f>
        <v/>
      </c>
    </row>
    <row r="3795">
      <c r="A3795" s="397">
        <f t="array" ref="A3795">INDIRECT("Tableau!$A$15")</f>
        <v>114</v>
      </c>
      <c r="B3795" s="398" t="s">
        <v>479</v>
      </c>
      <c r="C3795" s="400" t="str">
        <f t="array" ref="C3795">INDIRECT("Tableau!$AS$15")</f>
        <v/>
      </c>
      <c r="D3795" s="400" t="str">
        <f t="shared" si="22"/>
        <v>IN</v>
      </c>
      <c r="E3795" s="403" t="str">
        <f t="array" ref="E3795">INDIRECT("Tableau!$AT$15")</f>
        <v/>
      </c>
    </row>
    <row r="3796">
      <c r="A3796" s="397" t="str">
        <f t="array" ref="A3796">INDIRECT("Tableau!$A$16")</f>
        <v/>
      </c>
      <c r="B3796" s="398" t="s">
        <v>479</v>
      </c>
      <c r="C3796" s="400" t="str">
        <f t="array" ref="C3796">INDIRECT("Tableau!$AS$16")</f>
        <v/>
      </c>
      <c r="D3796" s="400" t="str">
        <f t="shared" si="22"/>
        <v>IN</v>
      </c>
      <c r="E3796" s="403" t="str">
        <f t="array" ref="E3796">INDIRECT("Tableau!$AT$16")</f>
        <v/>
      </c>
    </row>
    <row r="3797">
      <c r="A3797" s="397" t="str">
        <f t="array" ref="A3797">INDIRECT("Tableau!$A$17")</f>
        <v/>
      </c>
      <c r="B3797" s="398" t="s">
        <v>479</v>
      </c>
      <c r="C3797" s="400" t="str">
        <f t="array" ref="C3797">INDIRECT("Tableau!$AS$17")</f>
        <v/>
      </c>
      <c r="D3797" s="400" t="str">
        <f t="shared" si="22"/>
        <v>IN</v>
      </c>
      <c r="E3797" s="403" t="str">
        <f t="array" ref="E3797">INDIRECT("Tableau!$AT$17")</f>
        <v/>
      </c>
    </row>
    <row r="3798">
      <c r="A3798" s="397" t="str">
        <f t="array" ref="A3798">INDIRECT("Tableau!$A$18")</f>
        <v/>
      </c>
      <c r="B3798" s="398" t="s">
        <v>479</v>
      </c>
      <c r="C3798" s="400" t="str">
        <f t="array" ref="C3798">INDIRECT("Tableau!$AS$18")</f>
        <v/>
      </c>
      <c r="D3798" s="400" t="str">
        <f t="shared" si="22"/>
        <v>IN</v>
      </c>
      <c r="E3798" s="403" t="str">
        <f t="array" ref="E3798">INDIRECT("Tableau!$AT$18")</f>
        <v/>
      </c>
    </row>
    <row r="3799">
      <c r="A3799" s="397" t="str">
        <f t="array" ref="A3799">INDIRECT("Tableau!$A$19")</f>
        <v/>
      </c>
      <c r="B3799" s="398" t="s">
        <v>479</v>
      </c>
      <c r="C3799" s="400" t="str">
        <f t="array" ref="C3799">INDIRECT("Tableau!$AS$19")</f>
        <v/>
      </c>
      <c r="D3799" s="400" t="str">
        <f t="shared" si="22"/>
        <v>IN</v>
      </c>
      <c r="E3799" s="403" t="str">
        <f t="array" ref="E3799">INDIRECT("Tableau!$AT$19")</f>
        <v/>
      </c>
    </row>
    <row r="3800">
      <c r="A3800" s="397" t="str">
        <f t="array" ref="A3800">INDIRECT("Tableau!$A$20")</f>
        <v/>
      </c>
      <c r="B3800" s="398" t="s">
        <v>479</v>
      </c>
      <c r="C3800" s="400" t="str">
        <f t="array" ref="C3800">INDIRECT("Tableau!$AS$20")</f>
        <v/>
      </c>
      <c r="D3800" s="400" t="str">
        <f t="shared" si="22"/>
        <v>IN</v>
      </c>
      <c r="E3800" s="403" t="str">
        <f t="array" ref="E3800">INDIRECT("Tableau!$AT$20")</f>
        <v/>
      </c>
    </row>
    <row r="3801">
      <c r="A3801" s="397" t="str">
        <f t="array" ref="A3801">INDIRECT("Tableau!$A$21")</f>
        <v/>
      </c>
      <c r="B3801" s="398" t="s">
        <v>479</v>
      </c>
      <c r="C3801" s="400" t="str">
        <f t="array" ref="C3801">INDIRECT("Tableau!$AS$21")</f>
        <v/>
      </c>
      <c r="D3801" s="400" t="str">
        <f t="shared" si="22"/>
        <v>IN</v>
      </c>
      <c r="E3801" s="403" t="str">
        <f t="array" ref="E3801">INDIRECT("Tableau!$AT$21")</f>
        <v/>
      </c>
    </row>
    <row r="3802">
      <c r="A3802" s="397" t="str">
        <f t="array" ref="A3802">INDIRECT("Tableau!$A$22")</f>
        <v/>
      </c>
      <c r="B3802" s="398" t="s">
        <v>479</v>
      </c>
      <c r="C3802" s="400" t="str">
        <f t="array" ref="C3802">INDIRECT("Tableau!$AS$22")</f>
        <v/>
      </c>
      <c r="D3802" s="400" t="str">
        <f t="shared" si="22"/>
        <v>IN</v>
      </c>
      <c r="E3802" s="403" t="str">
        <f t="array" ref="E3802">INDIRECT("Tableau!$AT$22")</f>
        <v/>
      </c>
    </row>
    <row r="3803">
      <c r="A3803" s="397" t="str">
        <f t="array" ref="A3803">INDIRECT("Tableau!$A$23")</f>
        <v/>
      </c>
      <c r="B3803" s="398" t="s">
        <v>479</v>
      </c>
      <c r="C3803" s="400" t="str">
        <f t="array" ref="C3803">INDIRECT("Tableau!$AS$23")</f>
        <v/>
      </c>
      <c r="D3803" s="400" t="str">
        <f t="shared" si="22"/>
        <v>IN</v>
      </c>
      <c r="E3803" s="403" t="str">
        <f t="array" ref="E3803">INDIRECT("Tableau!$AT$23")</f>
        <v/>
      </c>
    </row>
    <row r="3804">
      <c r="A3804" s="397" t="str">
        <f t="array" ref="A3804">INDIRECT("Tableau!$A$24")</f>
        <v/>
      </c>
      <c r="B3804" s="398" t="s">
        <v>479</v>
      </c>
      <c r="C3804" s="400" t="str">
        <f t="array" ref="C3804">INDIRECT("Tableau!$AS$24")</f>
        <v/>
      </c>
      <c r="D3804" s="400" t="str">
        <f t="shared" si="22"/>
        <v>IN</v>
      </c>
      <c r="E3804" s="403" t="str">
        <f t="array" ref="E3804">INDIRECT("Tableau!$AT$24")</f>
        <v/>
      </c>
    </row>
    <row r="3805">
      <c r="A3805" s="397" t="str">
        <f t="array" ref="A3805">INDIRECT("Tableau!$A$25")</f>
        <v/>
      </c>
      <c r="B3805" s="398" t="s">
        <v>479</v>
      </c>
      <c r="C3805" s="400" t="str">
        <f t="array" ref="C3805">INDIRECT("Tableau!$AS$25")</f>
        <v/>
      </c>
      <c r="D3805" s="400" t="str">
        <f t="shared" si="22"/>
        <v>IN</v>
      </c>
      <c r="E3805" s="403" t="str">
        <f t="array" ref="E3805">INDIRECT("Tableau!$AT$25")</f>
        <v/>
      </c>
    </row>
    <row r="3806">
      <c r="A3806" s="402">
        <f t="array" ref="A3806">INDIRECT("Tableau!$A$26")</f>
        <v>201</v>
      </c>
      <c r="B3806" s="398" t="s">
        <v>479</v>
      </c>
      <c r="C3806" s="400" t="str">
        <f t="array" ref="C3806">INDIRECT("Tableau!$AS$26")</f>
        <v/>
      </c>
      <c r="D3806" s="400" t="str">
        <f t="shared" si="22"/>
        <v>IN</v>
      </c>
      <c r="E3806" s="403" t="str">
        <f t="array" ref="E3806">INDIRECT("Tableau!$AT$26")</f>
        <v/>
      </c>
    </row>
    <row r="3807">
      <c r="A3807" s="402">
        <f t="array" ref="A3807">INDIRECT("Tableau!$A$27")</f>
        <v>202</v>
      </c>
      <c r="B3807" s="398" t="s">
        <v>479</v>
      </c>
      <c r="C3807" s="400" t="str">
        <f t="array" ref="C3807">INDIRECT("Tableau!$AS$27")</f>
        <v/>
      </c>
      <c r="D3807" s="400" t="str">
        <f t="shared" si="22"/>
        <v>IN</v>
      </c>
      <c r="E3807" s="403" t="str">
        <f t="array" ref="E3807">INDIRECT("Tableau!$AT$27")</f>
        <v/>
      </c>
    </row>
    <row r="3808">
      <c r="A3808" s="402">
        <f t="array" ref="A3808">INDIRECT("Tableau!$A$28")</f>
        <v>203</v>
      </c>
      <c r="B3808" s="398" t="s">
        <v>479</v>
      </c>
      <c r="C3808" s="400" t="str">
        <f t="array" ref="C3808">INDIRECT("Tableau!$AS$28")</f>
        <v/>
      </c>
      <c r="D3808" s="400" t="str">
        <f t="shared" si="22"/>
        <v>IN</v>
      </c>
      <c r="E3808" s="403" t="str">
        <f t="array" ref="E3808">INDIRECT("Tableau!$AT$28")</f>
        <v/>
      </c>
    </row>
    <row r="3809">
      <c r="A3809" s="402">
        <f t="array" ref="A3809">INDIRECT("Tableau!$A$29")</f>
        <v>204</v>
      </c>
      <c r="B3809" s="398" t="s">
        <v>479</v>
      </c>
      <c r="C3809" s="400" t="str">
        <f t="array" ref="C3809">INDIRECT("Tableau!$AS$29")</f>
        <v/>
      </c>
      <c r="D3809" s="400" t="str">
        <f t="shared" si="22"/>
        <v>IN</v>
      </c>
      <c r="E3809" s="403" t="str">
        <f t="array" ref="E3809">INDIRECT("Tableau!$AT$29")</f>
        <v/>
      </c>
    </row>
    <row r="3810">
      <c r="A3810" s="402">
        <f t="array" ref="A3810">INDIRECT("Tableau!$A$30")</f>
        <v>205</v>
      </c>
      <c r="B3810" s="398" t="s">
        <v>479</v>
      </c>
      <c r="C3810" s="400" t="str">
        <f t="array" ref="C3810">INDIRECT("Tableau!$AS$30")</f>
        <v/>
      </c>
      <c r="D3810" s="400" t="str">
        <f t="shared" si="22"/>
        <v>IN</v>
      </c>
      <c r="E3810" s="403" t="str">
        <f t="array" ref="E3810">INDIRECT("Tableau!$AT$30")</f>
        <v/>
      </c>
    </row>
    <row r="3811">
      <c r="A3811" s="402">
        <f t="array" ref="A3811">INDIRECT("Tableau!$A$31")</f>
        <v>206</v>
      </c>
      <c r="B3811" s="398" t="s">
        <v>479</v>
      </c>
      <c r="C3811" s="400" t="str">
        <f t="array" ref="C3811">INDIRECT("Tableau!$AS$31")</f>
        <v/>
      </c>
      <c r="D3811" s="400" t="str">
        <f t="shared" si="22"/>
        <v>IN</v>
      </c>
      <c r="E3811" s="403" t="str">
        <f t="array" ref="E3811">INDIRECT("Tableau!$AT$31")</f>
        <v/>
      </c>
    </row>
    <row r="3812">
      <c r="A3812" s="402">
        <f t="array" ref="A3812">INDIRECT("Tableau!$A$32")</f>
        <v>207</v>
      </c>
      <c r="B3812" s="398" t="s">
        <v>479</v>
      </c>
      <c r="C3812" s="400" t="str">
        <f t="array" ref="C3812">INDIRECT("Tableau!$AS$32")</f>
        <v/>
      </c>
      <c r="D3812" s="400" t="str">
        <f t="shared" si="22"/>
        <v>IN</v>
      </c>
      <c r="E3812" s="403" t="str">
        <f t="array" ref="E3812">INDIRECT("Tableau!$AT$32")</f>
        <v/>
      </c>
    </row>
    <row r="3813">
      <c r="A3813" s="402">
        <f t="array" ref="A3813">INDIRECT("Tableau!$A$33")</f>
        <v>208</v>
      </c>
      <c r="B3813" s="398" t="s">
        <v>479</v>
      </c>
      <c r="C3813" s="400" t="str">
        <f t="array" ref="C3813">INDIRECT("Tableau!$AS$33")</f>
        <v/>
      </c>
      <c r="D3813" s="400" t="str">
        <f t="shared" si="22"/>
        <v>IN</v>
      </c>
      <c r="E3813" s="403" t="str">
        <f t="array" ref="E3813">INDIRECT("Tableau!$AT$33")</f>
        <v/>
      </c>
    </row>
    <row r="3814">
      <c r="A3814" s="402">
        <f t="array" ref="A3814">INDIRECT("Tableau!$A$34")</f>
        <v>209</v>
      </c>
      <c r="B3814" s="398" t="s">
        <v>479</v>
      </c>
      <c r="C3814" s="400" t="str">
        <f t="array" ref="C3814">INDIRECT("Tableau!$AS$34")</f>
        <v/>
      </c>
      <c r="D3814" s="400" t="str">
        <f t="shared" si="22"/>
        <v>IN</v>
      </c>
      <c r="E3814" s="403" t="str">
        <f t="array" ref="E3814">INDIRECT("Tableau!$AT$34")</f>
        <v/>
      </c>
    </row>
    <row r="3815">
      <c r="A3815" s="402">
        <f t="array" ref="A3815">INDIRECT("Tableau!$A$35")</f>
        <v>210</v>
      </c>
      <c r="B3815" s="398" t="s">
        <v>479</v>
      </c>
      <c r="C3815" s="400" t="str">
        <f t="array" ref="C3815">INDIRECT("Tableau!$AS$35")</f>
        <v/>
      </c>
      <c r="D3815" s="400" t="str">
        <f t="shared" si="22"/>
        <v>IN</v>
      </c>
      <c r="E3815" s="403" t="str">
        <f t="array" ref="E3815">INDIRECT("Tableau!$AT$35")</f>
        <v/>
      </c>
    </row>
    <row r="3816">
      <c r="A3816" s="402">
        <f t="array" ref="A3816">INDIRECT("Tableau!$A$36")</f>
        <v>211</v>
      </c>
      <c r="B3816" s="398" t="s">
        <v>479</v>
      </c>
      <c r="C3816" s="400" t="str">
        <f t="array" ref="C3816">INDIRECT("Tableau!$AS$36")</f>
        <v/>
      </c>
      <c r="D3816" s="400" t="str">
        <f t="shared" si="22"/>
        <v>IN</v>
      </c>
      <c r="E3816" s="403" t="str">
        <f t="array" ref="E3816">INDIRECT("Tableau!$AT$36")</f>
        <v/>
      </c>
    </row>
    <row r="3817">
      <c r="A3817" s="402">
        <f t="array" ref="A3817">INDIRECT("Tableau!$A$37")</f>
        <v>212</v>
      </c>
      <c r="B3817" s="398" t="s">
        <v>479</v>
      </c>
      <c r="C3817" s="400" t="str">
        <f t="array" ref="C3817">INDIRECT("Tableau!$AS$37")</f>
        <v/>
      </c>
      <c r="D3817" s="400" t="str">
        <f t="shared" si="22"/>
        <v>IN</v>
      </c>
      <c r="E3817" s="403" t="str">
        <f t="array" ref="E3817">INDIRECT("Tableau!$AT$37")</f>
        <v/>
      </c>
    </row>
    <row r="3818">
      <c r="A3818" s="402">
        <f t="array" ref="A3818">INDIRECT("Tableau!$A$38")</f>
        <v>213</v>
      </c>
      <c r="B3818" s="398" t="s">
        <v>479</v>
      </c>
      <c r="C3818" s="400" t="str">
        <f t="array" ref="C3818">INDIRECT("Tableau!$AS$38")</f>
        <v/>
      </c>
      <c r="D3818" s="400" t="str">
        <f t="shared" si="22"/>
        <v>IN</v>
      </c>
      <c r="E3818" s="403" t="str">
        <f t="array" ref="E3818">INDIRECT("Tableau!$AT$38")</f>
        <v/>
      </c>
    </row>
    <row r="3819">
      <c r="A3819" s="402">
        <f t="array" ref="A3819">INDIRECT("Tableau!$A$39")</f>
        <v>214</v>
      </c>
      <c r="B3819" s="398" t="s">
        <v>479</v>
      </c>
      <c r="C3819" s="400" t="str">
        <f t="array" ref="C3819">INDIRECT("Tableau!$AS$39")</f>
        <v/>
      </c>
      <c r="D3819" s="400" t="str">
        <f t="shared" si="22"/>
        <v>IN</v>
      </c>
      <c r="E3819" s="403" t="str">
        <f t="array" ref="E3819">INDIRECT("Tableau!$AT$39")</f>
        <v/>
      </c>
    </row>
    <row r="3820">
      <c r="A3820" s="402">
        <f t="array" ref="A3820">INDIRECT("Tableau!$A$40")</f>
        <v>215</v>
      </c>
      <c r="B3820" s="398" t="s">
        <v>479</v>
      </c>
      <c r="C3820" s="400" t="str">
        <f t="array" ref="C3820">INDIRECT("Tableau!$AS$40")</f>
        <v/>
      </c>
      <c r="D3820" s="400" t="str">
        <f t="shared" si="22"/>
        <v>IN</v>
      </c>
      <c r="E3820" s="403" t="str">
        <f t="array" ref="E3820">INDIRECT("Tableau!$AT$40")</f>
        <v/>
      </c>
    </row>
    <row r="3821">
      <c r="A3821" s="402">
        <f t="array" ref="A3821">INDIRECT("Tableau!$A$41")</f>
        <v>216</v>
      </c>
      <c r="B3821" s="398" t="s">
        <v>479</v>
      </c>
      <c r="C3821" s="400" t="str">
        <f t="array" ref="C3821">INDIRECT("Tableau!$AS$41")</f>
        <v/>
      </c>
      <c r="D3821" s="400" t="str">
        <f t="shared" si="22"/>
        <v>IN</v>
      </c>
      <c r="E3821" s="403" t="str">
        <f t="array" ref="E3821">INDIRECT("Tableau!$AT$41")</f>
        <v/>
      </c>
    </row>
    <row r="3822">
      <c r="A3822" s="402">
        <f t="array" ref="A3822">INDIRECT("Tableau!$A$42")</f>
        <v>227</v>
      </c>
      <c r="B3822" s="398" t="s">
        <v>479</v>
      </c>
      <c r="C3822" s="400" t="str">
        <f t="array" ref="C3822">INDIRECT("Tableau!$AS$42")</f>
        <v/>
      </c>
      <c r="D3822" s="400" t="str">
        <f t="shared" si="22"/>
        <v>IN</v>
      </c>
      <c r="E3822" s="403" t="str">
        <f t="array" ref="E3822">INDIRECT("Tableau!$AT$42")</f>
        <v/>
      </c>
    </row>
    <row r="3823">
      <c r="A3823" s="402">
        <f t="array" ref="A3823">INDIRECT("Tableau!$A$43")</f>
        <v>217</v>
      </c>
      <c r="B3823" s="398" t="s">
        <v>479</v>
      </c>
      <c r="C3823" s="400" t="str">
        <f t="array" ref="C3823">INDIRECT("Tableau!$AS$43")</f>
        <v/>
      </c>
      <c r="D3823" s="400" t="str">
        <f t="shared" si="22"/>
        <v>IN</v>
      </c>
      <c r="E3823" s="403" t="str">
        <f t="array" ref="E3823">INDIRECT("Tableau!$AT$43")</f>
        <v/>
      </c>
    </row>
    <row r="3824">
      <c r="A3824" s="402">
        <f t="array" ref="A3824">INDIRECT("Tableau!$A$44")</f>
        <v>218</v>
      </c>
      <c r="B3824" s="398" t="s">
        <v>479</v>
      </c>
      <c r="C3824" s="400" t="str">
        <f t="array" ref="C3824">INDIRECT("Tableau!$AS$44")</f>
        <v/>
      </c>
      <c r="D3824" s="400" t="str">
        <f t="shared" si="22"/>
        <v>IN</v>
      </c>
      <c r="E3824" s="403" t="str">
        <f t="array" ref="E3824">INDIRECT("Tableau!$AT$44")</f>
        <v/>
      </c>
    </row>
    <row r="3825">
      <c r="A3825" s="397" t="str">
        <f t="array" ref="A3825">INDIRECT("Tableau!$A$45")</f>
        <v/>
      </c>
      <c r="B3825" s="398" t="s">
        <v>479</v>
      </c>
      <c r="C3825" s="400" t="str">
        <f t="array" ref="C3825">INDIRECT("Tableau!$AS$45")</f>
        <v/>
      </c>
      <c r="D3825" s="400" t="str">
        <f t="shared" si="22"/>
        <v>IN</v>
      </c>
      <c r="E3825" s="403" t="str">
        <f t="array" ref="E3825">INDIRECT("Tableau!$AT$45")</f>
        <v/>
      </c>
    </row>
    <row r="3826">
      <c r="A3826" s="402">
        <f t="array" ref="A3826">INDIRECT("Tableau!$A$46")</f>
        <v>220</v>
      </c>
      <c r="B3826" s="398" t="s">
        <v>479</v>
      </c>
      <c r="C3826" s="400" t="str">
        <f t="array" ref="C3826">INDIRECT("Tableau!$AS$46")</f>
        <v/>
      </c>
      <c r="D3826" s="400" t="str">
        <f t="shared" si="22"/>
        <v>IN</v>
      </c>
      <c r="E3826" s="403" t="str">
        <f t="array" ref="E3826">INDIRECT("Tableau!$AT$46")</f>
        <v/>
      </c>
    </row>
    <row r="3827">
      <c r="A3827" s="402">
        <f t="array" ref="A3827">INDIRECT("Tableau!$A$47")</f>
        <v>221</v>
      </c>
      <c r="B3827" s="398" t="s">
        <v>479</v>
      </c>
      <c r="C3827" s="400" t="str">
        <f t="array" ref="C3827">INDIRECT("Tableau!$AS$47")</f>
        <v/>
      </c>
      <c r="D3827" s="400" t="str">
        <f t="shared" si="22"/>
        <v>IN</v>
      </c>
      <c r="E3827" s="403" t="str">
        <f t="array" ref="E3827">INDIRECT("Tableau!$AT$47")</f>
        <v/>
      </c>
    </row>
    <row r="3828">
      <c r="A3828" s="402">
        <f t="array" ref="A3828">INDIRECT("Tableau!$A$48")</f>
        <v>226</v>
      </c>
      <c r="B3828" s="398" t="s">
        <v>479</v>
      </c>
      <c r="C3828" s="400" t="str">
        <f t="array" ref="C3828">INDIRECT("Tableau!$AS$48")</f>
        <v/>
      </c>
      <c r="D3828" s="400" t="str">
        <f t="shared" si="22"/>
        <v>IN</v>
      </c>
      <c r="E3828" s="403" t="str">
        <f t="array" ref="E3828">INDIRECT("Tableau!$AT$48")</f>
        <v/>
      </c>
    </row>
    <row r="3829">
      <c r="A3829" s="402">
        <f t="array" ref="A3829">INDIRECT("Tableau!$A$49")</f>
        <v>222</v>
      </c>
      <c r="B3829" s="398" t="s">
        <v>479</v>
      </c>
      <c r="C3829" s="400" t="str">
        <f t="array" ref="C3829">INDIRECT("Tableau!$AS$49")</f>
        <v/>
      </c>
      <c r="D3829" s="400" t="str">
        <f t="shared" si="22"/>
        <v>IN</v>
      </c>
      <c r="E3829" s="403" t="str">
        <f t="array" ref="E3829">INDIRECT("Tableau!$AT$49")</f>
        <v/>
      </c>
    </row>
    <row r="3830">
      <c r="A3830" s="402">
        <f t="array" ref="A3830">INDIRECT("Tableau!$A$50")</f>
        <v>224</v>
      </c>
      <c r="B3830" s="398" t="s">
        <v>479</v>
      </c>
      <c r="C3830" s="400" t="str">
        <f t="array" ref="C3830">INDIRECT("Tableau!$AS$50")</f>
        <v/>
      </c>
      <c r="D3830" s="400" t="str">
        <f t="shared" si="22"/>
        <v>IN</v>
      </c>
      <c r="E3830" s="403" t="str">
        <f t="array" ref="E3830">INDIRECT("Tableau!$AT$50")</f>
        <v/>
      </c>
    </row>
    <row r="3831">
      <c r="A3831" s="397">
        <f t="array" ref="A3831">INDIRECT("Tableau!$A$51")</f>
        <v>223</v>
      </c>
      <c r="B3831" s="398" t="s">
        <v>479</v>
      </c>
      <c r="C3831" s="400" t="str">
        <f t="array" ref="C3831">INDIRECT("Tableau!$AS$51")</f>
        <v/>
      </c>
      <c r="D3831" s="400" t="str">
        <f t="shared" si="22"/>
        <v>IN</v>
      </c>
      <c r="E3831" s="403" t="str">
        <f t="array" ref="E3831">INDIRECT("Tableau!$AT$51")</f>
        <v/>
      </c>
    </row>
    <row r="3832">
      <c r="A3832" s="402">
        <f t="array" ref="A3832">INDIRECT("Tableau!$A$52")</f>
        <v>225</v>
      </c>
      <c r="B3832" s="398" t="s">
        <v>479</v>
      </c>
      <c r="C3832" s="400" t="str">
        <f t="array" ref="C3832">INDIRECT("Tableau!$AS$52")</f>
        <v>DEMA</v>
      </c>
      <c r="D3832" s="400" t="str">
        <f t="shared" si="22"/>
        <v>IN</v>
      </c>
      <c r="E3832" s="403" t="str">
        <f t="array" ref="E3832">INDIRECT("Tableau!$AT$52")</f>
        <v/>
      </c>
    </row>
    <row r="3833">
      <c r="A3833" s="402">
        <f t="array" ref="A3833">INDIRECT("Tableau!$A$53")</f>
        <v>230</v>
      </c>
      <c r="B3833" s="398" t="s">
        <v>479</v>
      </c>
      <c r="C3833" s="400" t="str">
        <f t="array" ref="C3833">INDIRECT("Tableau!$AS$53")</f>
        <v>DEMA</v>
      </c>
      <c r="D3833" s="400" t="str">
        <f t="shared" si="22"/>
        <v>IN</v>
      </c>
      <c r="E3833" s="403" t="str">
        <f t="array" ref="E3833">INDIRECT("Tableau!$AT$53")</f>
        <v/>
      </c>
    </row>
    <row r="3834">
      <c r="A3834" s="397">
        <f t="array" ref="A3834">INDIRECT("Tableau!$A$54")</f>
        <v>231</v>
      </c>
      <c r="B3834" s="398" t="s">
        <v>479</v>
      </c>
      <c r="C3834" s="400" t="str">
        <f t="array" ref="C3834">INDIRECT("Tableau!$AS$54")</f>
        <v/>
      </c>
      <c r="D3834" s="400" t="str">
        <f t="shared" si="22"/>
        <v>IN</v>
      </c>
      <c r="E3834" s="403" t="str">
        <f t="array" ref="E3834">INDIRECT("Tableau!$AT$54")</f>
        <v/>
      </c>
    </row>
    <row r="3835">
      <c r="A3835" s="397" t="str">
        <f t="array" ref="A3835">INDIRECT("Tableau!$A$55")</f>
        <v/>
      </c>
      <c r="B3835" s="398" t="s">
        <v>479</v>
      </c>
      <c r="C3835" s="400" t="str">
        <f t="array" ref="C3835">INDIRECT("Tableau!$AS$55")</f>
        <v/>
      </c>
      <c r="D3835" s="400" t="str">
        <f t="shared" si="22"/>
        <v>IN</v>
      </c>
      <c r="E3835" s="403" t="str">
        <f t="array" ref="E3835">INDIRECT("Tableau!$AT$55")</f>
        <v/>
      </c>
    </row>
    <row r="3836">
      <c r="A3836" s="397" t="str">
        <f t="array" ref="A3836">INDIRECT("Tableau!$A$56")</f>
        <v/>
      </c>
      <c r="B3836" s="398" t="s">
        <v>479</v>
      </c>
      <c r="C3836" s="400" t="str">
        <f t="array" ref="C3836">INDIRECT("Tableau!$AS$56")</f>
        <v/>
      </c>
      <c r="D3836" s="400" t="str">
        <f t="shared" si="22"/>
        <v>IN</v>
      </c>
      <c r="E3836" s="403" t="str">
        <f t="array" ref="E3836">INDIRECT("Tableau!$AT$56")</f>
        <v/>
      </c>
    </row>
    <row r="3837">
      <c r="A3837" s="397" t="str">
        <f t="array" ref="A3837">INDIRECT("Tableau!$A$57")</f>
        <v/>
      </c>
      <c r="B3837" s="398" t="s">
        <v>479</v>
      </c>
      <c r="C3837" s="400" t="str">
        <f t="array" ref="C3837">INDIRECT("Tableau!$AS$57")</f>
        <v/>
      </c>
      <c r="D3837" s="400" t="str">
        <f t="shared" si="22"/>
        <v>IN</v>
      </c>
      <c r="E3837" s="403" t="str">
        <f t="array" ref="E3837">INDIRECT("Tableau!$AT$57")</f>
        <v/>
      </c>
    </row>
    <row r="3838">
      <c r="A3838" s="397" t="str">
        <f t="array" ref="A3838">INDIRECT("Tableau!$A$58")</f>
        <v/>
      </c>
      <c r="B3838" s="398" t="s">
        <v>479</v>
      </c>
      <c r="C3838" s="400" t="str">
        <f t="array" ref="C3838">INDIRECT("Tableau!$AS$58")</f>
        <v/>
      </c>
      <c r="D3838" s="400" t="str">
        <f t="shared" si="22"/>
        <v>IN</v>
      </c>
      <c r="E3838" s="403" t="str">
        <f t="array" ref="E3838">INDIRECT("Tableau!$AT$58")</f>
        <v/>
      </c>
    </row>
    <row r="3839">
      <c r="A3839" s="397" t="str">
        <f t="array" ref="A3839">INDIRECT("Tableau!$A$59")</f>
        <v/>
      </c>
      <c r="B3839" s="398" t="s">
        <v>479</v>
      </c>
      <c r="C3839" s="400" t="str">
        <f t="array" ref="C3839">INDIRECT("Tableau!$AS$59")</f>
        <v/>
      </c>
      <c r="D3839" s="400" t="str">
        <f t="shared" si="22"/>
        <v>IN</v>
      </c>
      <c r="E3839" s="403" t="str">
        <f t="array" ref="E3839">INDIRECT("Tableau!$AT$59")</f>
        <v/>
      </c>
    </row>
    <row r="3840">
      <c r="A3840" s="397" t="str">
        <f t="array" ref="A3840">INDIRECT("Tableau!$A$60")</f>
        <v/>
      </c>
      <c r="B3840" s="398" t="s">
        <v>479</v>
      </c>
      <c r="C3840" s="400" t="str">
        <f t="array" ref="C3840">INDIRECT("Tableau!$AS$60")</f>
        <v/>
      </c>
      <c r="D3840" s="400" t="str">
        <f t="shared" si="22"/>
        <v>IN</v>
      </c>
      <c r="E3840" s="403" t="str">
        <f t="array" ref="E3840">INDIRECT("Tableau!$AT$60")</f>
        <v/>
      </c>
    </row>
    <row r="3841">
      <c r="A3841" s="397" t="str">
        <f t="array" ref="A3841">INDIRECT("Tableau!$A$61")</f>
        <v/>
      </c>
      <c r="B3841" s="398" t="s">
        <v>479</v>
      </c>
      <c r="C3841" s="400" t="str">
        <f t="array" ref="C3841">INDIRECT("Tableau!$AS$61")</f>
        <v/>
      </c>
      <c r="D3841" s="400" t="str">
        <f t="shared" si="22"/>
        <v>IN</v>
      </c>
      <c r="E3841" s="403" t="str">
        <f t="array" ref="E3841">INDIRECT("Tableau!$AT$61")</f>
        <v/>
      </c>
    </row>
    <row r="3842">
      <c r="A3842" s="397" t="str">
        <f t="array" ref="A3842">INDIRECT("Tableau!$A$62")</f>
        <v/>
      </c>
      <c r="B3842" s="398" t="s">
        <v>479</v>
      </c>
      <c r="C3842" s="400" t="str">
        <f t="array" ref="C3842">INDIRECT("Tableau!$AS$62")</f>
        <v/>
      </c>
      <c r="D3842" s="400" t="str">
        <f t="shared" si="22"/>
        <v>IN</v>
      </c>
      <c r="E3842" s="403" t="str">
        <f t="array" ref="E3842">INDIRECT("Tableau!$AT$62")</f>
        <v/>
      </c>
    </row>
    <row r="3843">
      <c r="A3843" s="397" t="str">
        <f t="array" ref="A3843">INDIRECT("Tableau!$A$63")</f>
        <v/>
      </c>
      <c r="B3843" s="398" t="s">
        <v>479</v>
      </c>
      <c r="C3843" s="400" t="str">
        <f t="array" ref="C3843">INDIRECT("Tableau!$AS$63")</f>
        <v/>
      </c>
      <c r="D3843" s="400" t="str">
        <f t="shared" si="22"/>
        <v>IN</v>
      </c>
      <c r="E3843" s="403" t="str">
        <f t="array" ref="E3843">INDIRECT("Tableau!$AT$63")</f>
        <v/>
      </c>
    </row>
    <row r="3844">
      <c r="A3844" s="397" t="str">
        <f t="array" ref="A3844">INDIRECT("Tableau!$A$64")</f>
        <v/>
      </c>
      <c r="B3844" s="398" t="s">
        <v>479</v>
      </c>
      <c r="C3844" s="400" t="str">
        <f t="array" ref="C3844">INDIRECT("Tableau!$AS$64")</f>
        <v/>
      </c>
      <c r="D3844" s="400" t="str">
        <f t="shared" si="22"/>
        <v>IN</v>
      </c>
      <c r="E3844" s="403" t="str">
        <f t="array" ref="E3844">INDIRECT("Tableau!$AT$64")</f>
        <v/>
      </c>
    </row>
    <row r="3845">
      <c r="A3845" s="402">
        <f t="array" ref="A3845">INDIRECT("Tableau!$A$65")</f>
        <v>301</v>
      </c>
      <c r="B3845" s="398" t="s">
        <v>479</v>
      </c>
      <c r="C3845" s="400" t="str">
        <f t="array" ref="C3845">INDIRECT("Tableau!$AS$65")</f>
        <v/>
      </c>
      <c r="D3845" s="400" t="str">
        <f t="shared" si="22"/>
        <v>IN</v>
      </c>
      <c r="E3845" s="403" t="str">
        <f t="array" ref="E3845">INDIRECT("Tableau!$AT$65")</f>
        <v/>
      </c>
    </row>
    <row r="3846">
      <c r="A3846" s="397" t="str">
        <f t="array" ref="A3846">INDIRECT("Tableau!$A$66")</f>
        <v/>
      </c>
      <c r="B3846" s="398" t="s">
        <v>479</v>
      </c>
      <c r="C3846" s="400" t="str">
        <f t="array" ref="C3846">INDIRECT("Tableau!$AS$66")</f>
        <v/>
      </c>
      <c r="D3846" s="400" t="str">
        <f t="shared" si="22"/>
        <v>IN</v>
      </c>
      <c r="E3846" s="403" t="str">
        <f t="array" ref="E3846">INDIRECT("Tableau!$AT$66")</f>
        <v/>
      </c>
    </row>
    <row r="3847">
      <c r="A3847" s="402">
        <f t="array" ref="A3847">INDIRECT("Tableau!$A$67")</f>
        <v>303</v>
      </c>
      <c r="B3847" s="398" t="s">
        <v>479</v>
      </c>
      <c r="C3847" s="400" t="str">
        <f t="array" ref="C3847">INDIRECT("Tableau!$AS$67")</f>
        <v/>
      </c>
      <c r="D3847" s="400" t="str">
        <f t="shared" si="22"/>
        <v>IN</v>
      </c>
      <c r="E3847" s="403" t="str">
        <f t="array" ref="E3847">INDIRECT("Tableau!$AT$67")</f>
        <v/>
      </c>
    </row>
    <row r="3848">
      <c r="A3848" s="402">
        <f t="array" ref="A3848">INDIRECT("Tableau!$A$68")</f>
        <v>304</v>
      </c>
      <c r="B3848" s="398" t="s">
        <v>479</v>
      </c>
      <c r="C3848" s="400" t="str">
        <f t="array" ref="C3848">INDIRECT("Tableau!$AS$68")</f>
        <v/>
      </c>
      <c r="D3848" s="400" t="str">
        <f t="shared" si="22"/>
        <v>IN</v>
      </c>
      <c r="E3848" s="403" t="str">
        <f t="array" ref="E3848">INDIRECT("Tableau!$AT$68")</f>
        <v/>
      </c>
    </row>
    <row r="3849">
      <c r="A3849" s="402">
        <f t="array" ref="A3849">INDIRECT("Tableau!$A$69")</f>
        <v>305</v>
      </c>
      <c r="B3849" s="398" t="s">
        <v>479</v>
      </c>
      <c r="C3849" s="400" t="str">
        <f t="array" ref="C3849">INDIRECT("Tableau!$AS$69")</f>
        <v/>
      </c>
      <c r="D3849" s="400" t="str">
        <f t="shared" si="22"/>
        <v>IN</v>
      </c>
      <c r="E3849" s="403" t="str">
        <f t="array" ref="E3849">INDIRECT("Tableau!$AT$69")</f>
        <v/>
      </c>
    </row>
    <row r="3850">
      <c r="A3850" s="402">
        <f t="array" ref="A3850">INDIRECT("Tableau!$A$70")</f>
        <v>306</v>
      </c>
      <c r="B3850" s="398" t="s">
        <v>479</v>
      </c>
      <c r="C3850" s="400" t="str">
        <f t="array" ref="C3850">INDIRECT("Tableau!$AS$70")</f>
        <v/>
      </c>
      <c r="D3850" s="400" t="str">
        <f t="shared" si="22"/>
        <v>IN</v>
      </c>
      <c r="E3850" s="403" t="str">
        <f t="array" ref="E3850">INDIRECT("Tableau!$AT$70")</f>
        <v/>
      </c>
    </row>
    <row r="3851">
      <c r="A3851" s="402">
        <f t="array" ref="A3851">INDIRECT("Tableau!$A$71")</f>
        <v>307</v>
      </c>
      <c r="B3851" s="398" t="s">
        <v>479</v>
      </c>
      <c r="C3851" s="400" t="str">
        <f t="array" ref="C3851">INDIRECT("Tableau!$AS$71")</f>
        <v/>
      </c>
      <c r="D3851" s="400" t="str">
        <f t="shared" si="22"/>
        <v>IN</v>
      </c>
      <c r="E3851" s="403" t="str">
        <f t="array" ref="E3851">INDIRECT("Tableau!$AT$71")</f>
        <v/>
      </c>
    </row>
    <row r="3852">
      <c r="A3852" s="397">
        <f t="array" ref="A3852">INDIRECT("Tableau!$A$72")</f>
        <v>367</v>
      </c>
      <c r="B3852" s="398" t="s">
        <v>479</v>
      </c>
      <c r="C3852" s="400" t="str">
        <f t="array" ref="C3852">INDIRECT("Tableau!$AS$72")</f>
        <v/>
      </c>
      <c r="D3852" s="400" t="str">
        <f t="shared" si="22"/>
        <v>IN</v>
      </c>
      <c r="E3852" s="403" t="str">
        <f t="array" ref="E3852">INDIRECT("Tableau!$AT$72")</f>
        <v/>
      </c>
    </row>
    <row r="3853">
      <c r="A3853" s="402">
        <f t="array" ref="A3853">INDIRECT("Tableau!$A$73")</f>
        <v>308</v>
      </c>
      <c r="B3853" s="398" t="s">
        <v>479</v>
      </c>
      <c r="C3853" s="400" t="str">
        <f t="array" ref="C3853">INDIRECT("Tableau!$AS$73")</f>
        <v/>
      </c>
      <c r="D3853" s="400" t="str">
        <f t="shared" si="22"/>
        <v>IN</v>
      </c>
      <c r="E3853" s="403" t="str">
        <f t="array" ref="E3853">INDIRECT("Tableau!$AT$73")</f>
        <v/>
      </c>
    </row>
    <row r="3854">
      <c r="A3854" s="397">
        <f t="array" ref="A3854">INDIRECT("Tableau!$A$74")</f>
        <v>319</v>
      </c>
      <c r="B3854" s="398" t="s">
        <v>479</v>
      </c>
      <c r="C3854" s="400" t="str">
        <f t="array" ref="C3854">INDIRECT("Tableau!$AS$74")</f>
        <v/>
      </c>
      <c r="D3854" s="400" t="str">
        <f t="shared" si="22"/>
        <v>IN</v>
      </c>
      <c r="E3854" s="403" t="str">
        <f t="array" ref="E3854">INDIRECT("Tableau!$AT$74")</f>
        <v/>
      </c>
    </row>
    <row r="3855">
      <c r="A3855" s="402">
        <f t="array" ref="A3855">INDIRECT("Tableau!$A$75")</f>
        <v>309</v>
      </c>
      <c r="B3855" s="398" t="s">
        <v>479</v>
      </c>
      <c r="C3855" s="400" t="str">
        <f t="array" ref="C3855">INDIRECT("Tableau!$AS$75")</f>
        <v/>
      </c>
      <c r="D3855" s="400" t="str">
        <f t="shared" si="22"/>
        <v>IN</v>
      </c>
      <c r="E3855" s="403" t="str">
        <f t="array" ref="E3855">INDIRECT("Tableau!$AT$75")</f>
        <v/>
      </c>
    </row>
    <row r="3856">
      <c r="A3856" s="402">
        <f t="array" ref="A3856">INDIRECT("Tableau!$A$76")</f>
        <v>310</v>
      </c>
      <c r="B3856" s="398" t="s">
        <v>479</v>
      </c>
      <c r="C3856" s="400" t="str">
        <f t="array" ref="C3856">INDIRECT("Tableau!$AS$76")</f>
        <v/>
      </c>
      <c r="D3856" s="400" t="str">
        <f t="shared" si="22"/>
        <v>IN</v>
      </c>
      <c r="E3856" s="403" t="str">
        <f t="array" ref="E3856">INDIRECT("Tableau!$AT$76")</f>
        <v/>
      </c>
    </row>
    <row r="3857">
      <c r="A3857" s="402">
        <f t="array" ref="A3857">INDIRECT("Tableau!$A$77")</f>
        <v>311</v>
      </c>
      <c r="B3857" s="398" t="s">
        <v>479</v>
      </c>
      <c r="C3857" s="400" t="str">
        <f t="array" ref="C3857">INDIRECT("Tableau!$AS$77")</f>
        <v>DPS</v>
      </c>
      <c r="D3857" s="400" t="str">
        <f t="shared" si="22"/>
        <v>IN</v>
      </c>
      <c r="E3857" s="403" t="str">
        <f t="array" ref="E3857">INDIRECT("Tableau!$AT$77")</f>
        <v/>
      </c>
    </row>
    <row r="3858">
      <c r="A3858" s="402">
        <f t="array" ref="A3858">INDIRECT("Tableau!$A$78")</f>
        <v>312</v>
      </c>
      <c r="B3858" s="398" t="s">
        <v>479</v>
      </c>
      <c r="C3858" s="400" t="str">
        <f t="array" ref="C3858">INDIRECT("Tableau!$AS$78")</f>
        <v/>
      </c>
      <c r="D3858" s="400" t="str">
        <f t="shared" si="22"/>
        <v>IN</v>
      </c>
      <c r="E3858" s="403" t="str">
        <f t="array" ref="E3858">INDIRECT("Tableau!$AT$78")</f>
        <v/>
      </c>
    </row>
    <row r="3859">
      <c r="A3859" s="402">
        <f t="array" ref="A3859">INDIRECT("Tableau!$A$79")</f>
        <v>313</v>
      </c>
      <c r="B3859" s="398" t="s">
        <v>479</v>
      </c>
      <c r="C3859" s="400" t="str">
        <f t="array" ref="C3859">INDIRECT("Tableau!$AS$79")</f>
        <v/>
      </c>
      <c r="D3859" s="400" t="str">
        <f t="shared" si="22"/>
        <v>IN</v>
      </c>
      <c r="E3859" s="403" t="str">
        <f t="array" ref="E3859">INDIRECT("Tableau!$AT$79")</f>
        <v/>
      </c>
    </row>
    <row r="3860">
      <c r="A3860" s="402">
        <f t="array" ref="A3860">INDIRECT("Tableau!$A$80")</f>
        <v>314</v>
      </c>
      <c r="B3860" s="398" t="s">
        <v>479</v>
      </c>
      <c r="C3860" s="400" t="str">
        <f t="array" ref="C3860">INDIRECT("Tableau!$AS$80")</f>
        <v/>
      </c>
      <c r="D3860" s="400" t="str">
        <f t="shared" si="22"/>
        <v>IN</v>
      </c>
      <c r="E3860" s="403" t="str">
        <f t="array" ref="E3860">INDIRECT("Tableau!$AT$80")</f>
        <v/>
      </c>
    </row>
    <row r="3861">
      <c r="A3861" s="402">
        <f t="array" ref="A3861">INDIRECT("Tableau!$A$81")</f>
        <v>315</v>
      </c>
      <c r="B3861" s="398" t="s">
        <v>479</v>
      </c>
      <c r="C3861" s="400" t="str">
        <f t="array" ref="C3861">INDIRECT("Tableau!$AS$81")</f>
        <v/>
      </c>
      <c r="D3861" s="400" t="str">
        <f t="shared" si="22"/>
        <v>IN</v>
      </c>
      <c r="E3861" s="403" t="str">
        <f t="array" ref="E3861">INDIRECT("Tableau!$AT$81")</f>
        <v/>
      </c>
    </row>
    <row r="3862">
      <c r="A3862" s="402">
        <f t="array" ref="A3862">INDIRECT("Tableau!$A$82")</f>
        <v>316</v>
      </c>
      <c r="B3862" s="398" t="s">
        <v>479</v>
      </c>
      <c r="C3862" s="400" t="str">
        <f t="array" ref="C3862">INDIRECT("Tableau!$AS$82")</f>
        <v/>
      </c>
      <c r="D3862" s="400" t="str">
        <f t="shared" si="22"/>
        <v>IN</v>
      </c>
      <c r="E3862" s="403" t="str">
        <f t="array" ref="E3862">INDIRECT("Tableau!$AT$82")</f>
        <v/>
      </c>
    </row>
    <row r="3863">
      <c r="A3863" s="402">
        <f t="array" ref="A3863">INDIRECT("Tableau!$A$83")</f>
        <v>317</v>
      </c>
      <c r="B3863" s="398" t="s">
        <v>479</v>
      </c>
      <c r="C3863" s="400" t="str">
        <f t="array" ref="C3863">INDIRECT("Tableau!$AS$83")</f>
        <v/>
      </c>
      <c r="D3863" s="400" t="str">
        <f t="shared" si="22"/>
        <v>IN</v>
      </c>
      <c r="E3863" s="403" t="str">
        <f t="array" ref="E3863">INDIRECT("Tableau!$AT$83")</f>
        <v/>
      </c>
    </row>
    <row r="3864">
      <c r="A3864" s="402">
        <f t="array" ref="A3864">INDIRECT("Tableau!$A$84")</f>
        <v>318</v>
      </c>
      <c r="B3864" s="398" t="s">
        <v>479</v>
      </c>
      <c r="C3864" s="400" t="str">
        <f t="array" ref="C3864">INDIRECT("Tableau!$AS$84")</f>
        <v/>
      </c>
      <c r="D3864" s="400" t="str">
        <f t="shared" si="22"/>
        <v>IN</v>
      </c>
      <c r="E3864" s="403" t="str">
        <f t="array" ref="E3864">INDIRECT("Tableau!$AT$84")</f>
        <v/>
      </c>
    </row>
    <row r="3865">
      <c r="A3865" s="402">
        <f t="array" ref="A3865">INDIRECT("Tableau!$A$85")</f>
        <v>320</v>
      </c>
      <c r="B3865" s="398" t="s">
        <v>479</v>
      </c>
      <c r="C3865" s="400" t="str">
        <f t="array" ref="C3865">INDIRECT("Tableau!$AS$85")</f>
        <v/>
      </c>
      <c r="D3865" s="400" t="str">
        <f t="shared" si="22"/>
        <v>IN</v>
      </c>
      <c r="E3865" s="403" t="str">
        <f t="array" ref="E3865">INDIRECT("Tableau!$AT$85")</f>
        <v/>
      </c>
    </row>
    <row r="3866">
      <c r="A3866" s="402">
        <f t="array" ref="A3866">INDIRECT("Tableau!$A$86")</f>
        <v>321</v>
      </c>
      <c r="B3866" s="398" t="s">
        <v>479</v>
      </c>
      <c r="C3866" s="400" t="str">
        <f t="array" ref="C3866">INDIRECT("Tableau!$AS$86")</f>
        <v/>
      </c>
      <c r="D3866" s="400" t="str">
        <f t="shared" si="22"/>
        <v>IN</v>
      </c>
      <c r="E3866" s="403" t="str">
        <f t="array" ref="E3866">INDIRECT("Tableau!$AT$86")</f>
        <v/>
      </c>
    </row>
    <row r="3867">
      <c r="A3867" s="397" t="str">
        <f t="array" ref="A3867">INDIRECT("Tableau!$A$87")</f>
        <v/>
      </c>
      <c r="B3867" s="398" t="s">
        <v>479</v>
      </c>
      <c r="C3867" s="400" t="str">
        <f t="array" ref="C3867">INDIRECT("Tableau!$AS$87")</f>
        <v/>
      </c>
      <c r="D3867" s="400" t="str">
        <f t="shared" si="22"/>
        <v>IN</v>
      </c>
      <c r="E3867" s="403" t="str">
        <f t="array" ref="E3867">INDIRECT("Tableau!$AT$87")</f>
        <v/>
      </c>
    </row>
    <row r="3868">
      <c r="A3868" s="402">
        <f t="array" ref="A3868">INDIRECT("Tableau!$A$88")</f>
        <v>323</v>
      </c>
      <c r="B3868" s="398" t="s">
        <v>479</v>
      </c>
      <c r="C3868" s="400" t="str">
        <f t="array" ref="C3868">INDIRECT("Tableau!$AS$88")</f>
        <v/>
      </c>
      <c r="D3868" s="400" t="str">
        <f t="shared" si="22"/>
        <v>IN</v>
      </c>
      <c r="E3868" s="403" t="str">
        <f t="array" ref="E3868">INDIRECT("Tableau!$AT$88")</f>
        <v/>
      </c>
    </row>
    <row r="3869">
      <c r="A3869" s="402">
        <f t="array" ref="A3869">INDIRECT("Tableau!$A$89")</f>
        <v>324</v>
      </c>
      <c r="B3869" s="398" t="s">
        <v>479</v>
      </c>
      <c r="C3869" s="400" t="str">
        <f t="array" ref="C3869">INDIRECT("Tableau!$AS$89")</f>
        <v/>
      </c>
      <c r="D3869" s="400" t="str">
        <f t="shared" si="22"/>
        <v>IN</v>
      </c>
      <c r="E3869" s="403" t="str">
        <f t="array" ref="E3869">INDIRECT("Tableau!$AT$89")</f>
        <v/>
      </c>
    </row>
    <row r="3870">
      <c r="A3870" s="402">
        <f t="array" ref="A3870">INDIRECT("Tableau!$A$90")</f>
        <v>325</v>
      </c>
      <c r="B3870" s="398" t="s">
        <v>479</v>
      </c>
      <c r="C3870" s="400" t="str">
        <f t="array" ref="C3870">INDIRECT("Tableau!$AS$90")</f>
        <v/>
      </c>
      <c r="D3870" s="400" t="str">
        <f t="shared" si="22"/>
        <v>IN</v>
      </c>
      <c r="E3870" s="403" t="str">
        <f t="array" ref="E3870">INDIRECT("Tableau!$AT$90")</f>
        <v/>
      </c>
    </row>
    <row r="3871">
      <c r="A3871" s="402">
        <f t="array" ref="A3871">INDIRECT("Tableau!$A$91")</f>
        <v>326</v>
      </c>
      <c r="B3871" s="398" t="s">
        <v>479</v>
      </c>
      <c r="C3871" s="400" t="str">
        <f t="array" ref="C3871">INDIRECT("Tableau!$AS$91")</f>
        <v/>
      </c>
      <c r="D3871" s="400" t="str">
        <f t="shared" si="22"/>
        <v>IN</v>
      </c>
      <c r="E3871" s="403" t="str">
        <f t="array" ref="E3871">INDIRECT("Tableau!$AT$91")</f>
        <v/>
      </c>
    </row>
    <row r="3872">
      <c r="A3872" s="402">
        <f t="array" ref="A3872">INDIRECT("Tableau!$A$92")</f>
        <v>327</v>
      </c>
      <c r="B3872" s="398" t="s">
        <v>479</v>
      </c>
      <c r="C3872" s="400" t="str">
        <f t="array" ref="C3872">INDIRECT("Tableau!$AS$92")</f>
        <v/>
      </c>
      <c r="D3872" s="400" t="str">
        <f t="shared" si="22"/>
        <v>IN</v>
      </c>
      <c r="E3872" s="403" t="str">
        <f t="array" ref="E3872">INDIRECT("Tableau!$AT$92")</f>
        <v/>
      </c>
    </row>
    <row r="3873">
      <c r="A3873" s="402">
        <f t="array" ref="A3873">INDIRECT("Tableau!$A$93")</f>
        <v>328</v>
      </c>
      <c r="B3873" s="398" t="s">
        <v>479</v>
      </c>
      <c r="C3873" s="400" t="str">
        <f t="array" ref="C3873">INDIRECT("Tableau!$AS$93")</f>
        <v/>
      </c>
      <c r="D3873" s="400" t="str">
        <f t="shared" si="22"/>
        <v>IN</v>
      </c>
      <c r="E3873" s="403" t="str">
        <f t="array" ref="E3873">INDIRECT("Tableau!$AT$93")</f>
        <v/>
      </c>
    </row>
    <row r="3874">
      <c r="A3874" s="402">
        <f t="array" ref="A3874">INDIRECT("Tableau!$A$94")</f>
        <v>329</v>
      </c>
      <c r="B3874" s="398" t="s">
        <v>479</v>
      </c>
      <c r="C3874" s="400" t="str">
        <f t="array" ref="C3874">INDIRECT("Tableau!$AS$94")</f>
        <v>DEMA</v>
      </c>
      <c r="D3874" s="400" t="str">
        <f t="shared" si="22"/>
        <v>IN</v>
      </c>
      <c r="E3874" s="403" t="str">
        <f t="array" ref="E3874">INDIRECT("Tableau!$AT$94")</f>
        <v/>
      </c>
    </row>
    <row r="3875">
      <c r="A3875" s="402">
        <f t="array" ref="A3875">INDIRECT("Tableau!$A$95")</f>
        <v>330</v>
      </c>
      <c r="B3875" s="398" t="s">
        <v>479</v>
      </c>
      <c r="C3875" s="400" t="str">
        <f t="array" ref="C3875">INDIRECT("Tableau!$AS$95")</f>
        <v/>
      </c>
      <c r="D3875" s="400" t="str">
        <f t="shared" si="22"/>
        <v>IN</v>
      </c>
      <c r="E3875" s="403" t="str">
        <f t="array" ref="E3875">INDIRECT("Tableau!$AT$95")</f>
        <v/>
      </c>
    </row>
    <row r="3876">
      <c r="A3876" s="402">
        <f t="array" ref="A3876">INDIRECT("Tableau!$A$96")</f>
        <v>331</v>
      </c>
      <c r="B3876" s="398" t="s">
        <v>479</v>
      </c>
      <c r="C3876" s="400" t="str">
        <f t="array" ref="C3876">INDIRECT("Tableau!$AS$96")</f>
        <v/>
      </c>
      <c r="D3876" s="400" t="str">
        <f t="shared" si="22"/>
        <v>IN</v>
      </c>
      <c r="E3876" s="403" t="str">
        <f t="array" ref="E3876">INDIRECT("Tableau!$AT$96")</f>
        <v/>
      </c>
    </row>
    <row r="3877">
      <c r="A3877" s="402">
        <f t="array" ref="A3877">INDIRECT("Tableau!$A$97")</f>
        <v>332</v>
      </c>
      <c r="B3877" s="398" t="s">
        <v>479</v>
      </c>
      <c r="C3877" s="400" t="str">
        <f t="array" ref="C3877">INDIRECT("Tableau!$AS$97")</f>
        <v/>
      </c>
      <c r="D3877" s="400" t="str">
        <f t="shared" si="22"/>
        <v>IN</v>
      </c>
      <c r="E3877" s="403" t="str">
        <f t="array" ref="E3877">INDIRECT("Tableau!$AT$97")</f>
        <v/>
      </c>
    </row>
    <row r="3878">
      <c r="A3878" s="402">
        <f t="array" ref="A3878">INDIRECT("Tableau!$A$98")</f>
        <v>333</v>
      </c>
      <c r="B3878" s="398" t="s">
        <v>479</v>
      </c>
      <c r="C3878" s="400" t="str">
        <f t="array" ref="C3878">INDIRECT("Tableau!$AS$98")</f>
        <v/>
      </c>
      <c r="D3878" s="400" t="str">
        <f t="shared" si="22"/>
        <v>IN</v>
      </c>
      <c r="E3878" s="403" t="str">
        <f t="array" ref="E3878">INDIRECT("Tableau!$AT$98")</f>
        <v/>
      </c>
    </row>
    <row r="3879">
      <c r="A3879" s="402">
        <f t="array" ref="A3879">INDIRECT("Tableau!$A$99")</f>
        <v>334</v>
      </c>
      <c r="B3879" s="398" t="s">
        <v>479</v>
      </c>
      <c r="C3879" s="400" t="str">
        <f t="array" ref="C3879">INDIRECT("Tableau!$AS$99")</f>
        <v/>
      </c>
      <c r="D3879" s="400" t="str">
        <f t="shared" si="22"/>
        <v>IN</v>
      </c>
      <c r="E3879" s="403" t="str">
        <f t="array" ref="E3879">INDIRECT("Tableau!$AT$99")</f>
        <v/>
      </c>
    </row>
    <row r="3880">
      <c r="A3880" s="402">
        <f t="array" ref="A3880">INDIRECT("Tableau!$A$100")</f>
        <v>335</v>
      </c>
      <c r="B3880" s="398" t="s">
        <v>479</v>
      </c>
      <c r="C3880" s="400" t="str">
        <f t="array" ref="C3880">INDIRECT("Tableau!$AS$100")</f>
        <v/>
      </c>
      <c r="D3880" s="400" t="str">
        <f t="shared" si="22"/>
        <v>IN</v>
      </c>
      <c r="E3880" s="403" t="str">
        <f t="array" ref="E3880">INDIRECT("Tableau!$AT$100")</f>
        <v/>
      </c>
    </row>
    <row r="3881">
      <c r="A3881" s="402">
        <f t="array" ref="A3881">INDIRECT("Tableau!$A$101")</f>
        <v>336</v>
      </c>
      <c r="B3881" s="398" t="s">
        <v>479</v>
      </c>
      <c r="C3881" s="400" t="str">
        <f t="array" ref="C3881">INDIRECT("Tableau!$AS$101")</f>
        <v/>
      </c>
      <c r="D3881" s="400" t="str">
        <f t="shared" si="22"/>
        <v>IN</v>
      </c>
      <c r="E3881" s="403" t="str">
        <f t="array" ref="E3881">INDIRECT("Tableau!$AT$101")</f>
        <v/>
      </c>
    </row>
    <row r="3882">
      <c r="A3882" s="402">
        <f t="array" ref="A3882">INDIRECT("Tableau!$A$102")</f>
        <v>337</v>
      </c>
      <c r="B3882" s="398" t="s">
        <v>479</v>
      </c>
      <c r="C3882" s="400" t="str">
        <f t="array" ref="C3882">INDIRECT("Tableau!$AS$102")</f>
        <v/>
      </c>
      <c r="D3882" s="400" t="str">
        <f t="shared" si="22"/>
        <v>IN</v>
      </c>
      <c r="E3882" s="403" t="str">
        <f t="array" ref="E3882">INDIRECT("Tableau!$AT$102")</f>
        <v/>
      </c>
    </row>
    <row r="3883">
      <c r="A3883" s="402">
        <f t="array" ref="A3883">INDIRECT("Tableau!$A$103")</f>
        <v>338</v>
      </c>
      <c r="B3883" s="398" t="s">
        <v>479</v>
      </c>
      <c r="C3883" s="400" t="str">
        <f t="array" ref="C3883">INDIRECT("Tableau!$AS$103")</f>
        <v/>
      </c>
      <c r="D3883" s="400" t="str">
        <f t="shared" si="22"/>
        <v>IN</v>
      </c>
      <c r="E3883" s="403" t="str">
        <f t="array" ref="E3883">INDIRECT("Tableau!$AT$103")</f>
        <v/>
      </c>
    </row>
    <row r="3884">
      <c r="A3884" s="402">
        <f t="array" ref="A3884">INDIRECT("Tableau!$A$104")</f>
        <v>339</v>
      </c>
      <c r="B3884" s="398" t="s">
        <v>479</v>
      </c>
      <c r="C3884" s="400" t="str">
        <f t="array" ref="C3884">INDIRECT("Tableau!$AS$104")</f>
        <v/>
      </c>
      <c r="D3884" s="400" t="str">
        <f t="shared" si="22"/>
        <v>IN</v>
      </c>
      <c r="E3884" s="403" t="str">
        <f t="array" ref="E3884">INDIRECT("Tableau!$AT$104")</f>
        <v/>
      </c>
    </row>
    <row r="3885">
      <c r="A3885" s="402">
        <f t="array" ref="A3885">INDIRECT("Tableau!$A$105")</f>
        <v>340</v>
      </c>
      <c r="B3885" s="398" t="s">
        <v>479</v>
      </c>
      <c r="C3885" s="400" t="str">
        <f t="array" ref="C3885">INDIRECT("Tableau!$AS$105")</f>
        <v/>
      </c>
      <c r="D3885" s="400" t="str">
        <f t="shared" si="22"/>
        <v>IN</v>
      </c>
      <c r="E3885" s="403" t="str">
        <f t="array" ref="E3885">INDIRECT("Tableau!$AT$105")</f>
        <v/>
      </c>
    </row>
    <row r="3886">
      <c r="A3886" s="402">
        <f t="array" ref="A3886">INDIRECT("Tableau!$A$106")</f>
        <v>341</v>
      </c>
      <c r="B3886" s="398" t="s">
        <v>479</v>
      </c>
      <c r="C3886" s="400" t="str">
        <f t="array" ref="C3886">INDIRECT("Tableau!$AS$106")</f>
        <v/>
      </c>
      <c r="D3886" s="400" t="str">
        <f t="shared" si="22"/>
        <v>IN</v>
      </c>
      <c r="E3886" s="403" t="str">
        <f t="array" ref="E3886">INDIRECT("Tableau!$AT$106")</f>
        <v/>
      </c>
    </row>
    <row r="3887">
      <c r="A3887" s="402">
        <f t="array" ref="A3887">INDIRECT("Tableau!$A$107")</f>
        <v>365</v>
      </c>
      <c r="B3887" s="398" t="s">
        <v>479</v>
      </c>
      <c r="C3887" s="400" t="str">
        <f t="array" ref="C3887">INDIRECT("Tableau!$AS$107")</f>
        <v/>
      </c>
      <c r="D3887" s="400" t="str">
        <f t="shared" si="22"/>
        <v>IN</v>
      </c>
      <c r="E3887" s="403" t="str">
        <f t="array" ref="E3887">INDIRECT("Tableau!$AT$107")</f>
        <v/>
      </c>
    </row>
    <row r="3888">
      <c r="A3888" s="402">
        <f t="array" ref="A3888">INDIRECT("Tableau!$A$108")</f>
        <v>342</v>
      </c>
      <c r="B3888" s="398" t="s">
        <v>479</v>
      </c>
      <c r="C3888" s="400" t="str">
        <f t="array" ref="C3888">INDIRECT("Tableau!$AS$108")</f>
        <v/>
      </c>
      <c r="D3888" s="400" t="str">
        <f t="shared" si="22"/>
        <v>IN</v>
      </c>
      <c r="E3888" s="403" t="str">
        <f t="array" ref="E3888">INDIRECT("Tableau!$AT$108")</f>
        <v/>
      </c>
    </row>
    <row r="3889">
      <c r="A3889" s="402">
        <f t="array" ref="A3889">INDIRECT("Tableau!$A$109")</f>
        <v>343</v>
      </c>
      <c r="B3889" s="398" t="s">
        <v>479</v>
      </c>
      <c r="C3889" s="400" t="str">
        <f t="array" ref="C3889">INDIRECT("Tableau!$AS$109")</f>
        <v>DPS</v>
      </c>
      <c r="D3889" s="400" t="str">
        <f t="shared" si="22"/>
        <v>IN</v>
      </c>
      <c r="E3889" s="403" t="str">
        <f t="array" ref="E3889">INDIRECT("Tableau!$AT$109")</f>
        <v/>
      </c>
    </row>
    <row r="3890">
      <c r="A3890" s="402">
        <f t="array" ref="A3890">INDIRECT("Tableau!$A$110")</f>
        <v>344</v>
      </c>
      <c r="B3890" s="398" t="s">
        <v>479</v>
      </c>
      <c r="C3890" s="400" t="str">
        <f t="array" ref="C3890">INDIRECT("Tableau!$AS$110")</f>
        <v/>
      </c>
      <c r="D3890" s="400" t="str">
        <f t="shared" si="22"/>
        <v>IN</v>
      </c>
      <c r="E3890" s="403" t="str">
        <f t="array" ref="E3890">INDIRECT("Tableau!$AT$110")</f>
        <v/>
      </c>
    </row>
    <row r="3891">
      <c r="A3891" s="402">
        <f t="array" ref="A3891">INDIRECT("Tableau!$A$111")</f>
        <v>363</v>
      </c>
      <c r="B3891" s="398" t="s">
        <v>479</v>
      </c>
      <c r="C3891" s="400" t="str">
        <f t="array" ref="C3891">INDIRECT("Tableau!$AS$111")</f>
        <v>DEMA</v>
      </c>
      <c r="D3891" s="400" t="str">
        <f t="shared" si="22"/>
        <v>IN</v>
      </c>
      <c r="E3891" s="403" t="str">
        <f t="array" ref="E3891">INDIRECT("Tableau!$AT$111")</f>
        <v/>
      </c>
    </row>
    <row r="3892">
      <c r="A3892" s="402">
        <f t="array" ref="A3892">INDIRECT("Tableau!$A$112")</f>
        <v>345</v>
      </c>
      <c r="B3892" s="398" t="s">
        <v>479</v>
      </c>
      <c r="C3892" s="400" t="str">
        <f t="array" ref="C3892">INDIRECT("Tableau!$AS$112")</f>
        <v/>
      </c>
      <c r="D3892" s="400" t="str">
        <f t="shared" si="22"/>
        <v>IN</v>
      </c>
      <c r="E3892" s="403" t="str">
        <f t="array" ref="E3892">INDIRECT("Tableau!$AT$112")</f>
        <v/>
      </c>
    </row>
    <row r="3893">
      <c r="A3893" s="402">
        <f t="array" ref="A3893">INDIRECT("Tableau!$A$113")</f>
        <v>346</v>
      </c>
      <c r="B3893" s="398" t="s">
        <v>479</v>
      </c>
      <c r="C3893" s="400" t="str">
        <f t="array" ref="C3893">INDIRECT("Tableau!$AS$113")</f>
        <v/>
      </c>
      <c r="D3893" s="400" t="str">
        <f t="shared" si="22"/>
        <v>IN</v>
      </c>
      <c r="E3893" s="403" t="str">
        <f t="array" ref="E3893">INDIRECT("Tableau!$AT$113")</f>
        <v/>
      </c>
    </row>
    <row r="3894">
      <c r="A3894" s="402">
        <f t="array" ref="A3894">INDIRECT("Tableau!$A$114")</f>
        <v>359</v>
      </c>
      <c r="B3894" s="398" t="s">
        <v>479</v>
      </c>
      <c r="C3894" s="400" t="str">
        <f t="array" ref="C3894">INDIRECT("Tableau!$AS$114")</f>
        <v/>
      </c>
      <c r="D3894" s="400" t="str">
        <f t="shared" si="22"/>
        <v>IN</v>
      </c>
      <c r="E3894" s="403" t="str">
        <f t="array" ref="E3894">INDIRECT("Tableau!$AT$114")</f>
        <v/>
      </c>
    </row>
    <row r="3895">
      <c r="A3895" s="402">
        <f t="array" ref="A3895">INDIRECT("Tableau!$A$115")</f>
        <v>360</v>
      </c>
      <c r="B3895" s="398" t="s">
        <v>479</v>
      </c>
      <c r="C3895" s="400" t="str">
        <f t="array" ref="C3895">INDIRECT("Tableau!$AS$115")</f>
        <v/>
      </c>
      <c r="D3895" s="400" t="str">
        <f t="shared" si="22"/>
        <v>IN</v>
      </c>
      <c r="E3895" s="403" t="str">
        <f t="array" ref="E3895">INDIRECT("Tableau!$AT$115")</f>
        <v/>
      </c>
    </row>
    <row r="3896">
      <c r="A3896" s="402">
        <f t="array" ref="A3896">INDIRECT("Tableau!$A$116")</f>
        <v>361</v>
      </c>
      <c r="B3896" s="398" t="s">
        <v>479</v>
      </c>
      <c r="C3896" s="400" t="str">
        <f t="array" ref="C3896">INDIRECT("Tableau!$AS$116")</f>
        <v/>
      </c>
      <c r="D3896" s="400" t="str">
        <f t="shared" si="22"/>
        <v>IN</v>
      </c>
      <c r="E3896" s="403" t="str">
        <f t="array" ref="E3896">INDIRECT("Tableau!$AT$116")</f>
        <v/>
      </c>
    </row>
    <row r="3897">
      <c r="A3897" s="397" t="str">
        <f t="array" ref="A3897">INDIRECT("Tableau!$A$117")</f>
        <v/>
      </c>
      <c r="B3897" s="398" t="s">
        <v>479</v>
      </c>
      <c r="C3897" s="400" t="str">
        <f t="array" ref="C3897">INDIRECT("Tableau!$AS$117")</f>
        <v/>
      </c>
      <c r="D3897" s="400" t="str">
        <f t="shared" si="22"/>
        <v>IN</v>
      </c>
      <c r="E3897" s="403" t="str">
        <f t="array" ref="E3897">INDIRECT("Tableau!$AT$117")</f>
        <v/>
      </c>
    </row>
    <row r="3898">
      <c r="A3898" s="402">
        <f t="array" ref="A3898">INDIRECT("Tableau!$A$118")</f>
        <v>347</v>
      </c>
      <c r="B3898" s="398" t="s">
        <v>479</v>
      </c>
      <c r="C3898" s="400" t="str">
        <f t="array" ref="C3898">INDIRECT("Tableau!$AS$118")</f>
        <v>BP Martelange</v>
      </c>
      <c r="D3898" s="400" t="str">
        <f t="shared" si="22"/>
        <v>IN</v>
      </c>
      <c r="E3898" s="403" t="str">
        <f t="array" ref="E3898">INDIRECT("Tableau!$AT$118")</f>
        <v/>
      </c>
    </row>
    <row r="3899">
      <c r="A3899" s="402">
        <f t="array" ref="A3899">INDIRECT("Tableau!$A$119")</f>
        <v>348</v>
      </c>
      <c r="B3899" s="398" t="s">
        <v>479</v>
      </c>
      <c r="C3899" s="400" t="str">
        <f t="array" ref="C3899">INDIRECT("Tableau!$AS$119")</f>
        <v/>
      </c>
      <c r="D3899" s="400" t="str">
        <f t="shared" si="22"/>
        <v>IN</v>
      </c>
      <c r="E3899" s="403" t="str">
        <f t="array" ref="E3899">INDIRECT("Tableau!$AT$119")</f>
        <v/>
      </c>
    </row>
    <row r="3900">
      <c r="A3900" s="402">
        <f t="array" ref="A3900">INDIRECT("Tableau!$A$120")</f>
        <v>349</v>
      </c>
      <c r="B3900" s="398" t="s">
        <v>479</v>
      </c>
      <c r="C3900" s="400" t="str">
        <f t="array" ref="C3900">INDIRECT("Tableau!$AS$120")</f>
        <v>DEMA</v>
      </c>
      <c r="D3900" s="400" t="str">
        <f t="shared" si="22"/>
        <v>IN</v>
      </c>
      <c r="E3900" s="403" t="str">
        <f t="array" ref="E3900">INDIRECT("Tableau!$AT$120")</f>
        <v/>
      </c>
    </row>
    <row r="3901">
      <c r="A3901" s="402">
        <f t="array" ref="A3901">INDIRECT("Tableau!$A$121")</f>
        <v>350</v>
      </c>
      <c r="B3901" s="398" t="s">
        <v>479</v>
      </c>
      <c r="C3901" s="400" t="str">
        <f t="array" ref="C3901">INDIRECT("Tableau!$AS$121")</f>
        <v/>
      </c>
      <c r="D3901" s="400" t="str">
        <f t="shared" si="22"/>
        <v>IN</v>
      </c>
      <c r="E3901" s="403" t="str">
        <f t="array" ref="E3901">INDIRECT("Tableau!$AT$121")</f>
        <v/>
      </c>
    </row>
    <row r="3902">
      <c r="A3902" s="402">
        <f t="array" ref="A3902">INDIRECT("Tableau!$A$122")</f>
        <v>351</v>
      </c>
      <c r="B3902" s="398" t="s">
        <v>479</v>
      </c>
      <c r="C3902" s="400" t="str">
        <f t="array" ref="C3902">INDIRECT("Tableau!$AS$122")</f>
        <v>DEMA</v>
      </c>
      <c r="D3902" s="400" t="str">
        <f t="shared" si="22"/>
        <v>IN</v>
      </c>
      <c r="E3902" s="403" t="str">
        <f t="array" ref="E3902">INDIRECT("Tableau!$AT$122")</f>
        <v/>
      </c>
    </row>
    <row r="3903">
      <c r="A3903" s="402">
        <f t="array" ref="A3903">INDIRECT("Tableau!$A$123")</f>
        <v>352</v>
      </c>
      <c r="B3903" s="398" t="s">
        <v>479</v>
      </c>
      <c r="C3903" s="400" t="str">
        <f t="array" ref="C3903">INDIRECT("Tableau!$AS$123")</f>
        <v/>
      </c>
      <c r="D3903" s="400" t="str">
        <f t="shared" si="22"/>
        <v>IN</v>
      </c>
      <c r="E3903" s="403" t="str">
        <f t="array" ref="E3903">INDIRECT("Tableau!$AT$123")</f>
        <v/>
      </c>
    </row>
    <row r="3904">
      <c r="A3904" s="402">
        <f t="array" ref="A3904">INDIRECT("Tableau!$A$124")</f>
        <v>353</v>
      </c>
      <c r="B3904" s="398" t="s">
        <v>479</v>
      </c>
      <c r="C3904" s="400" t="str">
        <f t="array" ref="C3904">INDIRECT("Tableau!$AS$124")</f>
        <v/>
      </c>
      <c r="D3904" s="400" t="str">
        <f t="shared" si="22"/>
        <v>IN</v>
      </c>
      <c r="E3904" s="403" t="str">
        <f t="array" ref="E3904">INDIRECT("Tableau!$AT$124")</f>
        <v/>
      </c>
    </row>
    <row r="3905">
      <c r="A3905" s="397" t="str">
        <f t="array" ref="A3905">INDIRECT("Tableau!$A$125")</f>
        <v/>
      </c>
      <c r="B3905" s="398" t="s">
        <v>479</v>
      </c>
      <c r="C3905" s="400" t="str">
        <f t="array" ref="C3905">INDIRECT("Tableau!$AS$125")</f>
        <v/>
      </c>
      <c r="D3905" s="400" t="str">
        <f t="shared" si="22"/>
        <v>IN</v>
      </c>
      <c r="E3905" s="403" t="str">
        <f t="array" ref="E3905">INDIRECT("Tableau!$AT$125")</f>
        <v/>
      </c>
    </row>
    <row r="3906">
      <c r="A3906" s="402">
        <f t="array" ref="A3906">INDIRECT("Tableau!$A$126")</f>
        <v>354</v>
      </c>
      <c r="B3906" s="398" t="s">
        <v>479</v>
      </c>
      <c r="C3906" s="400" t="str">
        <f t="array" ref="C3906">INDIRECT("Tableau!$AS$126")</f>
        <v/>
      </c>
      <c r="D3906" s="400" t="str">
        <f t="shared" si="22"/>
        <v>IN</v>
      </c>
      <c r="E3906" s="403" t="str">
        <f t="array" ref="E3906">INDIRECT("Tableau!$AT$126")</f>
        <v/>
      </c>
    </row>
    <row r="3907">
      <c r="A3907" s="402">
        <f t="array" ref="A3907">INDIRECT("Tableau!$A$127")</f>
        <v>355</v>
      </c>
      <c r="B3907" s="398" t="s">
        <v>479</v>
      </c>
      <c r="C3907" s="400" t="str">
        <f t="array" ref="C3907">INDIRECT("Tableau!$AS$127")</f>
        <v/>
      </c>
      <c r="D3907" s="400" t="str">
        <f t="shared" si="22"/>
        <v>IN</v>
      </c>
      <c r="E3907" s="403" t="str">
        <f t="array" ref="E3907">INDIRECT("Tableau!$AT$127")</f>
        <v/>
      </c>
    </row>
    <row r="3908">
      <c r="A3908" s="402">
        <f t="array" ref="A3908">INDIRECT("Tableau!$A$128")</f>
        <v>356</v>
      </c>
      <c r="B3908" s="398" t="s">
        <v>479</v>
      </c>
      <c r="C3908" s="400" t="str">
        <f t="array" ref="C3908">INDIRECT("Tableau!$AS$128")</f>
        <v/>
      </c>
      <c r="D3908" s="400" t="str">
        <f t="shared" si="22"/>
        <v>IN</v>
      </c>
      <c r="E3908" s="403" t="str">
        <f t="array" ref="E3908">INDIRECT("Tableau!$AT$128")</f>
        <v/>
      </c>
    </row>
    <row r="3909">
      <c r="A3909" s="402">
        <f t="array" ref="A3909">INDIRECT("Tableau!$A$129")</f>
        <v>357</v>
      </c>
      <c r="B3909" s="398" t="s">
        <v>479</v>
      </c>
      <c r="C3909" s="400" t="str">
        <f t="array" ref="C3909">INDIRECT("Tableau!$AS$129")</f>
        <v>DEMA</v>
      </c>
      <c r="D3909" s="400" t="str">
        <f t="shared" si="22"/>
        <v>IN</v>
      </c>
      <c r="E3909" s="403" t="str">
        <f t="array" ref="E3909">INDIRECT("Tableau!$AT$129")</f>
        <v/>
      </c>
    </row>
    <row r="3910">
      <c r="A3910" s="397" t="str">
        <f t="array" ref="A3910">INDIRECT("Tableau!$A$130")</f>
        <v/>
      </c>
      <c r="B3910" s="398" t="s">
        <v>479</v>
      </c>
      <c r="C3910" s="400" t="str">
        <f t="array" ref="C3910">INDIRECT("Tableau!$AS$130")</f>
        <v/>
      </c>
      <c r="D3910" s="400" t="str">
        <f t="shared" si="22"/>
        <v>IN</v>
      </c>
      <c r="E3910" s="403" t="str">
        <f t="array" ref="E3910">INDIRECT("Tableau!$AT$130")</f>
        <v/>
      </c>
    </row>
    <row r="3911">
      <c r="A3911" s="397" t="str">
        <f t="array" ref="A3911">INDIRECT("Tableau!$A$131")</f>
        <v/>
      </c>
      <c r="B3911" s="398" t="s">
        <v>479</v>
      </c>
      <c r="C3911" s="400" t="str">
        <f t="array" ref="C3911">INDIRECT("Tableau!$AS$131")</f>
        <v/>
      </c>
      <c r="D3911" s="400" t="str">
        <f t="shared" si="22"/>
        <v>IN</v>
      </c>
      <c r="E3911" s="403" t="str">
        <f t="array" ref="E3911">INDIRECT("Tableau!$AT$131")</f>
        <v/>
      </c>
    </row>
    <row r="3912">
      <c r="A3912" s="397" t="str">
        <f t="array" ref="A3912">INDIRECT("Tableau!$A$132")</f>
        <v/>
      </c>
      <c r="B3912" s="398" t="s">
        <v>479</v>
      </c>
      <c r="C3912" s="400" t="str">
        <f t="array" ref="C3912">INDIRECT("Tableau!$AS$132")</f>
        <v/>
      </c>
      <c r="D3912" s="400" t="str">
        <f t="shared" si="22"/>
        <v>IN</v>
      </c>
      <c r="E3912" s="403" t="str">
        <f t="array" ref="E3912">INDIRECT("Tableau!$AT$132")</f>
        <v/>
      </c>
    </row>
    <row r="3913">
      <c r="A3913" s="397" t="str">
        <f t="array" ref="A3913">INDIRECT("Tableau!$A$133")</f>
        <v/>
      </c>
      <c r="B3913" s="398" t="s">
        <v>479</v>
      </c>
      <c r="C3913" s="400" t="str">
        <f t="array" ref="C3913">INDIRECT("Tableau!$AS$133")</f>
        <v/>
      </c>
      <c r="D3913" s="400" t="str">
        <f t="shared" si="22"/>
        <v>IN</v>
      </c>
      <c r="E3913" s="403" t="str">
        <f t="array" ref="E3913">INDIRECT("Tableau!$AT$133")</f>
        <v/>
      </c>
    </row>
    <row r="3914">
      <c r="A3914" s="397" t="str">
        <f t="array" ref="A3914">INDIRECT("Tableau!$A$134")</f>
        <v/>
      </c>
      <c r="B3914" s="398" t="s">
        <v>479</v>
      </c>
      <c r="C3914" s="400" t="str">
        <f t="array" ref="C3914">INDIRECT("Tableau!$AS$134")</f>
        <v/>
      </c>
      <c r="D3914" s="400" t="str">
        <f t="shared" si="22"/>
        <v>IN</v>
      </c>
      <c r="E3914" s="403" t="str">
        <f t="array" ref="E3914">INDIRECT("Tableau!$AT$134")</f>
        <v/>
      </c>
    </row>
    <row r="3915">
      <c r="A3915" s="402">
        <f t="array" ref="A3915">INDIRECT("Tableau!$A$135")</f>
        <v>401</v>
      </c>
      <c r="B3915" s="398" t="s">
        <v>479</v>
      </c>
      <c r="C3915" s="400" t="str">
        <f t="array" ref="C3915">INDIRECT("Tableau!$AS$135")</f>
        <v/>
      </c>
      <c r="D3915" s="400" t="str">
        <f t="shared" si="22"/>
        <v>IN</v>
      </c>
      <c r="E3915" s="403" t="str">
        <f t="array" ref="E3915">INDIRECT("Tableau!$AT$135")</f>
        <v/>
      </c>
    </row>
    <row r="3916">
      <c r="A3916" s="402">
        <f t="array" ref="A3916">INDIRECT("Tableau!$A$136")</f>
        <v>402</v>
      </c>
      <c r="B3916" s="398" t="s">
        <v>479</v>
      </c>
      <c r="C3916" s="400" t="str">
        <f t="array" ref="C3916">INDIRECT("Tableau!$AS$136")</f>
        <v/>
      </c>
      <c r="D3916" s="400" t="str">
        <f t="shared" si="22"/>
        <v>IN</v>
      </c>
      <c r="E3916" s="403" t="str">
        <f t="array" ref="E3916">INDIRECT("Tableau!$AT$136")</f>
        <v/>
      </c>
    </row>
    <row r="3917">
      <c r="A3917" s="402">
        <f t="array" ref="A3917">INDIRECT("Tableau!$A$137")</f>
        <v>403</v>
      </c>
      <c r="B3917" s="398" t="s">
        <v>479</v>
      </c>
      <c r="C3917" s="400" t="str">
        <f t="array" ref="C3917">INDIRECT("Tableau!$AS$137")</f>
        <v/>
      </c>
      <c r="D3917" s="400" t="str">
        <f t="shared" si="22"/>
        <v>IN</v>
      </c>
      <c r="E3917" s="403" t="str">
        <f t="array" ref="E3917">INDIRECT("Tableau!$AT$137")</f>
        <v/>
      </c>
    </row>
    <row r="3918">
      <c r="A3918" s="402">
        <f t="array" ref="A3918">INDIRECT("Tableau!$A$138")</f>
        <v>404</v>
      </c>
      <c r="B3918" s="398" t="s">
        <v>479</v>
      </c>
      <c r="C3918" s="400" t="str">
        <f t="array" ref="C3918">INDIRECT("Tableau!$AS$138")</f>
        <v/>
      </c>
      <c r="D3918" s="400" t="str">
        <f t="shared" si="22"/>
        <v>IN</v>
      </c>
      <c r="E3918" s="403" t="str">
        <f t="array" ref="E3918">INDIRECT("Tableau!$AT$138")</f>
        <v/>
      </c>
    </row>
    <row r="3919">
      <c r="A3919" s="402">
        <f t="array" ref="A3919">INDIRECT("Tableau!$A$139")</f>
        <v>405</v>
      </c>
      <c r="B3919" s="398" t="s">
        <v>479</v>
      </c>
      <c r="C3919" s="400" t="str">
        <f t="array" ref="C3919">INDIRECT("Tableau!$AS$139")</f>
        <v/>
      </c>
      <c r="D3919" s="400" t="str">
        <f t="shared" si="22"/>
        <v>IN</v>
      </c>
      <c r="E3919" s="403" t="str">
        <f t="array" ref="E3919">INDIRECT("Tableau!$AT$139")</f>
        <v/>
      </c>
    </row>
    <row r="3920">
      <c r="A3920" s="402">
        <f t="array" ref="A3920">INDIRECT("Tableau!$A$140")</f>
        <v>406</v>
      </c>
      <c r="B3920" s="398" t="s">
        <v>479</v>
      </c>
      <c r="C3920" s="400" t="str">
        <f t="array" ref="C3920">INDIRECT("Tableau!$AS$140")</f>
        <v/>
      </c>
      <c r="D3920" s="400" t="str">
        <f t="shared" si="22"/>
        <v>IN</v>
      </c>
      <c r="E3920" s="403" t="str">
        <f t="array" ref="E3920">INDIRECT("Tableau!$AT$140")</f>
        <v/>
      </c>
    </row>
    <row r="3921">
      <c r="A3921" s="402">
        <f t="array" ref="A3921">INDIRECT("Tableau!$A$141")</f>
        <v>407</v>
      </c>
      <c r="B3921" s="398" t="s">
        <v>479</v>
      </c>
      <c r="C3921" s="400" t="str">
        <f t="array" ref="C3921">INDIRECT("Tableau!$AS$141")</f>
        <v>DEMA</v>
      </c>
      <c r="D3921" s="400" t="str">
        <f t="shared" si="22"/>
        <v>IN</v>
      </c>
      <c r="E3921" s="403" t="str">
        <f t="array" ref="E3921">INDIRECT("Tableau!$AT$141")</f>
        <v/>
      </c>
    </row>
    <row r="3922">
      <c r="A3922" s="402">
        <f t="array" ref="A3922">INDIRECT("Tableau!$A$142")</f>
        <v>408</v>
      </c>
      <c r="B3922" s="398" t="s">
        <v>479</v>
      </c>
      <c r="C3922" s="400" t="str">
        <f t="array" ref="C3922">INDIRECT("Tableau!$AS$142")</f>
        <v/>
      </c>
      <c r="D3922" s="400" t="str">
        <f t="shared" si="22"/>
        <v>IN</v>
      </c>
      <c r="E3922" s="403" t="str">
        <f t="array" ref="E3922">INDIRECT("Tableau!$AT$142")</f>
        <v/>
      </c>
    </row>
    <row r="3923">
      <c r="A3923" s="402">
        <f t="array" ref="A3923">INDIRECT("Tableau!$A$143")</f>
        <v>409</v>
      </c>
      <c r="B3923" s="398" t="s">
        <v>479</v>
      </c>
      <c r="C3923" s="400" t="str">
        <f t="array" ref="C3923">INDIRECT("Tableau!$AS$143")</f>
        <v/>
      </c>
      <c r="D3923" s="400" t="str">
        <f t="shared" si="22"/>
        <v>IN</v>
      </c>
      <c r="E3923" s="403" t="str">
        <f t="array" ref="E3923">INDIRECT("Tableau!$AT$143")</f>
        <v/>
      </c>
    </row>
    <row r="3924">
      <c r="A3924" s="397">
        <f t="array" ref="A3924">INDIRECT("Tableau!$A$144")</f>
        <v>415</v>
      </c>
      <c r="B3924" s="398" t="s">
        <v>479</v>
      </c>
      <c r="C3924" s="400" t="str">
        <f t="array" ref="C3924">INDIRECT("Tableau!$AS$144")</f>
        <v/>
      </c>
      <c r="D3924" s="400" t="str">
        <f t="shared" si="22"/>
        <v>IN</v>
      </c>
      <c r="E3924" s="403" t="str">
        <f t="array" ref="E3924">INDIRECT("Tableau!$AT$144")</f>
        <v/>
      </c>
    </row>
    <row r="3925">
      <c r="A3925" s="397" t="str">
        <f t="array" ref="A3925">INDIRECT("Tableau!$A$145")</f>
        <v/>
      </c>
      <c r="B3925" s="398" t="s">
        <v>479</v>
      </c>
      <c r="C3925" s="400" t="str">
        <f t="array" ref="C3925">INDIRECT("Tableau!$AS$145")</f>
        <v/>
      </c>
      <c r="D3925" s="400" t="str">
        <f t="shared" si="22"/>
        <v>IN</v>
      </c>
      <c r="E3925" s="403" t="str">
        <f t="array" ref="E3925">INDIRECT("Tableau!$AT$145")</f>
        <v/>
      </c>
    </row>
    <row r="3926">
      <c r="A3926" s="397" t="str">
        <f t="array" ref="A3926">INDIRECT("Tableau!$A$146")</f>
        <v/>
      </c>
      <c r="B3926" s="398" t="s">
        <v>479</v>
      </c>
      <c r="C3926" s="400" t="str">
        <f t="array" ref="C3926">INDIRECT("Tableau!$AS$146")</f>
        <v/>
      </c>
      <c r="D3926" s="400" t="str">
        <f t="shared" si="22"/>
        <v>IN</v>
      </c>
      <c r="E3926" s="403" t="str">
        <f t="array" ref="E3926">INDIRECT("Tableau!$AT$146")</f>
        <v/>
      </c>
    </row>
    <row r="3927">
      <c r="A3927" s="397" t="str">
        <f t="array" ref="A3927">INDIRECT("Tableau!$A$147")</f>
        <v/>
      </c>
      <c r="B3927" s="398" t="s">
        <v>479</v>
      </c>
      <c r="C3927" s="400" t="str">
        <f t="array" ref="C3927">INDIRECT("Tableau!$AS$147")</f>
        <v/>
      </c>
      <c r="D3927" s="400" t="str">
        <f t="shared" si="22"/>
        <v>IN</v>
      </c>
      <c r="E3927" s="403" t="str">
        <f t="array" ref="E3927">INDIRECT("Tableau!$AT$147")</f>
        <v/>
      </c>
    </row>
    <row r="3928">
      <c r="A3928" s="397" t="str">
        <f t="array" ref="A3928">INDIRECT("Tableau!$A$148")</f>
        <v/>
      </c>
      <c r="B3928" s="398" t="s">
        <v>479</v>
      </c>
      <c r="C3928" s="400" t="str">
        <f t="array" ref="C3928">INDIRECT("Tableau!$AS$148")</f>
        <v/>
      </c>
      <c r="D3928" s="400" t="str">
        <f t="shared" si="22"/>
        <v>IN</v>
      </c>
      <c r="E3928" s="403" t="str">
        <f t="array" ref="E3928">INDIRECT("Tableau!$AT$148")</f>
        <v/>
      </c>
    </row>
    <row r="3929">
      <c r="A3929" s="397" t="str">
        <f t="array" ref="A3929">INDIRECT("Tableau!$A$149")</f>
        <v/>
      </c>
      <c r="B3929" s="398" t="s">
        <v>479</v>
      </c>
      <c r="C3929" s="400" t="str">
        <f t="array" ref="C3929">INDIRECT("Tableau!$AS$149")</f>
        <v/>
      </c>
      <c r="D3929" s="400" t="str">
        <f t="shared" si="22"/>
        <v>IN</v>
      </c>
      <c r="E3929" s="403" t="str">
        <f t="array" ref="E3929">INDIRECT("Tableau!$AT$149")</f>
        <v/>
      </c>
    </row>
    <row r="3930">
      <c r="A3930" s="397" t="str">
        <f t="array" ref="A3930">INDIRECT("Tableau!$A$150")</f>
        <v/>
      </c>
      <c r="B3930" s="398" t="s">
        <v>479</v>
      </c>
      <c r="C3930" s="400" t="str">
        <f t="array" ref="C3930">INDIRECT("Tableau!$AS$150")</f>
        <v/>
      </c>
      <c r="D3930" s="400" t="str">
        <f t="shared" si="22"/>
        <v>IN</v>
      </c>
      <c r="E3930" s="403" t="str">
        <f t="array" ref="E3930">INDIRECT("Tableau!$AT$150")</f>
        <v/>
      </c>
    </row>
    <row r="3931">
      <c r="A3931" s="397" t="str">
        <f t="array" ref="A3931">INDIRECT("Tableau!$A$151")</f>
        <v/>
      </c>
      <c r="B3931" s="398" t="s">
        <v>479</v>
      </c>
      <c r="C3931" s="400" t="str">
        <f t="array" ref="C3931">INDIRECT("Tableau!$AS$151")</f>
        <v/>
      </c>
      <c r="D3931" s="400" t="str">
        <f t="shared" si="22"/>
        <v>IN</v>
      </c>
      <c r="E3931" s="403" t="str">
        <f t="array" ref="E3931">INDIRECT("Tableau!$AT$151")</f>
        <v/>
      </c>
    </row>
    <row r="3932">
      <c r="A3932" s="397" t="str">
        <f t="array" ref="A3932">INDIRECT("Tableau!$A$152")</f>
        <v/>
      </c>
      <c r="B3932" s="398" t="s">
        <v>479</v>
      </c>
      <c r="C3932" s="400" t="str">
        <f t="array" ref="C3932">INDIRECT("Tableau!$AS$152")</f>
        <v/>
      </c>
      <c r="D3932" s="400" t="str">
        <f t="shared" si="22"/>
        <v>IN</v>
      </c>
      <c r="E3932" s="403" t="str">
        <f t="array" ref="E3932">INDIRECT("Tableau!$AT$152")</f>
        <v/>
      </c>
    </row>
    <row r="3933">
      <c r="A3933" s="397" t="str">
        <f t="array" ref="A3933">INDIRECT("Tableau!$A$153")</f>
        <v/>
      </c>
      <c r="B3933" s="398" t="s">
        <v>479</v>
      </c>
      <c r="C3933" s="400" t="str">
        <f t="array" ref="C3933">INDIRECT("Tableau!$AS$153")</f>
        <v/>
      </c>
      <c r="D3933" s="400" t="str">
        <f t="shared" si="22"/>
        <v>IN</v>
      </c>
      <c r="E3933" s="403" t="str">
        <f t="array" ref="E3933">INDIRECT("Tableau!$AT$153")</f>
        <v/>
      </c>
    </row>
    <row r="3934">
      <c r="A3934" s="402">
        <f t="array" ref="A3934">INDIRECT("Tableau!$A$154")</f>
        <v>501</v>
      </c>
      <c r="B3934" s="398" t="s">
        <v>479</v>
      </c>
      <c r="C3934" s="400" t="str">
        <f t="array" ref="C3934">INDIRECT("Tableau!$AS$154")</f>
        <v/>
      </c>
      <c r="D3934" s="400" t="str">
        <f t="shared" si="22"/>
        <v>IN</v>
      </c>
      <c r="E3934" s="403" t="str">
        <f t="array" ref="E3934">INDIRECT("Tableau!$AT$154")</f>
        <v/>
      </c>
    </row>
    <row r="3935">
      <c r="A3935" s="402">
        <f t="array" ref="A3935">INDIRECT("Tableau!$A$155")</f>
        <v>502</v>
      </c>
      <c r="B3935" s="398" t="s">
        <v>479</v>
      </c>
      <c r="C3935" s="400" t="str">
        <f t="array" ref="C3935">INDIRECT("Tableau!$AS$155")</f>
        <v>DPS</v>
      </c>
      <c r="D3935" s="400" t="str">
        <f t="shared" si="22"/>
        <v>IN</v>
      </c>
      <c r="E3935" s="403" t="str">
        <f t="array" ref="E3935">INDIRECT("Tableau!$AT$155")</f>
        <v/>
      </c>
    </row>
    <row r="3936">
      <c r="A3936" s="397" t="str">
        <f t="array" ref="A3936">INDIRECT("Tableau!$A$156")</f>
        <v/>
      </c>
      <c r="B3936" s="398" t="s">
        <v>479</v>
      </c>
      <c r="C3936" s="400" t="str">
        <f t="array" ref="C3936">INDIRECT("Tableau!$AS$156")</f>
        <v/>
      </c>
      <c r="D3936" s="400" t="str">
        <f t="shared" si="22"/>
        <v>IN</v>
      </c>
      <c r="E3936" s="403" t="str">
        <f t="array" ref="E3936">INDIRECT("Tableau!$AT$156")</f>
        <v/>
      </c>
    </row>
    <row r="3937">
      <c r="A3937" s="397" t="str">
        <f t="array" ref="A3937">INDIRECT("Tableau!$A$157")</f>
        <v/>
      </c>
      <c r="B3937" s="398" t="s">
        <v>479</v>
      </c>
      <c r="C3937" s="400" t="str">
        <f t="array" ref="C3937">INDIRECT("Tableau!$AS$157")</f>
        <v/>
      </c>
      <c r="D3937" s="400" t="str">
        <f t="shared" si="22"/>
        <v>IN</v>
      </c>
      <c r="E3937" s="403" t="str">
        <f t="array" ref="E3937">INDIRECT("Tableau!$AT$157")</f>
        <v/>
      </c>
    </row>
    <row r="3938">
      <c r="A3938" s="402">
        <f t="array" ref="A3938">INDIRECT("Tableau!$A$158")</f>
        <v>505</v>
      </c>
      <c r="B3938" s="398" t="s">
        <v>479</v>
      </c>
      <c r="C3938" s="400" t="str">
        <f t="array" ref="C3938">INDIRECT("Tableau!$AS$158")</f>
        <v>DPS</v>
      </c>
      <c r="D3938" s="400" t="str">
        <f t="shared" si="22"/>
        <v>IN</v>
      </c>
      <c r="E3938" s="403" t="str">
        <f t="array" ref="E3938">INDIRECT("Tableau!$AT$158")</f>
        <v/>
      </c>
    </row>
    <row r="3939">
      <c r="A3939" s="402">
        <f t="array" ref="A3939">INDIRECT("Tableau!$A$159")</f>
        <v>506</v>
      </c>
      <c r="B3939" s="398" t="s">
        <v>479</v>
      </c>
      <c r="C3939" s="400" t="str">
        <f t="array" ref="C3939">INDIRECT("Tableau!$AS$159")</f>
        <v/>
      </c>
      <c r="D3939" s="400" t="str">
        <f t="shared" si="22"/>
        <v>IN</v>
      </c>
      <c r="E3939" s="403" t="str">
        <f t="array" ref="E3939">INDIRECT("Tableau!$AT$159")</f>
        <v/>
      </c>
    </row>
    <row r="3940">
      <c r="A3940" s="402">
        <f t="array" ref="A3940">INDIRECT("Tableau!$A$160")</f>
        <v>507</v>
      </c>
      <c r="B3940" s="398" t="s">
        <v>479</v>
      </c>
      <c r="C3940" s="400" t="str">
        <f t="array" ref="C3940">INDIRECT("Tableau!$AS$160")</f>
        <v>DPS</v>
      </c>
      <c r="D3940" s="400" t="str">
        <f t="shared" si="22"/>
        <v>IN</v>
      </c>
      <c r="E3940" s="403" t="str">
        <f t="array" ref="E3940">INDIRECT("Tableau!$AT$160")</f>
        <v/>
      </c>
    </row>
    <row r="3941">
      <c r="A3941" s="402">
        <f t="array" ref="A3941">INDIRECT("Tableau!$A$161")</f>
        <v>508</v>
      </c>
      <c r="B3941" s="398" t="s">
        <v>479</v>
      </c>
      <c r="C3941" s="400" t="str">
        <f t="array" ref="C3941">INDIRECT("Tableau!$AS$161")</f>
        <v/>
      </c>
      <c r="D3941" s="400" t="str">
        <f t="shared" si="22"/>
        <v>IN</v>
      </c>
      <c r="E3941" s="403" t="str">
        <f t="array" ref="E3941">INDIRECT("Tableau!$AT$161")</f>
        <v/>
      </c>
    </row>
    <row r="3942">
      <c r="A3942" s="402">
        <f t="array" ref="A3942">INDIRECT("Tableau!$A$162")</f>
        <v>509</v>
      </c>
      <c r="B3942" s="398" t="s">
        <v>479</v>
      </c>
      <c r="C3942" s="400" t="str">
        <f t="array" ref="C3942">INDIRECT("Tableau!$AS$162")</f>
        <v/>
      </c>
      <c r="D3942" s="400" t="str">
        <f t="shared" si="22"/>
        <v>IN</v>
      </c>
      <c r="E3942" s="403" t="str">
        <f t="array" ref="E3942">INDIRECT("Tableau!$AT$162")</f>
        <v/>
      </c>
    </row>
    <row r="3943">
      <c r="A3943" s="397">
        <f t="array" ref="A3943">INDIRECT("Tableau!$A$163")</f>
        <v>510</v>
      </c>
      <c r="B3943" s="398" t="s">
        <v>479</v>
      </c>
      <c r="C3943" s="400" t="str">
        <f t="array" ref="C3943">INDIRECT("Tableau!$AS$163")</f>
        <v>DPS</v>
      </c>
      <c r="D3943" s="400" t="str">
        <f t="shared" si="22"/>
        <v>IN</v>
      </c>
      <c r="E3943" s="403" t="str">
        <f t="array" ref="E3943">INDIRECT("Tableau!$AT$163")</f>
        <v/>
      </c>
    </row>
    <row r="3944">
      <c r="A3944" s="397" t="str">
        <f t="array" ref="A3944">INDIRECT("Tableau!$A$164")</f>
        <v/>
      </c>
      <c r="B3944" s="398" t="s">
        <v>479</v>
      </c>
      <c r="C3944" s="400" t="str">
        <f t="array" ref="C3944">INDIRECT("Tableau!$AS$164")</f>
        <v/>
      </c>
      <c r="D3944" s="400" t="str">
        <f t="shared" si="22"/>
        <v>IN</v>
      </c>
      <c r="E3944" s="403" t="str">
        <f t="array" ref="E3944">INDIRECT("Tableau!$AT$164")</f>
        <v/>
      </c>
    </row>
    <row r="3945">
      <c r="A3945" s="397" t="str">
        <f t="array" ref="A3945">INDIRECT("Tableau!$A$165")</f>
        <v/>
      </c>
      <c r="B3945" s="398" t="s">
        <v>479</v>
      </c>
      <c r="C3945" s="400" t="str">
        <f t="array" ref="C3945">INDIRECT("Tableau!$AS$165")</f>
        <v/>
      </c>
      <c r="D3945" s="400" t="str">
        <f t="shared" si="22"/>
        <v>IN</v>
      </c>
      <c r="E3945" s="403" t="str">
        <f t="array" ref="E3945">INDIRECT("Tableau!$AT$165")</f>
        <v/>
      </c>
    </row>
    <row r="3946">
      <c r="A3946" s="402">
        <f t="array" ref="A3946">INDIRECT("Tableau!$A$166")</f>
        <v>527</v>
      </c>
      <c r="B3946" s="398" t="s">
        <v>479</v>
      </c>
      <c r="C3946" s="400" t="str">
        <f t="array" ref="C3946">INDIRECT("Tableau!$AS$166")</f>
        <v/>
      </c>
      <c r="D3946" s="400" t="str">
        <f t="shared" si="22"/>
        <v>IN</v>
      </c>
      <c r="E3946" s="403" t="str">
        <f t="array" ref="E3946">INDIRECT("Tableau!$AT$166")</f>
        <v/>
      </c>
    </row>
    <row r="3947">
      <c r="A3947" s="402">
        <f t="array" ref="A3947">INDIRECT("Tableau!$A$167")</f>
        <v>512</v>
      </c>
      <c r="B3947" s="398" t="s">
        <v>479</v>
      </c>
      <c r="C3947" s="400" t="str">
        <f t="array" ref="C3947">INDIRECT("Tableau!$AS$167")</f>
        <v>DPS</v>
      </c>
      <c r="D3947" s="400" t="str">
        <f t="shared" si="22"/>
        <v>IN</v>
      </c>
      <c r="E3947" s="403" t="str">
        <f t="array" ref="E3947">INDIRECT("Tableau!$AT$167")</f>
        <v/>
      </c>
    </row>
    <row r="3948">
      <c r="A3948" s="402">
        <f t="array" ref="A3948">INDIRECT("Tableau!$A$168")</f>
        <v>513</v>
      </c>
      <c r="B3948" s="398" t="s">
        <v>479</v>
      </c>
      <c r="C3948" s="400" t="str">
        <f t="array" ref="C3948">INDIRECT("Tableau!$AS$168")</f>
        <v/>
      </c>
      <c r="D3948" s="400" t="str">
        <f t="shared" si="22"/>
        <v>IN</v>
      </c>
      <c r="E3948" s="403" t="str">
        <f t="array" ref="E3948">INDIRECT("Tableau!$AT$168")</f>
        <v/>
      </c>
    </row>
    <row r="3949">
      <c r="A3949" s="402">
        <f t="array" ref="A3949">INDIRECT("Tableau!$A$169")</f>
        <v>514</v>
      </c>
      <c r="B3949" s="398" t="s">
        <v>479</v>
      </c>
      <c r="C3949" s="400" t="str">
        <f t="array" ref="C3949">INDIRECT("Tableau!$AS$169")</f>
        <v/>
      </c>
      <c r="D3949" s="400" t="str">
        <f t="shared" si="22"/>
        <v>IN</v>
      </c>
      <c r="E3949" s="403" t="str">
        <f t="array" ref="E3949">INDIRECT("Tableau!$AT$169")</f>
        <v/>
      </c>
    </row>
    <row r="3950">
      <c r="A3950" s="402">
        <f t="array" ref="A3950">INDIRECT("Tableau!$A$170")</f>
        <v>515</v>
      </c>
      <c r="B3950" s="398" t="s">
        <v>479</v>
      </c>
      <c r="C3950" s="400" t="str">
        <f t="array" ref="C3950">INDIRECT("Tableau!$AS$170")</f>
        <v/>
      </c>
      <c r="D3950" s="400" t="str">
        <f t="shared" si="22"/>
        <v>IN</v>
      </c>
      <c r="E3950" s="403" t="str">
        <f t="array" ref="E3950">INDIRECT("Tableau!$AT$170")</f>
        <v/>
      </c>
    </row>
    <row r="3951">
      <c r="A3951" s="402">
        <f t="array" ref="A3951">INDIRECT("Tableau!$A$171")</f>
        <v>517</v>
      </c>
      <c r="B3951" s="398" t="s">
        <v>479</v>
      </c>
      <c r="C3951" s="400" t="str">
        <f t="array" ref="C3951">INDIRECT("Tableau!$AS$171")</f>
        <v/>
      </c>
      <c r="D3951" s="400" t="str">
        <f t="shared" si="22"/>
        <v>IN</v>
      </c>
      <c r="E3951" s="403" t="str">
        <f t="array" ref="E3951">INDIRECT("Tableau!$AT$171")</f>
        <v/>
      </c>
    </row>
    <row r="3952">
      <c r="A3952" s="402">
        <f t="array" ref="A3952">INDIRECT("Tableau!$A$172")</f>
        <v>518</v>
      </c>
      <c r="B3952" s="398" t="s">
        <v>479</v>
      </c>
      <c r="C3952" s="400" t="str">
        <f t="array" ref="C3952">INDIRECT("Tableau!$AS$172")</f>
        <v/>
      </c>
      <c r="D3952" s="400" t="str">
        <f t="shared" si="22"/>
        <v>IN</v>
      </c>
      <c r="E3952" s="403" t="str">
        <f t="array" ref="E3952">INDIRECT("Tableau!$AT$172")</f>
        <v/>
      </c>
    </row>
    <row r="3953">
      <c r="A3953" s="397" t="str">
        <f t="array" ref="A3953">INDIRECT("Tableau!$A$173")</f>
        <v/>
      </c>
      <c r="B3953" s="398" t="s">
        <v>479</v>
      </c>
      <c r="C3953" s="400" t="str">
        <f t="array" ref="C3953">INDIRECT("Tableau!$AS$173")</f>
        <v/>
      </c>
      <c r="D3953" s="400" t="str">
        <f t="shared" si="22"/>
        <v>IN</v>
      </c>
      <c r="E3953" s="403" t="str">
        <f t="array" ref="E3953">INDIRECT("Tableau!$AT$173")</f>
        <v/>
      </c>
    </row>
    <row r="3954">
      <c r="A3954" s="402">
        <f t="array" ref="A3954">INDIRECT("Tableau!$A$174")</f>
        <v>520</v>
      </c>
      <c r="B3954" s="398" t="s">
        <v>479</v>
      </c>
      <c r="C3954" s="400" t="str">
        <f t="array" ref="C3954">INDIRECT("Tableau!$AS$174")</f>
        <v/>
      </c>
      <c r="D3954" s="400" t="str">
        <f t="shared" si="22"/>
        <v>IN</v>
      </c>
      <c r="E3954" s="403" t="str">
        <f t="array" ref="E3954">INDIRECT("Tableau!$AT$174")</f>
        <v/>
      </c>
    </row>
    <row r="3955">
      <c r="A3955" s="402">
        <f t="array" ref="A3955">INDIRECT("Tableau!$A$175")</f>
        <v>521</v>
      </c>
      <c r="B3955" s="398" t="s">
        <v>479</v>
      </c>
      <c r="C3955" s="400" t="str">
        <f t="array" ref="C3955">INDIRECT("Tableau!$AS$175")</f>
        <v/>
      </c>
      <c r="D3955" s="400" t="str">
        <f t="shared" si="22"/>
        <v>IN</v>
      </c>
      <c r="E3955" s="403" t="str">
        <f t="array" ref="E3955">INDIRECT("Tableau!$AT$175")</f>
        <v/>
      </c>
    </row>
    <row r="3956">
      <c r="A3956" s="402">
        <f t="array" ref="A3956">INDIRECT("Tableau!$A$176")</f>
        <v>525</v>
      </c>
      <c r="B3956" s="398" t="s">
        <v>479</v>
      </c>
      <c r="C3956" s="400" t="str">
        <f t="array" ref="C3956">INDIRECT("Tableau!$AS$176")</f>
        <v/>
      </c>
      <c r="D3956" s="400" t="str">
        <f t="shared" si="22"/>
        <v>IN</v>
      </c>
      <c r="E3956" s="403" t="str">
        <f t="array" ref="E3956">INDIRECT("Tableau!$AT$176")</f>
        <v/>
      </c>
    </row>
    <row r="3957">
      <c r="A3957" s="402">
        <f t="array" ref="A3957">INDIRECT("Tableau!$A$177")</f>
        <v>530</v>
      </c>
      <c r="B3957" s="398" t="s">
        <v>479</v>
      </c>
      <c r="C3957" s="400" t="str">
        <f t="array" ref="C3957">INDIRECT("Tableau!$AS$177")</f>
        <v>DPS</v>
      </c>
      <c r="D3957" s="400" t="str">
        <f t="shared" si="22"/>
        <v>IN</v>
      </c>
      <c r="E3957" s="403" t="str">
        <f t="array" ref="E3957">INDIRECT("Tableau!$AT$177")</f>
        <v/>
      </c>
    </row>
    <row r="3958">
      <c r="A3958" s="397" t="str">
        <f t="array" ref="A3958">INDIRECT("Tableau!$A$178")</f>
        <v/>
      </c>
      <c r="B3958" s="398" t="s">
        <v>479</v>
      </c>
      <c r="C3958" s="400" t="str">
        <f t="array" ref="C3958">INDIRECT("Tableau!$AS$178")</f>
        <v/>
      </c>
      <c r="D3958" s="400" t="str">
        <f t="shared" si="22"/>
        <v>IN</v>
      </c>
      <c r="E3958" s="403" t="str">
        <f t="array" ref="E3958">INDIRECT("Tableau!$AT$178")</f>
        <v/>
      </c>
    </row>
    <row r="3959">
      <c r="A3959" s="397" t="str">
        <f t="array" ref="A3959">INDIRECT("Tableau!$A$179")</f>
        <v/>
      </c>
      <c r="B3959" s="398" t="s">
        <v>479</v>
      </c>
      <c r="C3959" s="400" t="str">
        <f t="array" ref="C3959">INDIRECT("Tableau!$AS$179")</f>
        <v/>
      </c>
      <c r="D3959" s="400" t="str">
        <f t="shared" si="22"/>
        <v>IN</v>
      </c>
      <c r="E3959" s="403" t="str">
        <f t="array" ref="E3959">INDIRECT("Tableau!$AT$179")</f>
        <v/>
      </c>
    </row>
    <row r="3960">
      <c r="A3960" s="397" t="str">
        <f t="array" ref="A3960">INDIRECT("Tableau!$A$180")</f>
        <v/>
      </c>
      <c r="B3960" s="398" t="s">
        <v>479</v>
      </c>
      <c r="C3960" s="400" t="str">
        <f t="array" ref="C3960">INDIRECT("Tableau!$AS$180")</f>
        <v/>
      </c>
      <c r="D3960" s="400" t="str">
        <f t="shared" si="22"/>
        <v>IN</v>
      </c>
      <c r="E3960" s="403" t="str">
        <f t="array" ref="E3960">INDIRECT("Tableau!$AT$180")</f>
        <v/>
      </c>
    </row>
    <row r="3961">
      <c r="A3961" s="397" t="str">
        <f t="array" ref="A3961">INDIRECT("Tableau!$A$181")</f>
        <v/>
      </c>
      <c r="B3961" s="398" t="s">
        <v>479</v>
      </c>
      <c r="C3961" s="400" t="str">
        <f t="array" ref="C3961">INDIRECT("Tableau!$AS$181")</f>
        <v/>
      </c>
      <c r="D3961" s="400" t="str">
        <f t="shared" si="22"/>
        <v>IN</v>
      </c>
      <c r="E3961" s="403" t="str">
        <f t="array" ref="E3961">INDIRECT("Tableau!$AT$181")</f>
        <v/>
      </c>
    </row>
    <row r="3962">
      <c r="A3962" s="397" t="str">
        <f t="array" ref="A3962">INDIRECT("Tableau!$A$182")</f>
        <v/>
      </c>
      <c r="B3962" s="398" t="s">
        <v>479</v>
      </c>
      <c r="C3962" s="400" t="str">
        <f t="array" ref="C3962">INDIRECT("Tableau!$AS$182")</f>
        <v/>
      </c>
      <c r="D3962" s="400" t="str">
        <f t="shared" si="22"/>
        <v>IN</v>
      </c>
      <c r="E3962" s="403" t="str">
        <f t="array" ref="E3962">INDIRECT("Tableau!$AT$182")</f>
        <v/>
      </c>
    </row>
    <row r="3963">
      <c r="A3963" s="397" t="str">
        <f t="array" ref="A3963">INDIRECT("Tableau!$A$183")</f>
        <v/>
      </c>
      <c r="B3963" s="398" t="s">
        <v>479</v>
      </c>
      <c r="C3963" s="400" t="str">
        <f t="array" ref="C3963">INDIRECT("Tableau!$AS$183")</f>
        <v/>
      </c>
      <c r="D3963" s="400" t="str">
        <f t="shared" si="22"/>
        <v>IN</v>
      </c>
      <c r="E3963" s="403" t="str">
        <f t="array" ref="E3963">INDIRECT("Tableau!$AT$183")</f>
        <v/>
      </c>
    </row>
    <row r="3964">
      <c r="A3964" s="397" t="str">
        <f t="array" ref="A3964">INDIRECT("Tableau!$A$184")</f>
        <v/>
      </c>
      <c r="B3964" s="398" t="s">
        <v>479</v>
      </c>
      <c r="C3964" s="400" t="str">
        <f t="array" ref="C3964">INDIRECT("Tableau!$AS$184")</f>
        <v/>
      </c>
      <c r="D3964" s="400" t="str">
        <f t="shared" si="22"/>
        <v>IN</v>
      </c>
      <c r="E3964" s="403" t="str">
        <f t="array" ref="E3964">INDIRECT("Tableau!$AT$184")</f>
        <v/>
      </c>
    </row>
    <row r="3965">
      <c r="A3965" s="397" t="str">
        <f t="array" ref="A3965">INDIRECT("Tableau!$A$185")</f>
        <v/>
      </c>
      <c r="B3965" s="398" t="s">
        <v>479</v>
      </c>
      <c r="C3965" s="400" t="str">
        <f t="array" ref="C3965">INDIRECT("Tableau!$AS$185")</f>
        <v/>
      </c>
      <c r="D3965" s="400" t="str">
        <f t="shared" si="22"/>
        <v>IN</v>
      </c>
      <c r="E3965" s="403" t="str">
        <f t="array" ref="E3965">INDIRECT("Tableau!$AT$185")</f>
        <v/>
      </c>
    </row>
    <row r="3966">
      <c r="A3966" s="397" t="str">
        <f t="array" ref="A3966">INDIRECT("Tableau!$A$186")</f>
        <v/>
      </c>
      <c r="B3966" s="398" t="s">
        <v>479</v>
      </c>
      <c r="C3966" s="400" t="str">
        <f t="array" ref="C3966">INDIRECT("Tableau!$AS$186")</f>
        <v/>
      </c>
      <c r="D3966" s="400" t="str">
        <f t="shared" si="22"/>
        <v>IN</v>
      </c>
      <c r="E3966" s="403" t="str">
        <f t="array" ref="E3966">INDIRECT("Tableau!$AT$186")</f>
        <v/>
      </c>
    </row>
    <row r="3967">
      <c r="A3967" s="397" t="str">
        <f t="array" ref="A3967">INDIRECT("Tableau!$A$187")</f>
        <v/>
      </c>
      <c r="B3967" s="398" t="s">
        <v>479</v>
      </c>
      <c r="C3967" s="400" t="str">
        <f t="array" ref="C3967">INDIRECT("Tableau!$AS$187")</f>
        <v/>
      </c>
      <c r="D3967" s="400" t="str">
        <f t="shared" si="22"/>
        <v>IN</v>
      </c>
      <c r="E3967" s="403" t="str">
        <f t="array" ref="E3967">INDIRECT("Tableau!$AT$187")</f>
        <v/>
      </c>
    </row>
    <row r="3968">
      <c r="A3968" s="397" t="str">
        <f t="array" ref="A3968">INDIRECT("Tableau!$A$188")</f>
        <v/>
      </c>
      <c r="B3968" s="398" t="s">
        <v>479</v>
      </c>
      <c r="C3968" s="400" t="str">
        <f t="array" ref="C3968">INDIRECT("Tableau!$AS$188")</f>
        <v/>
      </c>
      <c r="D3968" s="400" t="str">
        <f t="shared" si="22"/>
        <v>IN</v>
      </c>
      <c r="E3968" s="403" t="str">
        <f t="array" ref="E3968">INDIRECT("Tableau!$AT$188")</f>
        <v/>
      </c>
    </row>
    <row r="3969">
      <c r="A3969" s="397" t="str">
        <f t="array" ref="A3969">INDIRECT("Tableau!$A$189")</f>
        <v/>
      </c>
      <c r="B3969" s="398" t="s">
        <v>479</v>
      </c>
      <c r="C3969" s="400" t="str">
        <f t="array" ref="C3969">INDIRECT("Tableau!$AS$189")</f>
        <v/>
      </c>
      <c r="D3969" s="400" t="str">
        <f t="shared" si="22"/>
        <v>IN</v>
      </c>
      <c r="E3969" s="403" t="str">
        <f t="array" ref="E3969">INDIRECT("Tableau!$AT$189")</f>
        <v/>
      </c>
    </row>
    <row r="3970">
      <c r="A3970" s="397" t="str">
        <f t="array" ref="A3970">INDIRECT("Tableau!$A$190")</f>
        <v/>
      </c>
      <c r="B3970" s="398" t="s">
        <v>479</v>
      </c>
      <c r="C3970" s="400" t="str">
        <f t="array" ref="C3970">INDIRECT("Tableau!$AS$190")</f>
        <v/>
      </c>
      <c r="D3970" s="400" t="str">
        <f t="shared" si="22"/>
        <v>IN</v>
      </c>
      <c r="E3970" s="403" t="str">
        <f t="array" ref="E3970">INDIRECT("Tableau!$AT$190")</f>
        <v/>
      </c>
    </row>
    <row r="3971">
      <c r="A3971" s="397" t="str">
        <f t="array" ref="A3971">INDIRECT("Tableau!$A$2")</f>
        <v/>
      </c>
      <c r="B3971" s="398" t="s">
        <v>479</v>
      </c>
      <c r="C3971" s="400" t="str">
        <f t="array" ref="C3971">INDIRECT("Tableau!$AU$2")</f>
        <v/>
      </c>
      <c r="D3971" s="400" t="str">
        <f t="shared" ref="D3971:D4159" si="23">INDIRECT("Tableau!$AV$1")</f>
        <v>OUT</v>
      </c>
      <c r="E3971" s="403" t="str">
        <f t="array" ref="E3971">INDIRECT("Tableau!$AV$2")</f>
        <v/>
      </c>
    </row>
    <row r="3972">
      <c r="A3972" s="402">
        <f t="array" ref="A3972">INDIRECT("Tableau!$A$3")</f>
        <v>102</v>
      </c>
      <c r="B3972" s="398" t="s">
        <v>479</v>
      </c>
      <c r="C3972" s="400" t="str">
        <f t="array" ref="C3972">INDIRECT("Tableau!$AU$3")</f>
        <v/>
      </c>
      <c r="D3972" s="400" t="str">
        <f t="shared" si="23"/>
        <v>OUT</v>
      </c>
      <c r="E3972" s="403" t="str">
        <f t="array" ref="E3972">INDIRECT("Tableau!$AV$3")</f>
        <v/>
      </c>
    </row>
    <row r="3973">
      <c r="A3973" s="397" t="str">
        <f t="array" ref="A3973">INDIRECT("Tableau!$A$4")</f>
        <v/>
      </c>
      <c r="B3973" s="398" t="s">
        <v>479</v>
      </c>
      <c r="C3973" s="400" t="str">
        <f t="array" ref="C3973">INDIRECT("Tableau!$AU$4")</f>
        <v/>
      </c>
      <c r="D3973" s="400" t="str">
        <f t="shared" si="23"/>
        <v>OUT</v>
      </c>
      <c r="E3973" s="403" t="str">
        <f t="array" ref="E3973">INDIRECT("Tableau!$AV$4")</f>
        <v/>
      </c>
    </row>
    <row r="3974">
      <c r="A3974" s="402">
        <f t="array" ref="A3974">INDIRECT("Tableau!$A$5")</f>
        <v>104</v>
      </c>
      <c r="B3974" s="398" t="s">
        <v>479</v>
      </c>
      <c r="C3974" s="400" t="str">
        <f t="array" ref="C3974">INDIRECT("Tableau!$AU$5")</f>
        <v/>
      </c>
      <c r="D3974" s="400" t="str">
        <f t="shared" si="23"/>
        <v>OUT</v>
      </c>
      <c r="E3974" s="403" t="str">
        <f t="array" ref="E3974">INDIRECT("Tableau!$AV$5")</f>
        <v/>
      </c>
    </row>
    <row r="3975">
      <c r="A3975" s="402">
        <f t="array" ref="A3975">INDIRECT("Tableau!$A$6")</f>
        <v>105</v>
      </c>
      <c r="B3975" s="398" t="s">
        <v>479</v>
      </c>
      <c r="C3975" s="400" t="str">
        <f t="array" ref="C3975">INDIRECT("Tableau!$AU$6")</f>
        <v/>
      </c>
      <c r="D3975" s="400" t="str">
        <f t="shared" si="23"/>
        <v>OUT</v>
      </c>
      <c r="E3975" s="403" t="str">
        <f t="array" ref="E3975">INDIRECT("Tableau!$AV$6")</f>
        <v/>
      </c>
    </row>
    <row r="3976">
      <c r="A3976" s="402">
        <f t="array" ref="A3976">INDIRECT("Tableau!$A$7")</f>
        <v>106</v>
      </c>
      <c r="B3976" s="398" t="s">
        <v>479</v>
      </c>
      <c r="C3976" s="400" t="str">
        <f t="array" ref="C3976">INDIRECT("Tableau!$AU$7")</f>
        <v/>
      </c>
      <c r="D3976" s="400" t="str">
        <f t="shared" si="23"/>
        <v>OUT</v>
      </c>
      <c r="E3976" s="403" t="str">
        <f t="array" ref="E3976">INDIRECT("Tableau!$AV$7")</f>
        <v/>
      </c>
    </row>
    <row r="3977">
      <c r="A3977" s="402">
        <f t="array" ref="A3977">INDIRECT("Tableau!$A$8")</f>
        <v>107</v>
      </c>
      <c r="B3977" s="398" t="s">
        <v>479</v>
      </c>
      <c r="C3977" s="400" t="str">
        <f t="array" ref="C3977">INDIRECT("Tableau!$AU$8")</f>
        <v/>
      </c>
      <c r="D3977" s="400" t="str">
        <f t="shared" si="23"/>
        <v>OUT</v>
      </c>
      <c r="E3977" s="403" t="str">
        <f t="array" ref="E3977">INDIRECT("Tableau!$AV$8")</f>
        <v/>
      </c>
    </row>
    <row r="3978">
      <c r="A3978" s="397">
        <f t="array" ref="A3978">INDIRECT("Tableau!$A$9")</f>
        <v>108</v>
      </c>
      <c r="B3978" s="398" t="s">
        <v>479</v>
      </c>
      <c r="C3978" s="400" t="str">
        <f t="array" ref="C3978">INDIRECT("Tableau!$AU$9")</f>
        <v/>
      </c>
      <c r="D3978" s="400" t="str">
        <f t="shared" si="23"/>
        <v>OUT</v>
      </c>
      <c r="E3978" s="403" t="str">
        <f t="array" ref="E3978">INDIRECT("Tableau!$AV$9")</f>
        <v/>
      </c>
    </row>
    <row r="3979">
      <c r="A3979" s="402">
        <f t="array" ref="A3979">INDIRECT("Tableau!$A$10")</f>
        <v>109</v>
      </c>
      <c r="B3979" s="398" t="s">
        <v>479</v>
      </c>
      <c r="C3979" s="400" t="str">
        <f t="array" ref="C3979">INDIRECT("Tableau!$AU$10")</f>
        <v/>
      </c>
      <c r="D3979" s="400" t="str">
        <f t="shared" si="23"/>
        <v>OUT</v>
      </c>
      <c r="E3979" s="403" t="str">
        <f t="array" ref="E3979">INDIRECT("Tableau!$AV$10")</f>
        <v/>
      </c>
    </row>
    <row r="3980">
      <c r="A3980" s="402">
        <f t="array" ref="A3980">INDIRECT("Tableau!$A$11")</f>
        <v>110</v>
      </c>
      <c r="B3980" s="398" t="s">
        <v>479</v>
      </c>
      <c r="C3980" s="400" t="str">
        <f t="array" ref="C3980">INDIRECT("Tableau!$AU$11")</f>
        <v/>
      </c>
      <c r="D3980" s="400" t="str">
        <f t="shared" si="23"/>
        <v>OUT</v>
      </c>
      <c r="E3980" s="403" t="str">
        <f t="array" ref="E3980">INDIRECT("Tableau!$AV$11")</f>
        <v/>
      </c>
    </row>
    <row r="3981">
      <c r="A3981" s="402">
        <f t="array" ref="A3981">INDIRECT("Tableau!$A$12")</f>
        <v>111</v>
      </c>
      <c r="B3981" s="398" t="s">
        <v>479</v>
      </c>
      <c r="C3981" s="400" t="str">
        <f t="array" ref="C3981">INDIRECT("Tableau!$AU$12")</f>
        <v/>
      </c>
      <c r="D3981" s="400" t="str">
        <f t="shared" si="23"/>
        <v>OUT</v>
      </c>
      <c r="E3981" s="403" t="str">
        <f t="array" ref="E3981">INDIRECT("Tableau!$AV$12")</f>
        <v/>
      </c>
    </row>
    <row r="3982">
      <c r="A3982" s="402">
        <f t="array" ref="A3982">INDIRECT("Tableau!$A$13")</f>
        <v>112</v>
      </c>
      <c r="B3982" s="398" t="s">
        <v>479</v>
      </c>
      <c r="C3982" s="400" t="str">
        <f t="array" ref="C3982">INDIRECT("Tableau!$AU$13")</f>
        <v/>
      </c>
      <c r="D3982" s="400" t="str">
        <f t="shared" si="23"/>
        <v>OUT</v>
      </c>
      <c r="E3982" s="403" t="str">
        <f t="array" ref="E3982">INDIRECT("Tableau!$AV$13")</f>
        <v/>
      </c>
    </row>
    <row r="3983">
      <c r="A3983" s="402">
        <f t="array" ref="A3983">INDIRECT("Tableau!$A$14")</f>
        <v>113</v>
      </c>
      <c r="B3983" s="398" t="s">
        <v>479</v>
      </c>
      <c r="C3983" s="400" t="str">
        <f t="array" ref="C3983">INDIRECT("Tableau!$AU$14")</f>
        <v/>
      </c>
      <c r="D3983" s="400" t="str">
        <f t="shared" si="23"/>
        <v>OUT</v>
      </c>
      <c r="E3983" s="403" t="str">
        <f t="array" ref="E3983">INDIRECT("Tableau!$AV$14")</f>
        <v/>
      </c>
    </row>
    <row r="3984">
      <c r="A3984" s="397">
        <f t="array" ref="A3984">INDIRECT("Tableau!$A$15")</f>
        <v>114</v>
      </c>
      <c r="B3984" s="398" t="s">
        <v>479</v>
      </c>
      <c r="C3984" s="400" t="str">
        <f t="array" ref="C3984">INDIRECT("Tableau!$AU$15")</f>
        <v/>
      </c>
      <c r="D3984" s="400" t="str">
        <f t="shared" si="23"/>
        <v>OUT</v>
      </c>
      <c r="E3984" s="403" t="str">
        <f t="array" ref="E3984">INDIRECT("Tableau!$AV$15")</f>
        <v/>
      </c>
    </row>
    <row r="3985">
      <c r="A3985" s="397" t="str">
        <f t="array" ref="A3985">INDIRECT("Tableau!$A$16")</f>
        <v/>
      </c>
      <c r="B3985" s="398" t="s">
        <v>479</v>
      </c>
      <c r="C3985" s="400" t="str">
        <f t="array" ref="C3985">INDIRECT("Tableau!$AU$16")</f>
        <v/>
      </c>
      <c r="D3985" s="400" t="str">
        <f t="shared" si="23"/>
        <v>OUT</v>
      </c>
      <c r="E3985" s="403" t="str">
        <f t="array" ref="E3985">INDIRECT("Tableau!$AV$16")</f>
        <v/>
      </c>
    </row>
    <row r="3986">
      <c r="A3986" s="397" t="str">
        <f t="array" ref="A3986">INDIRECT("Tableau!$A$17")</f>
        <v/>
      </c>
      <c r="B3986" s="398" t="s">
        <v>479</v>
      </c>
      <c r="C3986" s="400" t="str">
        <f t="array" ref="C3986">INDIRECT("Tableau!$AU$17")</f>
        <v/>
      </c>
      <c r="D3986" s="400" t="str">
        <f t="shared" si="23"/>
        <v>OUT</v>
      </c>
      <c r="E3986" s="403" t="str">
        <f t="array" ref="E3986">INDIRECT("Tableau!$AV$17")</f>
        <v/>
      </c>
    </row>
    <row r="3987">
      <c r="A3987" s="397" t="str">
        <f t="array" ref="A3987">INDIRECT("Tableau!$A$18")</f>
        <v/>
      </c>
      <c r="B3987" s="398" t="s">
        <v>479</v>
      </c>
      <c r="C3987" s="400" t="str">
        <f t="array" ref="C3987">INDIRECT("Tableau!$AU$18")</f>
        <v/>
      </c>
      <c r="D3987" s="400" t="str">
        <f t="shared" si="23"/>
        <v>OUT</v>
      </c>
      <c r="E3987" s="403" t="str">
        <f t="array" ref="E3987">INDIRECT("Tableau!$AV$18")</f>
        <v/>
      </c>
    </row>
    <row r="3988">
      <c r="A3988" s="397" t="str">
        <f t="array" ref="A3988">INDIRECT("Tableau!$A$19")</f>
        <v/>
      </c>
      <c r="B3988" s="398" t="s">
        <v>479</v>
      </c>
      <c r="C3988" s="400" t="str">
        <f t="array" ref="C3988">INDIRECT("Tableau!$AU$19")</f>
        <v/>
      </c>
      <c r="D3988" s="400" t="str">
        <f t="shared" si="23"/>
        <v>OUT</v>
      </c>
      <c r="E3988" s="403" t="str">
        <f t="array" ref="E3988">INDIRECT("Tableau!$AV$19")</f>
        <v/>
      </c>
    </row>
    <row r="3989">
      <c r="A3989" s="397" t="str">
        <f t="array" ref="A3989">INDIRECT("Tableau!$A$20")</f>
        <v/>
      </c>
      <c r="B3989" s="398" t="s">
        <v>479</v>
      </c>
      <c r="C3989" s="400" t="str">
        <f t="array" ref="C3989">INDIRECT("Tableau!$AU$20")</f>
        <v/>
      </c>
      <c r="D3989" s="400" t="str">
        <f t="shared" si="23"/>
        <v>OUT</v>
      </c>
      <c r="E3989" s="403" t="str">
        <f t="array" ref="E3989">INDIRECT("Tableau!$AV$20")</f>
        <v/>
      </c>
    </row>
    <row r="3990">
      <c r="A3990" s="397" t="str">
        <f t="array" ref="A3990">INDIRECT("Tableau!$A$21")</f>
        <v/>
      </c>
      <c r="B3990" s="398" t="s">
        <v>479</v>
      </c>
      <c r="C3990" s="400" t="str">
        <f t="array" ref="C3990">INDIRECT("Tableau!$AU$21")</f>
        <v/>
      </c>
      <c r="D3990" s="400" t="str">
        <f t="shared" si="23"/>
        <v>OUT</v>
      </c>
      <c r="E3990" s="403" t="str">
        <f t="array" ref="E3990">INDIRECT("Tableau!$AV$21")</f>
        <v/>
      </c>
    </row>
    <row r="3991">
      <c r="A3991" s="397" t="str">
        <f t="array" ref="A3991">INDIRECT("Tableau!$A$22")</f>
        <v/>
      </c>
      <c r="B3991" s="398" t="s">
        <v>479</v>
      </c>
      <c r="C3991" s="400" t="str">
        <f t="array" ref="C3991">INDIRECT("Tableau!$AU$22")</f>
        <v/>
      </c>
      <c r="D3991" s="400" t="str">
        <f t="shared" si="23"/>
        <v>OUT</v>
      </c>
      <c r="E3991" s="403" t="str">
        <f t="array" ref="E3991">INDIRECT("Tableau!$AV$22")</f>
        <v/>
      </c>
    </row>
    <row r="3992">
      <c r="A3992" s="397" t="str">
        <f t="array" ref="A3992">INDIRECT("Tableau!$A$23")</f>
        <v/>
      </c>
      <c r="B3992" s="398" t="s">
        <v>479</v>
      </c>
      <c r="C3992" s="400" t="str">
        <f t="array" ref="C3992">INDIRECT("Tableau!$AU$23")</f>
        <v/>
      </c>
      <c r="D3992" s="400" t="str">
        <f t="shared" si="23"/>
        <v>OUT</v>
      </c>
      <c r="E3992" s="403" t="str">
        <f t="array" ref="E3992">INDIRECT("Tableau!$AV$23")</f>
        <v/>
      </c>
    </row>
    <row r="3993">
      <c r="A3993" s="397" t="str">
        <f t="array" ref="A3993">INDIRECT("Tableau!$A$24")</f>
        <v/>
      </c>
      <c r="B3993" s="398" t="s">
        <v>479</v>
      </c>
      <c r="C3993" s="400" t="str">
        <f t="array" ref="C3993">INDIRECT("Tableau!$AU$24")</f>
        <v/>
      </c>
      <c r="D3993" s="400" t="str">
        <f t="shared" si="23"/>
        <v>OUT</v>
      </c>
      <c r="E3993" s="403" t="str">
        <f t="array" ref="E3993">INDIRECT("Tableau!$AV$24")</f>
        <v/>
      </c>
    </row>
    <row r="3994">
      <c r="A3994" s="397" t="str">
        <f t="array" ref="A3994">INDIRECT("Tableau!$A$25")</f>
        <v/>
      </c>
      <c r="B3994" s="398" t="s">
        <v>479</v>
      </c>
      <c r="C3994" s="400" t="str">
        <f t="array" ref="C3994">INDIRECT("Tableau!$AU$25")</f>
        <v/>
      </c>
      <c r="D3994" s="400" t="str">
        <f t="shared" si="23"/>
        <v>OUT</v>
      </c>
      <c r="E3994" s="403" t="str">
        <f t="array" ref="E3994">INDIRECT("Tableau!$AV$25")</f>
        <v/>
      </c>
    </row>
    <row r="3995">
      <c r="A3995" s="402">
        <f t="array" ref="A3995">INDIRECT("Tableau!$A$26")</f>
        <v>201</v>
      </c>
      <c r="B3995" s="398" t="s">
        <v>479</v>
      </c>
      <c r="C3995" s="400" t="str">
        <f t="array" ref="C3995">INDIRECT("Tableau!$AU$26")</f>
        <v/>
      </c>
      <c r="D3995" s="400" t="str">
        <f t="shared" si="23"/>
        <v>OUT</v>
      </c>
      <c r="E3995" s="403" t="str">
        <f t="array" ref="E3995">INDIRECT("Tableau!$AV$26")</f>
        <v/>
      </c>
    </row>
    <row r="3996">
      <c r="A3996" s="402">
        <f t="array" ref="A3996">INDIRECT("Tableau!$A$27")</f>
        <v>202</v>
      </c>
      <c r="B3996" s="398" t="s">
        <v>479</v>
      </c>
      <c r="C3996" s="400" t="str">
        <f t="array" ref="C3996">INDIRECT("Tableau!$AU$27")</f>
        <v/>
      </c>
      <c r="D3996" s="400" t="str">
        <f t="shared" si="23"/>
        <v>OUT</v>
      </c>
      <c r="E3996" s="403" t="str">
        <f t="array" ref="E3996">INDIRECT("Tableau!$AV$27")</f>
        <v/>
      </c>
    </row>
    <row r="3997">
      <c r="A3997" s="402">
        <f t="array" ref="A3997">INDIRECT("Tableau!$A$28")</f>
        <v>203</v>
      </c>
      <c r="B3997" s="398" t="s">
        <v>479</v>
      </c>
      <c r="C3997" s="400" t="str">
        <f t="array" ref="C3997">INDIRECT("Tableau!$AU$28")</f>
        <v/>
      </c>
      <c r="D3997" s="400" t="str">
        <f t="shared" si="23"/>
        <v>OUT</v>
      </c>
      <c r="E3997" s="403" t="str">
        <f t="array" ref="E3997">INDIRECT("Tableau!$AV$28")</f>
        <v/>
      </c>
    </row>
    <row r="3998">
      <c r="A3998" s="402">
        <f t="array" ref="A3998">INDIRECT("Tableau!$A$29")</f>
        <v>204</v>
      </c>
      <c r="B3998" s="398" t="s">
        <v>479</v>
      </c>
      <c r="C3998" s="400" t="str">
        <f t="array" ref="C3998">INDIRECT("Tableau!$AU$29")</f>
        <v/>
      </c>
      <c r="D3998" s="400" t="str">
        <f t="shared" si="23"/>
        <v>OUT</v>
      </c>
      <c r="E3998" s="403" t="str">
        <f t="array" ref="E3998">INDIRECT("Tableau!$AV$29")</f>
        <v/>
      </c>
    </row>
    <row r="3999">
      <c r="A3999" s="402">
        <f t="array" ref="A3999">INDIRECT("Tableau!$A$30")</f>
        <v>205</v>
      </c>
      <c r="B3999" s="398" t="s">
        <v>479</v>
      </c>
      <c r="C3999" s="400" t="str">
        <f t="array" ref="C3999">INDIRECT("Tableau!$AU$30")</f>
        <v/>
      </c>
      <c r="D3999" s="400" t="str">
        <f t="shared" si="23"/>
        <v>OUT</v>
      </c>
      <c r="E3999" s="403" t="str">
        <f t="array" ref="E3999">INDIRECT("Tableau!$AV$30")</f>
        <v/>
      </c>
    </row>
    <row r="4000">
      <c r="A4000" s="402">
        <f t="array" ref="A4000">INDIRECT("Tableau!$A$31")</f>
        <v>206</v>
      </c>
      <c r="B4000" s="398" t="s">
        <v>479</v>
      </c>
      <c r="C4000" s="400" t="str">
        <f t="array" ref="C4000">INDIRECT("Tableau!$AU$31")</f>
        <v/>
      </c>
      <c r="D4000" s="400" t="str">
        <f t="shared" si="23"/>
        <v>OUT</v>
      </c>
      <c r="E4000" s="403" t="str">
        <f t="array" ref="E4000">INDIRECT("Tableau!$AV$31")</f>
        <v/>
      </c>
    </row>
    <row r="4001">
      <c r="A4001" s="402">
        <f t="array" ref="A4001">INDIRECT("Tableau!$A$32")</f>
        <v>207</v>
      </c>
      <c r="B4001" s="398" t="s">
        <v>479</v>
      </c>
      <c r="C4001" s="400" t="str">
        <f t="array" ref="C4001">INDIRECT("Tableau!$AU$32")</f>
        <v/>
      </c>
      <c r="D4001" s="400" t="str">
        <f t="shared" si="23"/>
        <v>OUT</v>
      </c>
      <c r="E4001" s="403" t="str">
        <f t="array" ref="E4001">INDIRECT("Tableau!$AV$32")</f>
        <v/>
      </c>
    </row>
    <row r="4002">
      <c r="A4002" s="402">
        <f t="array" ref="A4002">INDIRECT("Tableau!$A$33")</f>
        <v>208</v>
      </c>
      <c r="B4002" s="398" t="s">
        <v>479</v>
      </c>
      <c r="C4002" s="400" t="str">
        <f t="array" ref="C4002">INDIRECT("Tableau!$AU$33")</f>
        <v/>
      </c>
      <c r="D4002" s="400" t="str">
        <f t="shared" si="23"/>
        <v>OUT</v>
      </c>
      <c r="E4002" s="403" t="str">
        <f t="array" ref="E4002">INDIRECT("Tableau!$AV$33")</f>
        <v/>
      </c>
    </row>
    <row r="4003">
      <c r="A4003" s="402">
        <f t="array" ref="A4003">INDIRECT("Tableau!$A$34")</f>
        <v>209</v>
      </c>
      <c r="B4003" s="398" t="s">
        <v>479</v>
      </c>
      <c r="C4003" s="400" t="str">
        <f t="array" ref="C4003">INDIRECT("Tableau!$AU$34")</f>
        <v/>
      </c>
      <c r="D4003" s="400" t="str">
        <f t="shared" si="23"/>
        <v>OUT</v>
      </c>
      <c r="E4003" s="403" t="str">
        <f t="array" ref="E4003">INDIRECT("Tableau!$AV$34")</f>
        <v/>
      </c>
    </row>
    <row r="4004">
      <c r="A4004" s="402">
        <f t="array" ref="A4004">INDIRECT("Tableau!$A$35")</f>
        <v>210</v>
      </c>
      <c r="B4004" s="398" t="s">
        <v>479</v>
      </c>
      <c r="C4004" s="400" t="str">
        <f t="array" ref="C4004">INDIRECT("Tableau!$AU$35")</f>
        <v/>
      </c>
      <c r="D4004" s="400" t="str">
        <f t="shared" si="23"/>
        <v>OUT</v>
      </c>
      <c r="E4004" s="403" t="str">
        <f t="array" ref="E4004">INDIRECT("Tableau!$AV$35")</f>
        <v/>
      </c>
    </row>
    <row r="4005">
      <c r="A4005" s="402">
        <f t="array" ref="A4005">INDIRECT("Tableau!$A$36")</f>
        <v>211</v>
      </c>
      <c r="B4005" s="398" t="s">
        <v>479</v>
      </c>
      <c r="C4005" s="400" t="str">
        <f t="array" ref="C4005">INDIRECT("Tableau!$AU$36")</f>
        <v/>
      </c>
      <c r="D4005" s="400" t="str">
        <f t="shared" si="23"/>
        <v>OUT</v>
      </c>
      <c r="E4005" s="403" t="str">
        <f t="array" ref="E4005">INDIRECT("Tableau!$AV$36")</f>
        <v/>
      </c>
    </row>
    <row r="4006">
      <c r="A4006" s="402">
        <f t="array" ref="A4006">INDIRECT("Tableau!$A$37")</f>
        <v>212</v>
      </c>
      <c r="B4006" s="398" t="s">
        <v>479</v>
      </c>
      <c r="C4006" s="400" t="str">
        <f t="array" ref="C4006">INDIRECT("Tableau!$AU$37")</f>
        <v/>
      </c>
      <c r="D4006" s="400" t="str">
        <f t="shared" si="23"/>
        <v>OUT</v>
      </c>
      <c r="E4006" s="403" t="str">
        <f t="array" ref="E4006">INDIRECT("Tableau!$AV$37")</f>
        <v/>
      </c>
    </row>
    <row r="4007">
      <c r="A4007" s="402">
        <f t="array" ref="A4007">INDIRECT("Tableau!$A$38")</f>
        <v>213</v>
      </c>
      <c r="B4007" s="398" t="s">
        <v>479</v>
      </c>
      <c r="C4007" s="400" t="str">
        <f t="array" ref="C4007">INDIRECT("Tableau!$AU$38")</f>
        <v/>
      </c>
      <c r="D4007" s="400" t="str">
        <f t="shared" si="23"/>
        <v>OUT</v>
      </c>
      <c r="E4007" s="403" t="str">
        <f t="array" ref="E4007">INDIRECT("Tableau!$AV$38")</f>
        <v/>
      </c>
    </row>
    <row r="4008">
      <c r="A4008" s="402">
        <f t="array" ref="A4008">INDIRECT("Tableau!$A$39")</f>
        <v>214</v>
      </c>
      <c r="B4008" s="398" t="s">
        <v>479</v>
      </c>
      <c r="C4008" s="400" t="str">
        <f t="array" ref="C4008">INDIRECT("Tableau!$AU$39")</f>
        <v/>
      </c>
      <c r="D4008" s="400" t="str">
        <f t="shared" si="23"/>
        <v>OUT</v>
      </c>
      <c r="E4008" s="403" t="str">
        <f t="array" ref="E4008">INDIRECT("Tableau!$AV$39")</f>
        <v/>
      </c>
    </row>
    <row r="4009">
      <c r="A4009" s="402">
        <f t="array" ref="A4009">INDIRECT("Tableau!$A$40")</f>
        <v>215</v>
      </c>
      <c r="B4009" s="398" t="s">
        <v>479</v>
      </c>
      <c r="C4009" s="400" t="str">
        <f t="array" ref="C4009">INDIRECT("Tableau!$AU$40")</f>
        <v/>
      </c>
      <c r="D4009" s="400" t="str">
        <f t="shared" si="23"/>
        <v>OUT</v>
      </c>
      <c r="E4009" s="403" t="str">
        <f t="array" ref="E4009">INDIRECT("Tableau!$AV$40")</f>
        <v/>
      </c>
    </row>
    <row r="4010">
      <c r="A4010" s="402">
        <f t="array" ref="A4010">INDIRECT("Tableau!$A$41")</f>
        <v>216</v>
      </c>
      <c r="B4010" s="398" t="s">
        <v>479</v>
      </c>
      <c r="C4010" s="400" t="str">
        <f t="array" ref="C4010">INDIRECT("Tableau!$AU$41")</f>
        <v/>
      </c>
      <c r="D4010" s="400" t="str">
        <f t="shared" si="23"/>
        <v>OUT</v>
      </c>
      <c r="E4010" s="403" t="str">
        <f t="array" ref="E4010">INDIRECT("Tableau!$AV$41")</f>
        <v/>
      </c>
    </row>
    <row r="4011">
      <c r="A4011" s="402">
        <f t="array" ref="A4011">INDIRECT("Tableau!$A$42")</f>
        <v>227</v>
      </c>
      <c r="B4011" s="398" t="s">
        <v>479</v>
      </c>
      <c r="C4011" s="400" t="str">
        <f t="array" ref="C4011">INDIRECT("Tableau!$AU$42")</f>
        <v/>
      </c>
      <c r="D4011" s="400" t="str">
        <f t="shared" si="23"/>
        <v>OUT</v>
      </c>
      <c r="E4011" s="403" t="str">
        <f t="array" ref="E4011">INDIRECT("Tableau!$AV$42")</f>
        <v/>
      </c>
    </row>
    <row r="4012">
      <c r="A4012" s="402">
        <f t="array" ref="A4012">INDIRECT("Tableau!$A$43")</f>
        <v>217</v>
      </c>
      <c r="B4012" s="398" t="s">
        <v>479</v>
      </c>
      <c r="C4012" s="400" t="str">
        <f t="array" ref="C4012">INDIRECT("Tableau!$AU$43")</f>
        <v/>
      </c>
      <c r="D4012" s="400" t="str">
        <f t="shared" si="23"/>
        <v>OUT</v>
      </c>
      <c r="E4012" s="403" t="str">
        <f t="array" ref="E4012">INDIRECT("Tableau!$AV$43")</f>
        <v/>
      </c>
    </row>
    <row r="4013">
      <c r="A4013" s="402">
        <f t="array" ref="A4013">INDIRECT("Tableau!$A$44")</f>
        <v>218</v>
      </c>
      <c r="B4013" s="398" t="s">
        <v>479</v>
      </c>
      <c r="C4013" s="400" t="str">
        <f t="array" ref="C4013">INDIRECT("Tableau!$AU$44")</f>
        <v/>
      </c>
      <c r="D4013" s="400" t="str">
        <f t="shared" si="23"/>
        <v>OUT</v>
      </c>
      <c r="E4013" s="403" t="str">
        <f t="array" ref="E4013">INDIRECT("Tableau!$AV$44")</f>
        <v/>
      </c>
    </row>
    <row r="4014">
      <c r="A4014" s="397" t="str">
        <f t="array" ref="A4014">INDIRECT("Tableau!$A$45")</f>
        <v/>
      </c>
      <c r="B4014" s="398" t="s">
        <v>479</v>
      </c>
      <c r="C4014" s="400" t="str">
        <f t="array" ref="C4014">INDIRECT("Tableau!$AU$45")</f>
        <v/>
      </c>
      <c r="D4014" s="400" t="str">
        <f t="shared" si="23"/>
        <v>OUT</v>
      </c>
      <c r="E4014" s="403" t="str">
        <f t="array" ref="E4014">INDIRECT("Tableau!$AV$45")</f>
        <v/>
      </c>
    </row>
    <row r="4015">
      <c r="A4015" s="402">
        <f t="array" ref="A4015">INDIRECT("Tableau!$A$46")</f>
        <v>220</v>
      </c>
      <c r="B4015" s="398" t="s">
        <v>479</v>
      </c>
      <c r="C4015" s="400" t="str">
        <f t="array" ref="C4015">INDIRECT("Tableau!$AU$46")</f>
        <v/>
      </c>
      <c r="D4015" s="400" t="str">
        <f t="shared" si="23"/>
        <v>OUT</v>
      </c>
      <c r="E4015" s="403" t="str">
        <f t="array" ref="E4015">INDIRECT("Tableau!$AV$46")</f>
        <v/>
      </c>
    </row>
    <row r="4016">
      <c r="A4016" s="402">
        <f t="array" ref="A4016">INDIRECT("Tableau!$A$47")</f>
        <v>221</v>
      </c>
      <c r="B4016" s="398" t="s">
        <v>479</v>
      </c>
      <c r="C4016" s="400" t="str">
        <f t="array" ref="C4016">INDIRECT("Tableau!$AU$47")</f>
        <v/>
      </c>
      <c r="D4016" s="400" t="str">
        <f t="shared" si="23"/>
        <v>OUT</v>
      </c>
      <c r="E4016" s="403" t="str">
        <f t="array" ref="E4016">INDIRECT("Tableau!$AV$47")</f>
        <v/>
      </c>
    </row>
    <row r="4017">
      <c r="A4017" s="402">
        <f t="array" ref="A4017">INDIRECT("Tableau!$A$48")</f>
        <v>226</v>
      </c>
      <c r="B4017" s="398" t="s">
        <v>479</v>
      </c>
      <c r="C4017" s="400" t="str">
        <f t="array" ref="C4017">INDIRECT("Tableau!$AU$48")</f>
        <v/>
      </c>
      <c r="D4017" s="400" t="str">
        <f t="shared" si="23"/>
        <v>OUT</v>
      </c>
      <c r="E4017" s="403" t="str">
        <f t="array" ref="E4017">INDIRECT("Tableau!$AV$48")</f>
        <v/>
      </c>
    </row>
    <row r="4018">
      <c r="A4018" s="402">
        <f t="array" ref="A4018">INDIRECT("Tableau!$A$49")</f>
        <v>222</v>
      </c>
      <c r="B4018" s="398" t="s">
        <v>479</v>
      </c>
      <c r="C4018" s="400" t="str">
        <f t="array" ref="C4018">INDIRECT("Tableau!$AU$49")</f>
        <v/>
      </c>
      <c r="D4018" s="400" t="str">
        <f t="shared" si="23"/>
        <v>OUT</v>
      </c>
      <c r="E4018" s="403" t="str">
        <f t="array" ref="E4018">INDIRECT("Tableau!$AV$49")</f>
        <v/>
      </c>
    </row>
    <row r="4019">
      <c r="A4019" s="402">
        <f t="array" ref="A4019">INDIRECT("Tableau!$A$50")</f>
        <v>224</v>
      </c>
      <c r="B4019" s="398" t="s">
        <v>479</v>
      </c>
      <c r="C4019" s="400" t="str">
        <f t="array" ref="C4019">INDIRECT("Tableau!$AU$50")</f>
        <v/>
      </c>
      <c r="D4019" s="400" t="str">
        <f t="shared" si="23"/>
        <v>OUT</v>
      </c>
      <c r="E4019" s="403" t="str">
        <f t="array" ref="E4019">INDIRECT("Tableau!$AV$50")</f>
        <v/>
      </c>
    </row>
    <row r="4020">
      <c r="A4020" s="397">
        <f t="array" ref="A4020">INDIRECT("Tableau!$A$51")</f>
        <v>223</v>
      </c>
      <c r="B4020" s="398" t="s">
        <v>479</v>
      </c>
      <c r="C4020" s="400" t="str">
        <f t="array" ref="C4020">INDIRECT("Tableau!$AU$51")</f>
        <v/>
      </c>
      <c r="D4020" s="400" t="str">
        <f t="shared" si="23"/>
        <v>OUT</v>
      </c>
      <c r="E4020" s="403" t="str">
        <f t="array" ref="E4020">INDIRECT("Tableau!$AV$51")</f>
        <v/>
      </c>
    </row>
    <row r="4021">
      <c r="A4021" s="402">
        <f t="array" ref="A4021">INDIRECT("Tableau!$A$52")</f>
        <v>225</v>
      </c>
      <c r="B4021" s="398" t="s">
        <v>479</v>
      </c>
      <c r="C4021" s="400" t="str">
        <f t="array" ref="C4021">INDIRECT("Tableau!$AU$52")</f>
        <v/>
      </c>
      <c r="D4021" s="400" t="str">
        <f t="shared" si="23"/>
        <v>OUT</v>
      </c>
      <c r="E4021" s="403" t="str">
        <f t="array" ref="E4021">INDIRECT("Tableau!$AV$52")</f>
        <v/>
      </c>
    </row>
    <row r="4022">
      <c r="A4022" s="402">
        <f t="array" ref="A4022">INDIRECT("Tableau!$A$53")</f>
        <v>230</v>
      </c>
      <c r="B4022" s="398" t="s">
        <v>479</v>
      </c>
      <c r="C4022" s="400" t="str">
        <f t="array" ref="C4022">INDIRECT("Tableau!$AU$53")</f>
        <v/>
      </c>
      <c r="D4022" s="400" t="str">
        <f t="shared" si="23"/>
        <v>OUT</v>
      </c>
      <c r="E4022" s="403" t="str">
        <f t="array" ref="E4022">INDIRECT("Tableau!$AV$53")</f>
        <v/>
      </c>
    </row>
    <row r="4023">
      <c r="A4023" s="397">
        <f t="array" ref="A4023">INDIRECT("Tableau!$A$54")</f>
        <v>231</v>
      </c>
      <c r="B4023" s="398" t="s">
        <v>479</v>
      </c>
      <c r="C4023" s="400" t="str">
        <f t="array" ref="C4023">INDIRECT("Tableau!$AU$54")</f>
        <v/>
      </c>
      <c r="D4023" s="400" t="str">
        <f t="shared" si="23"/>
        <v>OUT</v>
      </c>
      <c r="E4023" s="403" t="str">
        <f t="array" ref="E4023">INDIRECT("Tableau!$AV$54")</f>
        <v/>
      </c>
    </row>
    <row r="4024">
      <c r="A4024" s="397" t="str">
        <f t="array" ref="A4024">INDIRECT("Tableau!$A$55")</f>
        <v/>
      </c>
      <c r="B4024" s="398" t="s">
        <v>479</v>
      </c>
      <c r="C4024" s="400" t="str">
        <f t="array" ref="C4024">INDIRECT("Tableau!$AU$55")</f>
        <v/>
      </c>
      <c r="D4024" s="400" t="str">
        <f t="shared" si="23"/>
        <v>OUT</v>
      </c>
      <c r="E4024" s="403" t="str">
        <f t="array" ref="E4024">INDIRECT("Tableau!$AV$55")</f>
        <v/>
      </c>
    </row>
    <row r="4025">
      <c r="A4025" s="397" t="str">
        <f t="array" ref="A4025">INDIRECT("Tableau!$A$56")</f>
        <v/>
      </c>
      <c r="B4025" s="398" t="s">
        <v>479</v>
      </c>
      <c r="C4025" s="400" t="str">
        <f t="array" ref="C4025">INDIRECT("Tableau!$AU$56")</f>
        <v/>
      </c>
      <c r="D4025" s="400" t="str">
        <f t="shared" si="23"/>
        <v>OUT</v>
      </c>
      <c r="E4025" s="403" t="str">
        <f t="array" ref="E4025">INDIRECT("Tableau!$AV$56")</f>
        <v/>
      </c>
    </row>
    <row r="4026">
      <c r="A4026" s="397" t="str">
        <f t="array" ref="A4026">INDIRECT("Tableau!$A$57")</f>
        <v/>
      </c>
      <c r="B4026" s="398" t="s">
        <v>479</v>
      </c>
      <c r="C4026" s="400" t="str">
        <f t="array" ref="C4026">INDIRECT("Tableau!$AU$57")</f>
        <v/>
      </c>
      <c r="D4026" s="400" t="str">
        <f t="shared" si="23"/>
        <v>OUT</v>
      </c>
      <c r="E4026" s="403" t="str">
        <f t="array" ref="E4026">INDIRECT("Tableau!$AV$57")</f>
        <v/>
      </c>
    </row>
    <row r="4027">
      <c r="A4027" s="397" t="str">
        <f t="array" ref="A4027">INDIRECT("Tableau!$A$58")</f>
        <v/>
      </c>
      <c r="B4027" s="398" t="s">
        <v>479</v>
      </c>
      <c r="C4027" s="400" t="str">
        <f t="array" ref="C4027">INDIRECT("Tableau!$AU$58")</f>
        <v/>
      </c>
      <c r="D4027" s="400" t="str">
        <f t="shared" si="23"/>
        <v>OUT</v>
      </c>
      <c r="E4027" s="403" t="str">
        <f t="array" ref="E4027">INDIRECT("Tableau!$AV$58")</f>
        <v/>
      </c>
    </row>
    <row r="4028">
      <c r="A4028" s="397" t="str">
        <f t="array" ref="A4028">INDIRECT("Tableau!$A$59")</f>
        <v/>
      </c>
      <c r="B4028" s="398" t="s">
        <v>479</v>
      </c>
      <c r="C4028" s="400" t="str">
        <f t="array" ref="C4028">INDIRECT("Tableau!$AU$59")</f>
        <v/>
      </c>
      <c r="D4028" s="400" t="str">
        <f t="shared" si="23"/>
        <v>OUT</v>
      </c>
      <c r="E4028" s="403" t="str">
        <f t="array" ref="E4028">INDIRECT("Tableau!$AV$59")</f>
        <v/>
      </c>
    </row>
    <row r="4029">
      <c r="A4029" s="397" t="str">
        <f t="array" ref="A4029">INDIRECT("Tableau!$A$60")</f>
        <v/>
      </c>
      <c r="B4029" s="398" t="s">
        <v>479</v>
      </c>
      <c r="C4029" s="400" t="str">
        <f t="array" ref="C4029">INDIRECT("Tableau!$AU$60")</f>
        <v/>
      </c>
      <c r="D4029" s="400" t="str">
        <f t="shared" si="23"/>
        <v>OUT</v>
      </c>
      <c r="E4029" s="403" t="str">
        <f t="array" ref="E4029">INDIRECT("Tableau!$AV$60")</f>
        <v/>
      </c>
    </row>
    <row r="4030">
      <c r="A4030" s="397" t="str">
        <f t="array" ref="A4030">INDIRECT("Tableau!$A$61")</f>
        <v/>
      </c>
      <c r="B4030" s="398" t="s">
        <v>479</v>
      </c>
      <c r="C4030" s="400" t="str">
        <f t="array" ref="C4030">INDIRECT("Tableau!$AU$61")</f>
        <v/>
      </c>
      <c r="D4030" s="400" t="str">
        <f t="shared" si="23"/>
        <v>OUT</v>
      </c>
      <c r="E4030" s="403" t="str">
        <f t="array" ref="E4030">INDIRECT("Tableau!$AV$61")</f>
        <v/>
      </c>
    </row>
    <row r="4031">
      <c r="A4031" s="397" t="str">
        <f t="array" ref="A4031">INDIRECT("Tableau!$A$62")</f>
        <v/>
      </c>
      <c r="B4031" s="398" t="s">
        <v>479</v>
      </c>
      <c r="C4031" s="400" t="str">
        <f t="array" ref="C4031">INDIRECT("Tableau!$AU$62")</f>
        <v/>
      </c>
      <c r="D4031" s="400" t="str">
        <f t="shared" si="23"/>
        <v>OUT</v>
      </c>
      <c r="E4031" s="403" t="str">
        <f t="array" ref="E4031">INDIRECT("Tableau!$AV$62")</f>
        <v/>
      </c>
    </row>
    <row r="4032">
      <c r="A4032" s="397" t="str">
        <f t="array" ref="A4032">INDIRECT("Tableau!$A$63")</f>
        <v/>
      </c>
      <c r="B4032" s="398" t="s">
        <v>479</v>
      </c>
      <c r="C4032" s="400" t="str">
        <f t="array" ref="C4032">INDIRECT("Tableau!$AU$63")</f>
        <v/>
      </c>
      <c r="D4032" s="400" t="str">
        <f t="shared" si="23"/>
        <v>OUT</v>
      </c>
      <c r="E4032" s="403" t="str">
        <f t="array" ref="E4032">INDIRECT("Tableau!$AV$63")</f>
        <v/>
      </c>
    </row>
    <row r="4033">
      <c r="A4033" s="397" t="str">
        <f t="array" ref="A4033">INDIRECT("Tableau!$A$64")</f>
        <v/>
      </c>
      <c r="B4033" s="398" t="s">
        <v>479</v>
      </c>
      <c r="C4033" s="400" t="str">
        <f t="array" ref="C4033">INDIRECT("Tableau!$AU$64")</f>
        <v/>
      </c>
      <c r="D4033" s="400" t="str">
        <f t="shared" si="23"/>
        <v>OUT</v>
      </c>
      <c r="E4033" s="403" t="str">
        <f t="array" ref="E4033">INDIRECT("Tableau!$AV$64")</f>
        <v/>
      </c>
    </row>
    <row r="4034">
      <c r="A4034" s="402">
        <f t="array" ref="A4034">INDIRECT("Tableau!$A$65")</f>
        <v>301</v>
      </c>
      <c r="B4034" s="398" t="s">
        <v>479</v>
      </c>
      <c r="C4034" s="400" t="str">
        <f t="array" ref="C4034">INDIRECT("Tableau!$AU$65")</f>
        <v/>
      </c>
      <c r="D4034" s="400" t="str">
        <f t="shared" si="23"/>
        <v>OUT</v>
      </c>
      <c r="E4034" s="403" t="str">
        <f t="array" ref="E4034">INDIRECT("Tableau!$AV$65")</f>
        <v/>
      </c>
    </row>
    <row r="4035">
      <c r="A4035" s="397" t="str">
        <f t="array" ref="A4035">INDIRECT("Tableau!$A$66")</f>
        <v/>
      </c>
      <c r="B4035" s="398" t="s">
        <v>479</v>
      </c>
      <c r="C4035" s="400" t="str">
        <f t="array" ref="C4035">INDIRECT("Tableau!$AU$66")</f>
        <v/>
      </c>
      <c r="D4035" s="400" t="str">
        <f t="shared" si="23"/>
        <v>OUT</v>
      </c>
      <c r="E4035" s="403" t="str">
        <f t="array" ref="E4035">INDIRECT("Tableau!$AV$66")</f>
        <v/>
      </c>
    </row>
    <row r="4036">
      <c r="A4036" s="402">
        <f t="array" ref="A4036">INDIRECT("Tableau!$A$67")</f>
        <v>303</v>
      </c>
      <c r="B4036" s="398" t="s">
        <v>479</v>
      </c>
      <c r="C4036" s="400" t="str">
        <f t="array" ref="C4036">INDIRECT("Tableau!$AU$67")</f>
        <v/>
      </c>
      <c r="D4036" s="400" t="str">
        <f t="shared" si="23"/>
        <v>OUT</v>
      </c>
      <c r="E4036" s="403" t="str">
        <f t="array" ref="E4036">INDIRECT("Tableau!$AV$67")</f>
        <v/>
      </c>
    </row>
    <row r="4037">
      <c r="A4037" s="402">
        <f t="array" ref="A4037">INDIRECT("Tableau!$A$68")</f>
        <v>304</v>
      </c>
      <c r="B4037" s="398" t="s">
        <v>479</v>
      </c>
      <c r="C4037" s="400" t="str">
        <f t="array" ref="C4037">INDIRECT("Tableau!$AU$68")</f>
        <v/>
      </c>
      <c r="D4037" s="400" t="str">
        <f t="shared" si="23"/>
        <v>OUT</v>
      </c>
      <c r="E4037" s="403" t="str">
        <f t="array" ref="E4037">INDIRECT("Tableau!$AV$68")</f>
        <v/>
      </c>
    </row>
    <row r="4038">
      <c r="A4038" s="402">
        <f t="array" ref="A4038">INDIRECT("Tableau!$A$69")</f>
        <v>305</v>
      </c>
      <c r="B4038" s="398" t="s">
        <v>479</v>
      </c>
      <c r="C4038" s="400" t="str">
        <f t="array" ref="C4038">INDIRECT("Tableau!$AU$69")</f>
        <v/>
      </c>
      <c r="D4038" s="400" t="str">
        <f t="shared" si="23"/>
        <v>OUT</v>
      </c>
      <c r="E4038" s="403" t="str">
        <f t="array" ref="E4038">INDIRECT("Tableau!$AV$69")</f>
        <v/>
      </c>
    </row>
    <row r="4039">
      <c r="A4039" s="402">
        <f t="array" ref="A4039">INDIRECT("Tableau!$A$70")</f>
        <v>306</v>
      </c>
      <c r="B4039" s="398" t="s">
        <v>479</v>
      </c>
      <c r="C4039" s="400" t="str">
        <f t="array" ref="C4039">INDIRECT("Tableau!$AU$70")</f>
        <v/>
      </c>
      <c r="D4039" s="400" t="str">
        <f t="shared" si="23"/>
        <v>OUT</v>
      </c>
      <c r="E4039" s="403" t="str">
        <f t="array" ref="E4039">INDIRECT("Tableau!$AV$70")</f>
        <v/>
      </c>
    </row>
    <row r="4040">
      <c r="A4040" s="402">
        <f t="array" ref="A4040">INDIRECT("Tableau!$A$71")</f>
        <v>307</v>
      </c>
      <c r="B4040" s="398" t="s">
        <v>479</v>
      </c>
      <c r="C4040" s="400" t="str">
        <f t="array" ref="C4040">INDIRECT("Tableau!$AU$71")</f>
        <v/>
      </c>
      <c r="D4040" s="400" t="str">
        <f t="shared" si="23"/>
        <v>OUT</v>
      </c>
      <c r="E4040" s="403" t="str">
        <f t="array" ref="E4040">INDIRECT("Tableau!$AV$71")</f>
        <v/>
      </c>
    </row>
    <row r="4041">
      <c r="A4041" s="397">
        <f t="array" ref="A4041">INDIRECT("Tableau!$A$72")</f>
        <v>367</v>
      </c>
      <c r="B4041" s="398" t="s">
        <v>479</v>
      </c>
      <c r="C4041" s="400" t="str">
        <f t="array" ref="C4041">INDIRECT("Tableau!$AU$72")</f>
        <v/>
      </c>
      <c r="D4041" s="400" t="str">
        <f t="shared" si="23"/>
        <v>OUT</v>
      </c>
      <c r="E4041" s="403" t="str">
        <f t="array" ref="E4041">INDIRECT("Tableau!$AV$72")</f>
        <v/>
      </c>
    </row>
    <row r="4042">
      <c r="A4042" s="402">
        <f t="array" ref="A4042">INDIRECT("Tableau!$A$73")</f>
        <v>308</v>
      </c>
      <c r="B4042" s="398" t="s">
        <v>479</v>
      </c>
      <c r="C4042" s="400" t="str">
        <f t="array" ref="C4042">INDIRECT("Tableau!$AU$73")</f>
        <v/>
      </c>
      <c r="D4042" s="400" t="str">
        <f t="shared" si="23"/>
        <v>OUT</v>
      </c>
      <c r="E4042" s="403" t="str">
        <f t="array" ref="E4042">INDIRECT("Tableau!$AV$73")</f>
        <v/>
      </c>
    </row>
    <row r="4043">
      <c r="A4043" s="397">
        <f t="array" ref="A4043">INDIRECT("Tableau!$A$74")</f>
        <v>319</v>
      </c>
      <c r="B4043" s="398" t="s">
        <v>479</v>
      </c>
      <c r="C4043" s="400" t="str">
        <f t="array" ref="C4043">INDIRECT("Tableau!$AU$74")</f>
        <v/>
      </c>
      <c r="D4043" s="400" t="str">
        <f t="shared" si="23"/>
        <v>OUT</v>
      </c>
      <c r="E4043" s="403" t="str">
        <f t="array" ref="E4043">INDIRECT("Tableau!$AV$74")</f>
        <v/>
      </c>
    </row>
    <row r="4044">
      <c r="A4044" s="402">
        <f t="array" ref="A4044">INDIRECT("Tableau!$A$75")</f>
        <v>309</v>
      </c>
      <c r="B4044" s="398" t="s">
        <v>479</v>
      </c>
      <c r="C4044" s="400" t="str">
        <f t="array" ref="C4044">INDIRECT("Tableau!$AU$75")</f>
        <v/>
      </c>
      <c r="D4044" s="400" t="str">
        <f t="shared" si="23"/>
        <v>OUT</v>
      </c>
      <c r="E4044" s="403" t="str">
        <f t="array" ref="E4044">INDIRECT("Tableau!$AV$75")</f>
        <v/>
      </c>
    </row>
    <row r="4045">
      <c r="A4045" s="402">
        <f t="array" ref="A4045">INDIRECT("Tableau!$A$76")</f>
        <v>310</v>
      </c>
      <c r="B4045" s="398" t="s">
        <v>479</v>
      </c>
      <c r="C4045" s="400" t="str">
        <f t="array" ref="C4045">INDIRECT("Tableau!$AU$76")</f>
        <v/>
      </c>
      <c r="D4045" s="400" t="str">
        <f t="shared" si="23"/>
        <v>OUT</v>
      </c>
      <c r="E4045" s="403" t="str">
        <f t="array" ref="E4045">INDIRECT("Tableau!$AV$76")</f>
        <v/>
      </c>
    </row>
    <row r="4046">
      <c r="A4046" s="402">
        <f t="array" ref="A4046">INDIRECT("Tableau!$A$77")</f>
        <v>311</v>
      </c>
      <c r="B4046" s="398" t="s">
        <v>479</v>
      </c>
      <c r="C4046" s="400" t="str">
        <f t="array" ref="C4046">INDIRECT("Tableau!$AU$77")</f>
        <v/>
      </c>
      <c r="D4046" s="400" t="str">
        <f t="shared" si="23"/>
        <v>OUT</v>
      </c>
      <c r="E4046" s="403" t="str">
        <f t="array" ref="E4046">INDIRECT("Tableau!$AV$77")</f>
        <v/>
      </c>
    </row>
    <row r="4047">
      <c r="A4047" s="402">
        <f t="array" ref="A4047">INDIRECT("Tableau!$A$78")</f>
        <v>312</v>
      </c>
      <c r="B4047" s="398" t="s">
        <v>479</v>
      </c>
      <c r="C4047" s="400" t="str">
        <f t="array" ref="C4047">INDIRECT("Tableau!$AU$78")</f>
        <v/>
      </c>
      <c r="D4047" s="400" t="str">
        <f t="shared" si="23"/>
        <v>OUT</v>
      </c>
      <c r="E4047" s="403" t="str">
        <f t="array" ref="E4047">INDIRECT("Tableau!$AV$78")</f>
        <v/>
      </c>
    </row>
    <row r="4048">
      <c r="A4048" s="402">
        <f t="array" ref="A4048">INDIRECT("Tableau!$A$79")</f>
        <v>313</v>
      </c>
      <c r="B4048" s="398" t="s">
        <v>479</v>
      </c>
      <c r="C4048" s="400" t="str">
        <f t="array" ref="C4048">INDIRECT("Tableau!$AU$79")</f>
        <v/>
      </c>
      <c r="D4048" s="400" t="str">
        <f t="shared" si="23"/>
        <v>OUT</v>
      </c>
      <c r="E4048" s="403" t="str">
        <f t="array" ref="E4048">INDIRECT("Tableau!$AV$79")</f>
        <v/>
      </c>
    </row>
    <row r="4049">
      <c r="A4049" s="402">
        <f t="array" ref="A4049">INDIRECT("Tableau!$A$80")</f>
        <v>314</v>
      </c>
      <c r="B4049" s="398" t="s">
        <v>479</v>
      </c>
      <c r="C4049" s="400" t="str">
        <f t="array" ref="C4049">INDIRECT("Tableau!$AU$80")</f>
        <v/>
      </c>
      <c r="D4049" s="400" t="str">
        <f t="shared" si="23"/>
        <v>OUT</v>
      </c>
      <c r="E4049" s="403" t="str">
        <f t="array" ref="E4049">INDIRECT("Tableau!$AV$80")</f>
        <v/>
      </c>
    </row>
    <row r="4050">
      <c r="A4050" s="402">
        <f t="array" ref="A4050">INDIRECT("Tableau!$A$81")</f>
        <v>315</v>
      </c>
      <c r="B4050" s="398" t="s">
        <v>479</v>
      </c>
      <c r="C4050" s="400" t="str">
        <f t="array" ref="C4050">INDIRECT("Tableau!$AU$81")</f>
        <v/>
      </c>
      <c r="D4050" s="400" t="str">
        <f t="shared" si="23"/>
        <v>OUT</v>
      </c>
      <c r="E4050" s="403" t="str">
        <f t="array" ref="E4050">INDIRECT("Tableau!$AV$81")</f>
        <v/>
      </c>
    </row>
    <row r="4051">
      <c r="A4051" s="402">
        <f t="array" ref="A4051">INDIRECT("Tableau!$A$82")</f>
        <v>316</v>
      </c>
      <c r="B4051" s="398" t="s">
        <v>479</v>
      </c>
      <c r="C4051" s="400" t="str">
        <f t="array" ref="C4051">INDIRECT("Tableau!$AU$82")</f>
        <v/>
      </c>
      <c r="D4051" s="400" t="str">
        <f t="shared" si="23"/>
        <v>OUT</v>
      </c>
      <c r="E4051" s="403" t="str">
        <f t="array" ref="E4051">INDIRECT("Tableau!$AV$82")</f>
        <v/>
      </c>
    </row>
    <row r="4052">
      <c r="A4052" s="402">
        <f t="array" ref="A4052">INDIRECT("Tableau!$A$83")</f>
        <v>317</v>
      </c>
      <c r="B4052" s="398" t="s">
        <v>479</v>
      </c>
      <c r="C4052" s="400" t="str">
        <f t="array" ref="C4052">INDIRECT("Tableau!$AU$83")</f>
        <v/>
      </c>
      <c r="D4052" s="400" t="str">
        <f t="shared" si="23"/>
        <v>OUT</v>
      </c>
      <c r="E4052" s="403" t="str">
        <f t="array" ref="E4052">INDIRECT("Tableau!$AV$83")</f>
        <v/>
      </c>
    </row>
    <row r="4053">
      <c r="A4053" s="402">
        <f t="array" ref="A4053">INDIRECT("Tableau!$A$84")</f>
        <v>318</v>
      </c>
      <c r="B4053" s="398" t="s">
        <v>479</v>
      </c>
      <c r="C4053" s="400" t="str">
        <f t="array" ref="C4053">INDIRECT("Tableau!$AU$84")</f>
        <v/>
      </c>
      <c r="D4053" s="400" t="str">
        <f t="shared" si="23"/>
        <v>OUT</v>
      </c>
      <c r="E4053" s="403" t="str">
        <f t="array" ref="E4053">INDIRECT("Tableau!$AV$84")</f>
        <v/>
      </c>
    </row>
    <row r="4054">
      <c r="A4054" s="402">
        <f t="array" ref="A4054">INDIRECT("Tableau!$A$85")</f>
        <v>320</v>
      </c>
      <c r="B4054" s="398" t="s">
        <v>479</v>
      </c>
      <c r="C4054" s="400" t="str">
        <f t="array" ref="C4054">INDIRECT("Tableau!$AU$85")</f>
        <v/>
      </c>
      <c r="D4054" s="400" t="str">
        <f t="shared" si="23"/>
        <v>OUT</v>
      </c>
      <c r="E4054" s="403" t="str">
        <f t="array" ref="E4054">INDIRECT("Tableau!$AV$85")</f>
        <v/>
      </c>
    </row>
    <row r="4055">
      <c r="A4055" s="402">
        <f t="array" ref="A4055">INDIRECT("Tableau!$A$86")</f>
        <v>321</v>
      </c>
      <c r="B4055" s="398" t="s">
        <v>479</v>
      </c>
      <c r="C4055" s="400" t="str">
        <f t="array" ref="C4055">INDIRECT("Tableau!$AU$86")</f>
        <v/>
      </c>
      <c r="D4055" s="400" t="str">
        <f t="shared" si="23"/>
        <v>OUT</v>
      </c>
      <c r="E4055" s="403" t="str">
        <f t="array" ref="E4055">INDIRECT("Tableau!$AV$86")</f>
        <v/>
      </c>
    </row>
    <row r="4056">
      <c r="A4056" s="397" t="str">
        <f t="array" ref="A4056">INDIRECT("Tableau!$A$87")</f>
        <v/>
      </c>
      <c r="B4056" s="398" t="s">
        <v>479</v>
      </c>
      <c r="C4056" s="400" t="str">
        <f t="array" ref="C4056">INDIRECT("Tableau!$AU$87")</f>
        <v/>
      </c>
      <c r="D4056" s="400" t="str">
        <f t="shared" si="23"/>
        <v>OUT</v>
      </c>
      <c r="E4056" s="403" t="str">
        <f t="array" ref="E4056">INDIRECT("Tableau!$AV$87")</f>
        <v/>
      </c>
    </row>
    <row r="4057">
      <c r="A4057" s="402">
        <f t="array" ref="A4057">INDIRECT("Tableau!$A$88")</f>
        <v>323</v>
      </c>
      <c r="B4057" s="398" t="s">
        <v>479</v>
      </c>
      <c r="C4057" s="400" t="str">
        <f t="array" ref="C4057">INDIRECT("Tableau!$AU$88")</f>
        <v/>
      </c>
      <c r="D4057" s="400" t="str">
        <f t="shared" si="23"/>
        <v>OUT</v>
      </c>
      <c r="E4057" s="403" t="str">
        <f t="array" ref="E4057">INDIRECT("Tableau!$AV$88")</f>
        <v/>
      </c>
    </row>
    <row r="4058">
      <c r="A4058" s="402">
        <f t="array" ref="A4058">INDIRECT("Tableau!$A$89")</f>
        <v>324</v>
      </c>
      <c r="B4058" s="398" t="s">
        <v>479</v>
      </c>
      <c r="C4058" s="400" t="str">
        <f t="array" ref="C4058">INDIRECT("Tableau!$AU$89")</f>
        <v/>
      </c>
      <c r="D4058" s="400" t="str">
        <f t="shared" si="23"/>
        <v>OUT</v>
      </c>
      <c r="E4058" s="403" t="str">
        <f t="array" ref="E4058">INDIRECT("Tableau!$AV$89")</f>
        <v/>
      </c>
    </row>
    <row r="4059">
      <c r="A4059" s="402">
        <f t="array" ref="A4059">INDIRECT("Tableau!$A$90")</f>
        <v>325</v>
      </c>
      <c r="B4059" s="398" t="s">
        <v>479</v>
      </c>
      <c r="C4059" s="400" t="str">
        <f t="array" ref="C4059">INDIRECT("Tableau!$AU$90")</f>
        <v/>
      </c>
      <c r="D4059" s="400" t="str">
        <f t="shared" si="23"/>
        <v>OUT</v>
      </c>
      <c r="E4059" s="403" t="str">
        <f t="array" ref="E4059">INDIRECT("Tableau!$AV$90")</f>
        <v/>
      </c>
    </row>
    <row r="4060">
      <c r="A4060" s="402">
        <f t="array" ref="A4060">INDIRECT("Tableau!$A$91")</f>
        <v>326</v>
      </c>
      <c r="B4060" s="398" t="s">
        <v>479</v>
      </c>
      <c r="C4060" s="400" t="str">
        <f t="array" ref="C4060">INDIRECT("Tableau!$AU$91")</f>
        <v/>
      </c>
      <c r="D4060" s="400" t="str">
        <f t="shared" si="23"/>
        <v>OUT</v>
      </c>
      <c r="E4060" s="403" t="str">
        <f t="array" ref="E4060">INDIRECT("Tableau!$AV$91")</f>
        <v/>
      </c>
    </row>
    <row r="4061">
      <c r="A4061" s="402">
        <f t="array" ref="A4061">INDIRECT("Tableau!$A$92")</f>
        <v>327</v>
      </c>
      <c r="B4061" s="398" t="s">
        <v>479</v>
      </c>
      <c r="C4061" s="400" t="str">
        <f t="array" ref="C4061">INDIRECT("Tableau!$AU$92")</f>
        <v/>
      </c>
      <c r="D4061" s="400" t="str">
        <f t="shared" si="23"/>
        <v>OUT</v>
      </c>
      <c r="E4061" s="403" t="str">
        <f t="array" ref="E4061">INDIRECT("Tableau!$AV$92")</f>
        <v/>
      </c>
    </row>
    <row r="4062">
      <c r="A4062" s="402">
        <f t="array" ref="A4062">INDIRECT("Tableau!$A$93")</f>
        <v>328</v>
      </c>
      <c r="B4062" s="398" t="s">
        <v>479</v>
      </c>
      <c r="C4062" s="400" t="str">
        <f t="array" ref="C4062">INDIRECT("Tableau!$AU$93")</f>
        <v/>
      </c>
      <c r="D4062" s="400" t="str">
        <f t="shared" si="23"/>
        <v>OUT</v>
      </c>
      <c r="E4062" s="403" t="str">
        <f t="array" ref="E4062">INDIRECT("Tableau!$AV$93")</f>
        <v/>
      </c>
    </row>
    <row r="4063">
      <c r="A4063" s="402">
        <f t="array" ref="A4063">INDIRECT("Tableau!$A$94")</f>
        <v>329</v>
      </c>
      <c r="B4063" s="398" t="s">
        <v>479</v>
      </c>
      <c r="C4063" s="400" t="str">
        <f t="array" ref="C4063">INDIRECT("Tableau!$AU$94")</f>
        <v/>
      </c>
      <c r="D4063" s="400" t="str">
        <f t="shared" si="23"/>
        <v>OUT</v>
      </c>
      <c r="E4063" s="403" t="str">
        <f t="array" ref="E4063">INDIRECT("Tableau!$AV$94")</f>
        <v/>
      </c>
    </row>
    <row r="4064">
      <c r="A4064" s="402">
        <f t="array" ref="A4064">INDIRECT("Tableau!$A$95")</f>
        <v>330</v>
      </c>
      <c r="B4064" s="398" t="s">
        <v>479</v>
      </c>
      <c r="C4064" s="400" t="str">
        <f t="array" ref="C4064">INDIRECT("Tableau!$AU$95")</f>
        <v/>
      </c>
      <c r="D4064" s="400" t="str">
        <f t="shared" si="23"/>
        <v>OUT</v>
      </c>
      <c r="E4064" s="403" t="str">
        <f t="array" ref="E4064">INDIRECT("Tableau!$AV$95")</f>
        <v/>
      </c>
    </row>
    <row r="4065">
      <c r="A4065" s="402">
        <f t="array" ref="A4065">INDIRECT("Tableau!$A$96")</f>
        <v>331</v>
      </c>
      <c r="B4065" s="398" t="s">
        <v>479</v>
      </c>
      <c r="C4065" s="400" t="str">
        <f t="array" ref="C4065">INDIRECT("Tableau!$AU$96")</f>
        <v/>
      </c>
      <c r="D4065" s="400" t="str">
        <f t="shared" si="23"/>
        <v>OUT</v>
      </c>
      <c r="E4065" s="403" t="str">
        <f t="array" ref="E4065">INDIRECT("Tableau!$AV$96")</f>
        <v/>
      </c>
    </row>
    <row r="4066">
      <c r="A4066" s="402">
        <f t="array" ref="A4066">INDIRECT("Tableau!$A$97")</f>
        <v>332</v>
      </c>
      <c r="B4066" s="398" t="s">
        <v>479</v>
      </c>
      <c r="C4066" s="400" t="str">
        <f t="array" ref="C4066">INDIRECT("Tableau!$AU$97")</f>
        <v/>
      </c>
      <c r="D4066" s="400" t="str">
        <f t="shared" si="23"/>
        <v>OUT</v>
      </c>
      <c r="E4066" s="403" t="str">
        <f t="array" ref="E4066">INDIRECT("Tableau!$AV$97")</f>
        <v/>
      </c>
    </row>
    <row r="4067">
      <c r="A4067" s="402">
        <f t="array" ref="A4067">INDIRECT("Tableau!$A$98")</f>
        <v>333</v>
      </c>
      <c r="B4067" s="398" t="s">
        <v>479</v>
      </c>
      <c r="C4067" s="400" t="str">
        <f t="array" ref="C4067">INDIRECT("Tableau!$AU$98")</f>
        <v/>
      </c>
      <c r="D4067" s="400" t="str">
        <f t="shared" si="23"/>
        <v>OUT</v>
      </c>
      <c r="E4067" s="403" t="str">
        <f t="array" ref="E4067">INDIRECT("Tableau!$AV$98")</f>
        <v/>
      </c>
    </row>
    <row r="4068">
      <c r="A4068" s="402">
        <f t="array" ref="A4068">INDIRECT("Tableau!$A$99")</f>
        <v>334</v>
      </c>
      <c r="B4068" s="398" t="s">
        <v>479</v>
      </c>
      <c r="C4068" s="400" t="str">
        <f t="array" ref="C4068">INDIRECT("Tableau!$AU$99")</f>
        <v>Bloqué</v>
      </c>
      <c r="D4068" s="400" t="str">
        <f t="shared" si="23"/>
        <v>OUT</v>
      </c>
      <c r="E4068" s="403" t="str">
        <f t="array" ref="E4068">INDIRECT("Tableau!$AV$99")</f>
        <v/>
      </c>
    </row>
    <row r="4069">
      <c r="A4069" s="402">
        <f t="array" ref="A4069">INDIRECT("Tableau!$A$100")</f>
        <v>335</v>
      </c>
      <c r="B4069" s="398" t="s">
        <v>479</v>
      </c>
      <c r="C4069" s="400" t="str">
        <f t="array" ref="C4069">INDIRECT("Tableau!$AU$100")</f>
        <v/>
      </c>
      <c r="D4069" s="400" t="str">
        <f t="shared" si="23"/>
        <v>OUT</v>
      </c>
      <c r="E4069" s="403" t="str">
        <f t="array" ref="E4069">INDIRECT("Tableau!$AV$100")</f>
        <v/>
      </c>
    </row>
    <row r="4070">
      <c r="A4070" s="402">
        <f t="array" ref="A4070">INDIRECT("Tableau!$A$101")</f>
        <v>336</v>
      </c>
      <c r="B4070" s="398" t="s">
        <v>479</v>
      </c>
      <c r="C4070" s="400" t="str">
        <f t="array" ref="C4070">INDIRECT("Tableau!$AU$101")</f>
        <v/>
      </c>
      <c r="D4070" s="400" t="str">
        <f t="shared" si="23"/>
        <v>OUT</v>
      </c>
      <c r="E4070" s="403" t="str">
        <f t="array" ref="E4070">INDIRECT("Tableau!$AV$101")</f>
        <v/>
      </c>
    </row>
    <row r="4071">
      <c r="A4071" s="402">
        <f t="array" ref="A4071">INDIRECT("Tableau!$A$102")</f>
        <v>337</v>
      </c>
      <c r="B4071" s="398" t="s">
        <v>479</v>
      </c>
      <c r="C4071" s="400" t="str">
        <f t="array" ref="C4071">INDIRECT("Tableau!$AU$102")</f>
        <v/>
      </c>
      <c r="D4071" s="400" t="str">
        <f t="shared" si="23"/>
        <v>OUT</v>
      </c>
      <c r="E4071" s="403" t="str">
        <f t="array" ref="E4071">INDIRECT("Tableau!$AV$102")</f>
        <v/>
      </c>
    </row>
    <row r="4072">
      <c r="A4072" s="402">
        <f t="array" ref="A4072">INDIRECT("Tableau!$A$103")</f>
        <v>338</v>
      </c>
      <c r="B4072" s="398" t="s">
        <v>479</v>
      </c>
      <c r="C4072" s="400" t="str">
        <f t="array" ref="C4072">INDIRECT("Tableau!$AU$103")</f>
        <v/>
      </c>
      <c r="D4072" s="400" t="str">
        <f t="shared" si="23"/>
        <v>OUT</v>
      </c>
      <c r="E4072" s="403" t="str">
        <f t="array" ref="E4072">INDIRECT("Tableau!$AV$103")</f>
        <v/>
      </c>
    </row>
    <row r="4073">
      <c r="A4073" s="402">
        <f t="array" ref="A4073">INDIRECT("Tableau!$A$104")</f>
        <v>339</v>
      </c>
      <c r="B4073" s="398" t="s">
        <v>479</v>
      </c>
      <c r="C4073" s="400" t="str">
        <f t="array" ref="C4073">INDIRECT("Tableau!$AU$104")</f>
        <v/>
      </c>
      <c r="D4073" s="400" t="str">
        <f t="shared" si="23"/>
        <v>OUT</v>
      </c>
      <c r="E4073" s="403" t="str">
        <f t="array" ref="E4073">INDIRECT("Tableau!$AV$104")</f>
        <v/>
      </c>
    </row>
    <row r="4074">
      <c r="A4074" s="402">
        <f t="array" ref="A4074">INDIRECT("Tableau!$A$105")</f>
        <v>340</v>
      </c>
      <c r="B4074" s="398" t="s">
        <v>479</v>
      </c>
      <c r="C4074" s="400" t="str">
        <f t="array" ref="C4074">INDIRECT("Tableau!$AU$105")</f>
        <v/>
      </c>
      <c r="D4074" s="400" t="str">
        <f t="shared" si="23"/>
        <v>OUT</v>
      </c>
      <c r="E4074" s="403" t="str">
        <f t="array" ref="E4074">INDIRECT("Tableau!$AV$105")</f>
        <v/>
      </c>
    </row>
    <row r="4075">
      <c r="A4075" s="402">
        <f t="array" ref="A4075">INDIRECT("Tableau!$A$106")</f>
        <v>341</v>
      </c>
      <c r="B4075" s="398" t="s">
        <v>479</v>
      </c>
      <c r="C4075" s="400" t="str">
        <f t="array" ref="C4075">INDIRECT("Tableau!$AU$106")</f>
        <v/>
      </c>
      <c r="D4075" s="400" t="str">
        <f t="shared" si="23"/>
        <v>OUT</v>
      </c>
      <c r="E4075" s="403" t="str">
        <f t="array" ref="E4075">INDIRECT("Tableau!$AV$106")</f>
        <v/>
      </c>
    </row>
    <row r="4076">
      <c r="A4076" s="402">
        <f t="array" ref="A4076">INDIRECT("Tableau!$A$107")</f>
        <v>365</v>
      </c>
      <c r="B4076" s="398" t="s">
        <v>479</v>
      </c>
      <c r="C4076" s="400" t="str">
        <f t="array" ref="C4076">INDIRECT("Tableau!$AU$107")</f>
        <v/>
      </c>
      <c r="D4076" s="400" t="str">
        <f t="shared" si="23"/>
        <v>OUT</v>
      </c>
      <c r="E4076" s="403" t="str">
        <f t="array" ref="E4076">INDIRECT("Tableau!$AV$107")</f>
        <v/>
      </c>
    </row>
    <row r="4077">
      <c r="A4077" s="402">
        <f t="array" ref="A4077">INDIRECT("Tableau!$A$108")</f>
        <v>342</v>
      </c>
      <c r="B4077" s="398" t="s">
        <v>479</v>
      </c>
      <c r="C4077" s="400" t="str">
        <f t="array" ref="C4077">INDIRECT("Tableau!$AU$108")</f>
        <v/>
      </c>
      <c r="D4077" s="400" t="str">
        <f t="shared" si="23"/>
        <v>OUT</v>
      </c>
      <c r="E4077" s="403" t="str">
        <f t="array" ref="E4077">INDIRECT("Tableau!$AV$108")</f>
        <v/>
      </c>
    </row>
    <row r="4078">
      <c r="A4078" s="402">
        <f t="array" ref="A4078">INDIRECT("Tableau!$A$109")</f>
        <v>343</v>
      </c>
      <c r="B4078" s="398" t="s">
        <v>479</v>
      </c>
      <c r="C4078" s="400" t="str">
        <f t="array" ref="C4078">INDIRECT("Tableau!$AU$109")</f>
        <v>Optic &amp; vous</v>
      </c>
      <c r="D4078" s="400" t="str">
        <f t="shared" si="23"/>
        <v>OUT</v>
      </c>
      <c r="E4078" s="403" t="str">
        <f t="array" ref="E4078">INDIRECT("Tableau!$AV$109")</f>
        <v/>
      </c>
    </row>
    <row r="4079">
      <c r="A4079" s="402">
        <f t="array" ref="A4079">INDIRECT("Tableau!$A$110")</f>
        <v>344</v>
      </c>
      <c r="B4079" s="398" t="s">
        <v>479</v>
      </c>
      <c r="C4079" s="400" t="str">
        <f t="array" ref="C4079">INDIRECT("Tableau!$AU$110")</f>
        <v>Urbaine</v>
      </c>
      <c r="D4079" s="400" t="str">
        <f t="shared" si="23"/>
        <v>OUT</v>
      </c>
      <c r="E4079" s="403" t="str">
        <f t="array" ref="E4079">INDIRECT("Tableau!$AV$110")</f>
        <v/>
      </c>
    </row>
    <row r="4080">
      <c r="A4080" s="402">
        <f t="array" ref="A4080">INDIRECT("Tableau!$A$111")</f>
        <v>363</v>
      </c>
      <c r="B4080" s="398" t="s">
        <v>479</v>
      </c>
      <c r="C4080" s="400" t="str">
        <f t="array" ref="C4080">INDIRECT("Tableau!$AU$111")</f>
        <v/>
      </c>
      <c r="D4080" s="400" t="str">
        <f t="shared" si="23"/>
        <v>OUT</v>
      </c>
      <c r="E4080" s="403" t="str">
        <f t="array" ref="E4080">INDIRECT("Tableau!$AV$111")</f>
        <v/>
      </c>
    </row>
    <row r="4081">
      <c r="A4081" s="402">
        <f t="array" ref="A4081">INDIRECT("Tableau!$A$112")</f>
        <v>345</v>
      </c>
      <c r="B4081" s="398" t="s">
        <v>479</v>
      </c>
      <c r="C4081" s="400" t="str">
        <f t="array" ref="C4081">INDIRECT("Tableau!$AU$112")</f>
        <v/>
      </c>
      <c r="D4081" s="400" t="str">
        <f t="shared" si="23"/>
        <v>OUT</v>
      </c>
      <c r="E4081" s="403" t="str">
        <f t="array" ref="E4081">INDIRECT("Tableau!$AV$112")</f>
        <v/>
      </c>
    </row>
    <row r="4082">
      <c r="A4082" s="402">
        <f t="array" ref="A4082">INDIRECT("Tableau!$A$113")</f>
        <v>346</v>
      </c>
      <c r="B4082" s="398" t="s">
        <v>479</v>
      </c>
      <c r="C4082" s="400" t="str">
        <f t="array" ref="C4082">INDIRECT("Tableau!$AU$113")</f>
        <v/>
      </c>
      <c r="D4082" s="400" t="str">
        <f t="shared" si="23"/>
        <v>OUT</v>
      </c>
      <c r="E4082" s="403" t="str">
        <f t="array" ref="E4082">INDIRECT("Tableau!$AV$113")</f>
        <v/>
      </c>
    </row>
    <row r="4083">
      <c r="A4083" s="402">
        <f t="array" ref="A4083">INDIRECT("Tableau!$A$114")</f>
        <v>359</v>
      </c>
      <c r="B4083" s="398" t="s">
        <v>479</v>
      </c>
      <c r="C4083" s="400" t="str">
        <f t="array" ref="C4083">INDIRECT("Tableau!$AU$114")</f>
        <v/>
      </c>
      <c r="D4083" s="400" t="str">
        <f t="shared" si="23"/>
        <v>OUT</v>
      </c>
      <c r="E4083" s="403" t="str">
        <f t="array" ref="E4083">INDIRECT("Tableau!$AV$114")</f>
        <v/>
      </c>
    </row>
    <row r="4084">
      <c r="A4084" s="402">
        <f t="array" ref="A4084">INDIRECT("Tableau!$A$115")</f>
        <v>360</v>
      </c>
      <c r="B4084" s="398" t="s">
        <v>479</v>
      </c>
      <c r="C4084" s="400" t="str">
        <f t="array" ref="C4084">INDIRECT("Tableau!$AU$115")</f>
        <v/>
      </c>
      <c r="D4084" s="400" t="str">
        <f t="shared" si="23"/>
        <v>OUT</v>
      </c>
      <c r="E4084" s="403" t="str">
        <f t="array" ref="E4084">INDIRECT("Tableau!$AV$115")</f>
        <v/>
      </c>
    </row>
    <row r="4085">
      <c r="A4085" s="402">
        <f t="array" ref="A4085">INDIRECT("Tableau!$A$116")</f>
        <v>361</v>
      </c>
      <c r="B4085" s="398" t="s">
        <v>479</v>
      </c>
      <c r="C4085" s="400" t="str">
        <f t="array" ref="C4085">INDIRECT("Tableau!$AU$116")</f>
        <v/>
      </c>
      <c r="D4085" s="400" t="str">
        <f t="shared" si="23"/>
        <v>OUT</v>
      </c>
      <c r="E4085" s="403" t="str">
        <f t="array" ref="E4085">INDIRECT("Tableau!$AV$116")</f>
        <v/>
      </c>
    </row>
    <row r="4086">
      <c r="A4086" s="397" t="str">
        <f t="array" ref="A4086">INDIRECT("Tableau!$A$117")</f>
        <v/>
      </c>
      <c r="B4086" s="398" t="s">
        <v>479</v>
      </c>
      <c r="C4086" s="400" t="str">
        <f t="array" ref="C4086">INDIRECT("Tableau!$AU$117")</f>
        <v/>
      </c>
      <c r="D4086" s="400" t="str">
        <f t="shared" si="23"/>
        <v>OUT</v>
      </c>
      <c r="E4086" s="403" t="str">
        <f t="array" ref="E4086">INDIRECT("Tableau!$AV$117")</f>
        <v/>
      </c>
    </row>
    <row r="4087">
      <c r="A4087" s="402">
        <f t="array" ref="A4087">INDIRECT("Tableau!$A$118")</f>
        <v>347</v>
      </c>
      <c r="B4087" s="398" t="s">
        <v>479</v>
      </c>
      <c r="C4087" s="400" t="str">
        <f t="array" ref="C4087">INDIRECT("Tableau!$AU$118")</f>
        <v/>
      </c>
      <c r="D4087" s="400" t="str">
        <f t="shared" si="23"/>
        <v>OUT</v>
      </c>
      <c r="E4087" s="403" t="str">
        <f t="array" ref="E4087">INDIRECT("Tableau!$AV$118")</f>
        <v/>
      </c>
    </row>
    <row r="4088">
      <c r="A4088" s="402">
        <f t="array" ref="A4088">INDIRECT("Tableau!$A$119")</f>
        <v>348</v>
      </c>
      <c r="B4088" s="398" t="s">
        <v>479</v>
      </c>
      <c r="C4088" s="400" t="str">
        <f t="array" ref="C4088">INDIRECT("Tableau!$AU$119")</f>
        <v>DPS</v>
      </c>
      <c r="D4088" s="400" t="str">
        <f t="shared" si="23"/>
        <v>OUT</v>
      </c>
      <c r="E4088" s="403" t="str">
        <f t="array" ref="E4088">INDIRECT("Tableau!$AV$119")</f>
        <v/>
      </c>
    </row>
    <row r="4089">
      <c r="A4089" s="402">
        <f t="array" ref="A4089">INDIRECT("Tableau!$A$120")</f>
        <v>349</v>
      </c>
      <c r="B4089" s="398" t="s">
        <v>479</v>
      </c>
      <c r="C4089" s="400" t="str">
        <f t="array" ref="C4089">INDIRECT("Tableau!$AU$120")</f>
        <v/>
      </c>
      <c r="D4089" s="400" t="str">
        <f t="shared" si="23"/>
        <v>OUT</v>
      </c>
      <c r="E4089" s="403" t="str">
        <f t="array" ref="E4089">INDIRECT("Tableau!$AV$120")</f>
        <v/>
      </c>
    </row>
    <row r="4090">
      <c r="A4090" s="402">
        <f t="array" ref="A4090">INDIRECT("Tableau!$A$121")</f>
        <v>350</v>
      </c>
      <c r="B4090" s="398" t="s">
        <v>479</v>
      </c>
      <c r="C4090" s="400" t="str">
        <f t="array" ref="C4090">INDIRECT("Tableau!$AU$121")</f>
        <v/>
      </c>
      <c r="D4090" s="400" t="str">
        <f t="shared" si="23"/>
        <v>OUT</v>
      </c>
      <c r="E4090" s="403" t="str">
        <f t="array" ref="E4090">INDIRECT("Tableau!$AV$121")</f>
        <v/>
      </c>
    </row>
    <row r="4091">
      <c r="A4091" s="402">
        <f t="array" ref="A4091">INDIRECT("Tableau!$A$122")</f>
        <v>351</v>
      </c>
      <c r="B4091" s="398" t="s">
        <v>479</v>
      </c>
      <c r="C4091" s="400" t="str">
        <f t="array" ref="C4091">INDIRECT("Tableau!$AU$122")</f>
        <v/>
      </c>
      <c r="D4091" s="400" t="str">
        <f t="shared" si="23"/>
        <v>OUT</v>
      </c>
      <c r="E4091" s="403" t="str">
        <f t="array" ref="E4091">INDIRECT("Tableau!$AV$122")</f>
        <v/>
      </c>
    </row>
    <row r="4092">
      <c r="A4092" s="402">
        <f t="array" ref="A4092">INDIRECT("Tableau!$A$123")</f>
        <v>352</v>
      </c>
      <c r="B4092" s="398" t="s">
        <v>479</v>
      </c>
      <c r="C4092" s="400" t="str">
        <f t="array" ref="C4092">INDIRECT("Tableau!$AU$123")</f>
        <v/>
      </c>
      <c r="D4092" s="400" t="str">
        <f t="shared" si="23"/>
        <v>OUT</v>
      </c>
      <c r="E4092" s="403" t="str">
        <f t="array" ref="E4092">INDIRECT("Tableau!$AV$123")</f>
        <v/>
      </c>
    </row>
    <row r="4093">
      <c r="A4093" s="402">
        <f t="array" ref="A4093">INDIRECT("Tableau!$A$124")</f>
        <v>353</v>
      </c>
      <c r="B4093" s="398" t="s">
        <v>479</v>
      </c>
      <c r="C4093" s="400" t="str">
        <f t="array" ref="C4093">INDIRECT("Tableau!$AU$124")</f>
        <v/>
      </c>
      <c r="D4093" s="400" t="str">
        <f t="shared" si="23"/>
        <v>OUT</v>
      </c>
      <c r="E4093" s="403" t="str">
        <f t="array" ref="E4093">INDIRECT("Tableau!$AV$124")</f>
        <v/>
      </c>
    </row>
    <row r="4094">
      <c r="A4094" s="397" t="str">
        <f t="array" ref="A4094">INDIRECT("Tableau!$A$125")</f>
        <v/>
      </c>
      <c r="B4094" s="398" t="s">
        <v>479</v>
      </c>
      <c r="C4094" s="400" t="str">
        <f t="array" ref="C4094">INDIRECT("Tableau!$AU$125")</f>
        <v/>
      </c>
      <c r="D4094" s="400" t="str">
        <f t="shared" si="23"/>
        <v>OUT</v>
      </c>
      <c r="E4094" s="403" t="str">
        <f t="array" ref="E4094">INDIRECT("Tableau!$AV$125")</f>
        <v/>
      </c>
    </row>
    <row r="4095">
      <c r="A4095" s="402">
        <f t="array" ref="A4095">INDIRECT("Tableau!$A$126")</f>
        <v>354</v>
      </c>
      <c r="B4095" s="398" t="s">
        <v>479</v>
      </c>
      <c r="C4095" s="400" t="str">
        <f t="array" ref="C4095">INDIRECT("Tableau!$AU$126")</f>
        <v/>
      </c>
      <c r="D4095" s="400" t="str">
        <f t="shared" si="23"/>
        <v>OUT</v>
      </c>
      <c r="E4095" s="403" t="str">
        <f t="array" ref="E4095">INDIRECT("Tableau!$AV$126")</f>
        <v/>
      </c>
    </row>
    <row r="4096">
      <c r="A4096" s="402">
        <f t="array" ref="A4096">INDIRECT("Tableau!$A$127")</f>
        <v>355</v>
      </c>
      <c r="B4096" s="398" t="s">
        <v>479</v>
      </c>
      <c r="C4096" s="400" t="str">
        <f t="array" ref="C4096">INDIRECT("Tableau!$AU$127")</f>
        <v/>
      </c>
      <c r="D4096" s="400" t="str">
        <f t="shared" si="23"/>
        <v>OUT</v>
      </c>
      <c r="E4096" s="403" t="str">
        <f t="array" ref="E4096">INDIRECT("Tableau!$AV$127")</f>
        <v/>
      </c>
    </row>
    <row r="4097">
      <c r="A4097" s="402">
        <f t="array" ref="A4097">INDIRECT("Tableau!$A$128")</f>
        <v>356</v>
      </c>
      <c r="B4097" s="398" t="s">
        <v>479</v>
      </c>
      <c r="C4097" s="400" t="str">
        <f t="array" ref="C4097">INDIRECT("Tableau!$AU$128")</f>
        <v/>
      </c>
      <c r="D4097" s="400" t="str">
        <f t="shared" si="23"/>
        <v>OUT</v>
      </c>
      <c r="E4097" s="403" t="str">
        <f t="array" ref="E4097">INDIRECT("Tableau!$AV$128")</f>
        <v/>
      </c>
    </row>
    <row r="4098">
      <c r="A4098" s="402">
        <f t="array" ref="A4098">INDIRECT("Tableau!$A$129")</f>
        <v>357</v>
      </c>
      <c r="B4098" s="398" t="s">
        <v>479</v>
      </c>
      <c r="C4098" s="400" t="str">
        <f t="array" ref="C4098">INDIRECT("Tableau!$AU$129")</f>
        <v/>
      </c>
      <c r="D4098" s="400" t="str">
        <f t="shared" si="23"/>
        <v>OUT</v>
      </c>
      <c r="E4098" s="403" t="str">
        <f t="array" ref="E4098">INDIRECT("Tableau!$AV$129")</f>
        <v/>
      </c>
    </row>
    <row r="4099">
      <c r="A4099" s="397" t="str">
        <f t="array" ref="A4099">INDIRECT("Tableau!$A$130")</f>
        <v/>
      </c>
      <c r="B4099" s="398" t="s">
        <v>479</v>
      </c>
      <c r="C4099" s="400" t="str">
        <f t="array" ref="C4099">INDIRECT("Tableau!$AU$130")</f>
        <v/>
      </c>
      <c r="D4099" s="400" t="str">
        <f t="shared" si="23"/>
        <v>OUT</v>
      </c>
      <c r="E4099" s="403" t="str">
        <f t="array" ref="E4099">INDIRECT("Tableau!$AV$130")</f>
        <v/>
      </c>
    </row>
    <row r="4100">
      <c r="A4100" s="397" t="str">
        <f t="array" ref="A4100">INDIRECT("Tableau!$A$131")</f>
        <v/>
      </c>
      <c r="B4100" s="398" t="s">
        <v>479</v>
      </c>
      <c r="C4100" s="400" t="str">
        <f t="array" ref="C4100">INDIRECT("Tableau!$AU$131")</f>
        <v/>
      </c>
      <c r="D4100" s="400" t="str">
        <f t="shared" si="23"/>
        <v>OUT</v>
      </c>
      <c r="E4100" s="403" t="str">
        <f t="array" ref="E4100">INDIRECT("Tableau!$AV$131")</f>
        <v/>
      </c>
    </row>
    <row r="4101">
      <c r="A4101" s="397" t="str">
        <f t="array" ref="A4101">INDIRECT("Tableau!$A$132")</f>
        <v/>
      </c>
      <c r="B4101" s="398" t="s">
        <v>479</v>
      </c>
      <c r="C4101" s="400" t="str">
        <f t="array" ref="C4101">INDIRECT("Tableau!$AU$132")</f>
        <v/>
      </c>
      <c r="D4101" s="400" t="str">
        <f t="shared" si="23"/>
        <v>OUT</v>
      </c>
      <c r="E4101" s="403" t="str">
        <f t="array" ref="E4101">INDIRECT("Tableau!$AV$132")</f>
        <v/>
      </c>
    </row>
    <row r="4102">
      <c r="A4102" s="397" t="str">
        <f t="array" ref="A4102">INDIRECT("Tableau!$A$133")</f>
        <v/>
      </c>
      <c r="B4102" s="398" t="s">
        <v>479</v>
      </c>
      <c r="C4102" s="400" t="str">
        <f t="array" ref="C4102">INDIRECT("Tableau!$AU$133")</f>
        <v/>
      </c>
      <c r="D4102" s="400" t="str">
        <f t="shared" si="23"/>
        <v>OUT</v>
      </c>
      <c r="E4102" s="403" t="str">
        <f t="array" ref="E4102">INDIRECT("Tableau!$AV$133")</f>
        <v/>
      </c>
    </row>
    <row r="4103">
      <c r="A4103" s="397" t="str">
        <f t="array" ref="A4103">INDIRECT("Tableau!$A$134")</f>
        <v/>
      </c>
      <c r="B4103" s="398" t="s">
        <v>479</v>
      </c>
      <c r="C4103" s="400" t="str">
        <f t="array" ref="C4103">INDIRECT("Tableau!$AU$134")</f>
        <v/>
      </c>
      <c r="D4103" s="400" t="str">
        <f t="shared" si="23"/>
        <v>OUT</v>
      </c>
      <c r="E4103" s="403" t="str">
        <f t="array" ref="E4103">INDIRECT("Tableau!$AV$134")</f>
        <v/>
      </c>
    </row>
    <row r="4104">
      <c r="A4104" s="402">
        <f t="array" ref="A4104">INDIRECT("Tableau!$A$135")</f>
        <v>401</v>
      </c>
      <c r="B4104" s="398" t="s">
        <v>479</v>
      </c>
      <c r="C4104" s="400" t="str">
        <f t="array" ref="C4104">INDIRECT("Tableau!$AU$135")</f>
        <v/>
      </c>
      <c r="D4104" s="400" t="str">
        <f t="shared" si="23"/>
        <v>OUT</v>
      </c>
      <c r="E4104" s="403" t="str">
        <f t="array" ref="E4104">INDIRECT("Tableau!$AV$135")</f>
        <v/>
      </c>
    </row>
    <row r="4105">
      <c r="A4105" s="402">
        <f t="array" ref="A4105">INDIRECT("Tableau!$A$136")</f>
        <v>402</v>
      </c>
      <c r="B4105" s="398" t="s">
        <v>479</v>
      </c>
      <c r="C4105" s="400" t="str">
        <f t="array" ref="C4105">INDIRECT("Tableau!$AU$136")</f>
        <v/>
      </c>
      <c r="D4105" s="400" t="str">
        <f t="shared" si="23"/>
        <v>OUT</v>
      </c>
      <c r="E4105" s="403" t="str">
        <f t="array" ref="E4105">INDIRECT("Tableau!$AV$136")</f>
        <v/>
      </c>
    </row>
    <row r="4106">
      <c r="A4106" s="402">
        <f t="array" ref="A4106">INDIRECT("Tableau!$A$137")</f>
        <v>403</v>
      </c>
      <c r="B4106" s="398" t="s">
        <v>479</v>
      </c>
      <c r="C4106" s="400" t="str">
        <f t="array" ref="C4106">INDIRECT("Tableau!$AU$137")</f>
        <v/>
      </c>
      <c r="D4106" s="400" t="str">
        <f t="shared" si="23"/>
        <v>OUT</v>
      </c>
      <c r="E4106" s="403" t="str">
        <f t="array" ref="E4106">INDIRECT("Tableau!$AV$137")</f>
        <v/>
      </c>
    </row>
    <row r="4107">
      <c r="A4107" s="402">
        <f t="array" ref="A4107">INDIRECT("Tableau!$A$138")</f>
        <v>404</v>
      </c>
      <c r="B4107" s="398" t="s">
        <v>479</v>
      </c>
      <c r="C4107" s="400" t="str">
        <f t="array" ref="C4107">INDIRECT("Tableau!$AU$138")</f>
        <v/>
      </c>
      <c r="D4107" s="400" t="str">
        <f t="shared" si="23"/>
        <v>OUT</v>
      </c>
      <c r="E4107" s="403" t="str">
        <f t="array" ref="E4107">INDIRECT("Tableau!$AV$138")</f>
        <v/>
      </c>
    </row>
    <row r="4108">
      <c r="A4108" s="402">
        <f t="array" ref="A4108">INDIRECT("Tableau!$A$139")</f>
        <v>405</v>
      </c>
      <c r="B4108" s="398" t="s">
        <v>479</v>
      </c>
      <c r="C4108" s="400" t="str">
        <f t="array" ref="C4108">INDIRECT("Tableau!$AU$139")</f>
        <v>DEMA</v>
      </c>
      <c r="D4108" s="400" t="str">
        <f t="shared" si="23"/>
        <v>OUT</v>
      </c>
      <c r="E4108" s="403" t="str">
        <f t="array" ref="E4108">INDIRECT("Tableau!$AV$139")</f>
        <v/>
      </c>
    </row>
    <row r="4109">
      <c r="A4109" s="402">
        <f t="array" ref="A4109">INDIRECT("Tableau!$A$140")</f>
        <v>406</v>
      </c>
      <c r="B4109" s="398" t="s">
        <v>479</v>
      </c>
      <c r="C4109" s="400" t="str">
        <f t="array" ref="C4109">INDIRECT("Tableau!$AU$140")</f>
        <v/>
      </c>
      <c r="D4109" s="400" t="str">
        <f t="shared" si="23"/>
        <v>OUT</v>
      </c>
      <c r="E4109" s="403" t="str">
        <f t="array" ref="E4109">INDIRECT("Tableau!$AV$140")</f>
        <v/>
      </c>
    </row>
    <row r="4110">
      <c r="A4110" s="402">
        <f t="array" ref="A4110">INDIRECT("Tableau!$A$141")</f>
        <v>407</v>
      </c>
      <c r="B4110" s="398" t="s">
        <v>479</v>
      </c>
      <c r="C4110" s="400" t="str">
        <f t="array" ref="C4110">INDIRECT("Tableau!$AU$141")</f>
        <v/>
      </c>
      <c r="D4110" s="400" t="str">
        <f t="shared" si="23"/>
        <v>OUT</v>
      </c>
      <c r="E4110" s="403" t="str">
        <f t="array" ref="E4110">INDIRECT("Tableau!$AV$141")</f>
        <v/>
      </c>
    </row>
    <row r="4111">
      <c r="A4111" s="402">
        <f t="array" ref="A4111">INDIRECT("Tableau!$A$142")</f>
        <v>408</v>
      </c>
      <c r="B4111" s="398" t="s">
        <v>479</v>
      </c>
      <c r="C4111" s="400" t="str">
        <f t="array" ref="C4111">INDIRECT("Tableau!$AU$142")</f>
        <v/>
      </c>
      <c r="D4111" s="400" t="str">
        <f t="shared" si="23"/>
        <v>OUT</v>
      </c>
      <c r="E4111" s="403" t="str">
        <f t="array" ref="E4111">INDIRECT("Tableau!$AV$142")</f>
        <v/>
      </c>
    </row>
    <row r="4112">
      <c r="A4112" s="402">
        <f t="array" ref="A4112">INDIRECT("Tableau!$A$143")</f>
        <v>409</v>
      </c>
      <c r="B4112" s="398" t="s">
        <v>479</v>
      </c>
      <c r="C4112" s="400" t="str">
        <f t="array" ref="C4112">INDIRECT("Tableau!$AU$143")</f>
        <v>DEMA</v>
      </c>
      <c r="D4112" s="400" t="str">
        <f t="shared" si="23"/>
        <v>OUT</v>
      </c>
      <c r="E4112" s="403" t="str">
        <f t="array" ref="E4112">INDIRECT("Tableau!$AV$143")</f>
        <v/>
      </c>
    </row>
    <row r="4113">
      <c r="A4113" s="397">
        <f t="array" ref="A4113">INDIRECT("Tableau!$A$144")</f>
        <v>415</v>
      </c>
      <c r="B4113" s="398" t="s">
        <v>479</v>
      </c>
      <c r="C4113" s="400" t="str">
        <f t="array" ref="C4113">INDIRECT("Tableau!$AU$144")</f>
        <v/>
      </c>
      <c r="D4113" s="400" t="str">
        <f t="shared" si="23"/>
        <v>OUT</v>
      </c>
      <c r="E4113" s="403" t="str">
        <f t="array" ref="E4113">INDIRECT("Tableau!$AV$144")</f>
        <v/>
      </c>
    </row>
    <row r="4114">
      <c r="A4114" s="397" t="str">
        <f t="array" ref="A4114">INDIRECT("Tableau!$A$145")</f>
        <v/>
      </c>
      <c r="B4114" s="398" t="s">
        <v>479</v>
      </c>
      <c r="C4114" s="400" t="str">
        <f t="array" ref="C4114">INDIRECT("Tableau!$AU$145")</f>
        <v/>
      </c>
      <c r="D4114" s="400" t="str">
        <f t="shared" si="23"/>
        <v>OUT</v>
      </c>
      <c r="E4114" s="403" t="str">
        <f t="array" ref="E4114">INDIRECT("Tableau!$AV$145")</f>
        <v/>
      </c>
    </row>
    <row r="4115">
      <c r="A4115" s="397" t="str">
        <f t="array" ref="A4115">INDIRECT("Tableau!$A$146")</f>
        <v/>
      </c>
      <c r="B4115" s="398" t="s">
        <v>479</v>
      </c>
      <c r="C4115" s="400" t="str">
        <f t="array" ref="C4115">INDIRECT("Tableau!$AU$146")</f>
        <v/>
      </c>
      <c r="D4115" s="400" t="str">
        <f t="shared" si="23"/>
        <v>OUT</v>
      </c>
      <c r="E4115" s="403" t="str">
        <f t="array" ref="E4115">INDIRECT("Tableau!$AV$146")</f>
        <v/>
      </c>
    </row>
    <row r="4116">
      <c r="A4116" s="397" t="str">
        <f t="array" ref="A4116">INDIRECT("Tableau!$A$147")</f>
        <v/>
      </c>
      <c r="B4116" s="398" t="s">
        <v>479</v>
      </c>
      <c r="C4116" s="400" t="str">
        <f t="array" ref="C4116">INDIRECT("Tableau!$AU$147")</f>
        <v/>
      </c>
      <c r="D4116" s="400" t="str">
        <f t="shared" si="23"/>
        <v>OUT</v>
      </c>
      <c r="E4116" s="403" t="str">
        <f t="array" ref="E4116">INDIRECT("Tableau!$AV$147")</f>
        <v/>
      </c>
    </row>
    <row r="4117">
      <c r="A4117" s="397" t="str">
        <f t="array" ref="A4117">INDIRECT("Tableau!$A$148")</f>
        <v/>
      </c>
      <c r="B4117" s="398" t="s">
        <v>479</v>
      </c>
      <c r="C4117" s="400" t="str">
        <f t="array" ref="C4117">INDIRECT("Tableau!$AU$148")</f>
        <v/>
      </c>
      <c r="D4117" s="400" t="str">
        <f t="shared" si="23"/>
        <v>OUT</v>
      </c>
      <c r="E4117" s="403" t="str">
        <f t="array" ref="E4117">INDIRECT("Tableau!$AV$148")</f>
        <v/>
      </c>
    </row>
    <row r="4118">
      <c r="A4118" s="397" t="str">
        <f t="array" ref="A4118">INDIRECT("Tableau!$A$149")</f>
        <v/>
      </c>
      <c r="B4118" s="398" t="s">
        <v>479</v>
      </c>
      <c r="C4118" s="400" t="str">
        <f t="array" ref="C4118">INDIRECT("Tableau!$AU$149")</f>
        <v/>
      </c>
      <c r="D4118" s="400" t="str">
        <f t="shared" si="23"/>
        <v>OUT</v>
      </c>
      <c r="E4118" s="403" t="str">
        <f t="array" ref="E4118">INDIRECT("Tableau!$AV$149")</f>
        <v/>
      </c>
    </row>
    <row r="4119">
      <c r="A4119" s="397" t="str">
        <f t="array" ref="A4119">INDIRECT("Tableau!$A$150")</f>
        <v/>
      </c>
      <c r="B4119" s="398" t="s">
        <v>479</v>
      </c>
      <c r="C4119" s="400" t="str">
        <f t="array" ref="C4119">INDIRECT("Tableau!$AU$150")</f>
        <v/>
      </c>
      <c r="D4119" s="400" t="str">
        <f t="shared" si="23"/>
        <v>OUT</v>
      </c>
      <c r="E4119" s="403" t="str">
        <f t="array" ref="E4119">INDIRECT("Tableau!$AV$150")</f>
        <v/>
      </c>
    </row>
    <row r="4120">
      <c r="A4120" s="397" t="str">
        <f t="array" ref="A4120">INDIRECT("Tableau!$A$151")</f>
        <v/>
      </c>
      <c r="B4120" s="398" t="s">
        <v>479</v>
      </c>
      <c r="C4120" s="400" t="str">
        <f t="array" ref="C4120">INDIRECT("Tableau!$AU$151")</f>
        <v/>
      </c>
      <c r="D4120" s="400" t="str">
        <f t="shared" si="23"/>
        <v>OUT</v>
      </c>
      <c r="E4120" s="403" t="str">
        <f t="array" ref="E4120">INDIRECT("Tableau!$AV$151")</f>
        <v/>
      </c>
    </row>
    <row r="4121">
      <c r="A4121" s="397" t="str">
        <f t="array" ref="A4121">INDIRECT("Tableau!$A$152")</f>
        <v/>
      </c>
      <c r="B4121" s="398" t="s">
        <v>479</v>
      </c>
      <c r="C4121" s="400" t="str">
        <f t="array" ref="C4121">INDIRECT("Tableau!$AU$152")</f>
        <v/>
      </c>
      <c r="D4121" s="400" t="str">
        <f t="shared" si="23"/>
        <v>OUT</v>
      </c>
      <c r="E4121" s="403" t="str">
        <f t="array" ref="E4121">INDIRECT("Tableau!$AV$152")</f>
        <v/>
      </c>
    </row>
    <row r="4122">
      <c r="A4122" s="397" t="str">
        <f t="array" ref="A4122">INDIRECT("Tableau!$A$153")</f>
        <v/>
      </c>
      <c r="B4122" s="398" t="s">
        <v>479</v>
      </c>
      <c r="C4122" s="400" t="str">
        <f t="array" ref="C4122">INDIRECT("Tableau!$AU$153")</f>
        <v/>
      </c>
      <c r="D4122" s="400" t="str">
        <f t="shared" si="23"/>
        <v>OUT</v>
      </c>
      <c r="E4122" s="403" t="str">
        <f t="array" ref="E4122">INDIRECT("Tableau!$AV$153")</f>
        <v/>
      </c>
    </row>
    <row r="4123">
      <c r="A4123" s="402">
        <f t="array" ref="A4123">INDIRECT("Tableau!$A$154")</f>
        <v>501</v>
      </c>
      <c r="B4123" s="398" t="s">
        <v>479</v>
      </c>
      <c r="C4123" s="400" t="str">
        <f t="array" ref="C4123">INDIRECT("Tableau!$AU$154")</f>
        <v>DPS</v>
      </c>
      <c r="D4123" s="400" t="str">
        <f t="shared" si="23"/>
        <v>OUT</v>
      </c>
      <c r="E4123" s="403" t="str">
        <f t="array" ref="E4123">INDIRECT("Tableau!$AV$154")</f>
        <v/>
      </c>
    </row>
    <row r="4124">
      <c r="A4124" s="402">
        <f t="array" ref="A4124">INDIRECT("Tableau!$A$155")</f>
        <v>502</v>
      </c>
      <c r="B4124" s="398" t="s">
        <v>479</v>
      </c>
      <c r="C4124" s="400" t="str">
        <f t="array" ref="C4124">INDIRECT("Tableau!$AU$155")</f>
        <v/>
      </c>
      <c r="D4124" s="400" t="str">
        <f t="shared" si="23"/>
        <v>OUT</v>
      </c>
      <c r="E4124" s="403" t="str">
        <f t="array" ref="E4124">INDIRECT("Tableau!$AV$155")</f>
        <v/>
      </c>
    </row>
    <row r="4125">
      <c r="A4125" s="397" t="str">
        <f t="array" ref="A4125">INDIRECT("Tableau!$A$156")</f>
        <v/>
      </c>
      <c r="B4125" s="398" t="s">
        <v>479</v>
      </c>
      <c r="C4125" s="400" t="str">
        <f t="array" ref="C4125">INDIRECT("Tableau!$AU$156")</f>
        <v/>
      </c>
      <c r="D4125" s="400" t="str">
        <f t="shared" si="23"/>
        <v>OUT</v>
      </c>
      <c r="E4125" s="403" t="str">
        <f t="array" ref="E4125">INDIRECT("Tableau!$AV$156")</f>
        <v/>
      </c>
    </row>
    <row r="4126">
      <c r="A4126" s="397" t="str">
        <f t="array" ref="A4126">INDIRECT("Tableau!$A$157")</f>
        <v/>
      </c>
      <c r="B4126" s="398" t="s">
        <v>479</v>
      </c>
      <c r="C4126" s="400" t="str">
        <f t="array" ref="C4126">INDIRECT("Tableau!$AU$157")</f>
        <v/>
      </c>
      <c r="D4126" s="400" t="str">
        <f t="shared" si="23"/>
        <v>OUT</v>
      </c>
      <c r="E4126" s="403" t="str">
        <f t="array" ref="E4126">INDIRECT("Tableau!$AV$157")</f>
        <v/>
      </c>
    </row>
    <row r="4127">
      <c r="A4127" s="402">
        <f t="array" ref="A4127">INDIRECT("Tableau!$A$158")</f>
        <v>505</v>
      </c>
      <c r="B4127" s="398" t="s">
        <v>479</v>
      </c>
      <c r="C4127" s="400" t="str">
        <f t="array" ref="C4127">INDIRECT("Tableau!$AU$158")</f>
        <v/>
      </c>
      <c r="D4127" s="400" t="str">
        <f t="shared" si="23"/>
        <v>OUT</v>
      </c>
      <c r="E4127" s="403" t="str">
        <f t="array" ref="E4127">INDIRECT("Tableau!$AV$158")</f>
        <v/>
      </c>
    </row>
    <row r="4128">
      <c r="A4128" s="402">
        <f t="array" ref="A4128">INDIRECT("Tableau!$A$159")</f>
        <v>506</v>
      </c>
      <c r="B4128" s="398" t="s">
        <v>479</v>
      </c>
      <c r="C4128" s="400" t="str">
        <f t="array" ref="C4128">INDIRECT("Tableau!$AU$159")</f>
        <v>DPS</v>
      </c>
      <c r="D4128" s="400" t="str">
        <f t="shared" si="23"/>
        <v>OUT</v>
      </c>
      <c r="E4128" s="403" t="str">
        <f t="array" ref="E4128">INDIRECT("Tableau!$AV$159")</f>
        <v/>
      </c>
    </row>
    <row r="4129">
      <c r="A4129" s="402">
        <f t="array" ref="A4129">INDIRECT("Tableau!$A$160")</f>
        <v>507</v>
      </c>
      <c r="B4129" s="398" t="s">
        <v>479</v>
      </c>
      <c r="C4129" s="400" t="str">
        <f t="array" ref="C4129">INDIRECT("Tableau!$AU$160")</f>
        <v/>
      </c>
      <c r="D4129" s="400" t="str">
        <f t="shared" si="23"/>
        <v>OUT</v>
      </c>
      <c r="E4129" s="403" t="str">
        <f t="array" ref="E4129">INDIRECT("Tableau!$AV$160")</f>
        <v/>
      </c>
    </row>
    <row r="4130">
      <c r="A4130" s="402">
        <f t="array" ref="A4130">INDIRECT("Tableau!$A$161")</f>
        <v>508</v>
      </c>
      <c r="B4130" s="398" t="s">
        <v>479</v>
      </c>
      <c r="C4130" s="400" t="str">
        <f t="array" ref="C4130">INDIRECT("Tableau!$AU$161")</f>
        <v>DPS</v>
      </c>
      <c r="D4130" s="400" t="str">
        <f t="shared" si="23"/>
        <v>OUT</v>
      </c>
      <c r="E4130" s="403" t="str">
        <f t="array" ref="E4130">INDIRECT("Tableau!$AV$161")</f>
        <v/>
      </c>
    </row>
    <row r="4131">
      <c r="A4131" s="402">
        <f t="array" ref="A4131">INDIRECT("Tableau!$A$162")</f>
        <v>509</v>
      </c>
      <c r="B4131" s="398" t="s">
        <v>479</v>
      </c>
      <c r="C4131" s="400" t="str">
        <f t="array" ref="C4131">INDIRECT("Tableau!$AU$162")</f>
        <v/>
      </c>
      <c r="D4131" s="400" t="str">
        <f t="shared" si="23"/>
        <v>OUT</v>
      </c>
      <c r="E4131" s="403" t="str">
        <f t="array" ref="E4131">INDIRECT("Tableau!$AV$162")</f>
        <v/>
      </c>
    </row>
    <row r="4132">
      <c r="A4132" s="397">
        <f t="array" ref="A4132">INDIRECT("Tableau!$A$163")</f>
        <v>510</v>
      </c>
      <c r="B4132" s="398" t="s">
        <v>479</v>
      </c>
      <c r="C4132" s="400" t="str">
        <f t="array" ref="C4132">INDIRECT("Tableau!$AU$163")</f>
        <v/>
      </c>
      <c r="D4132" s="400" t="str">
        <f t="shared" si="23"/>
        <v>OUT</v>
      </c>
      <c r="E4132" s="403" t="str">
        <f t="array" ref="E4132">INDIRECT("Tableau!$AV$163")</f>
        <v/>
      </c>
    </row>
    <row r="4133">
      <c r="A4133" s="397" t="str">
        <f t="array" ref="A4133">INDIRECT("Tableau!$A$164")</f>
        <v/>
      </c>
      <c r="B4133" s="398" t="s">
        <v>479</v>
      </c>
      <c r="C4133" s="400" t="str">
        <f t="array" ref="C4133">INDIRECT("Tableau!$AU$164")</f>
        <v/>
      </c>
      <c r="D4133" s="400" t="str">
        <f t="shared" si="23"/>
        <v>OUT</v>
      </c>
      <c r="E4133" s="403" t="str">
        <f t="array" ref="E4133">INDIRECT("Tableau!$AV$164")</f>
        <v/>
      </c>
    </row>
    <row r="4134">
      <c r="A4134" s="397" t="str">
        <f t="array" ref="A4134">INDIRECT("Tableau!$A$165")</f>
        <v/>
      </c>
      <c r="B4134" s="398" t="s">
        <v>479</v>
      </c>
      <c r="C4134" s="400" t="str">
        <f t="array" ref="C4134">INDIRECT("Tableau!$AU$165")</f>
        <v/>
      </c>
      <c r="D4134" s="400" t="str">
        <f t="shared" si="23"/>
        <v>OUT</v>
      </c>
      <c r="E4134" s="403" t="str">
        <f t="array" ref="E4134">INDIRECT("Tableau!$AV$165")</f>
        <v/>
      </c>
    </row>
    <row r="4135">
      <c r="A4135" s="402">
        <f t="array" ref="A4135">INDIRECT("Tableau!$A$166")</f>
        <v>527</v>
      </c>
      <c r="B4135" s="398" t="s">
        <v>479</v>
      </c>
      <c r="C4135" s="400" t="str">
        <f t="array" ref="C4135">INDIRECT("Tableau!$AU$166")</f>
        <v/>
      </c>
      <c r="D4135" s="400" t="str">
        <f t="shared" si="23"/>
        <v>OUT</v>
      </c>
      <c r="E4135" s="403" t="str">
        <f t="array" ref="E4135">INDIRECT("Tableau!$AV$166")</f>
        <v/>
      </c>
    </row>
    <row r="4136">
      <c r="A4136" s="402">
        <f t="array" ref="A4136">INDIRECT("Tableau!$A$167")</f>
        <v>512</v>
      </c>
      <c r="B4136" s="398" t="s">
        <v>479</v>
      </c>
      <c r="C4136" s="400" t="str">
        <f t="array" ref="C4136">INDIRECT("Tableau!$AU$167")</f>
        <v/>
      </c>
      <c r="D4136" s="400" t="str">
        <f t="shared" si="23"/>
        <v>OUT</v>
      </c>
      <c r="E4136" s="403" t="str">
        <f t="array" ref="E4136">INDIRECT("Tableau!$AV$167")</f>
        <v/>
      </c>
    </row>
    <row r="4137">
      <c r="A4137" s="402">
        <f t="array" ref="A4137">INDIRECT("Tableau!$A$168")</f>
        <v>513</v>
      </c>
      <c r="B4137" s="398" t="s">
        <v>479</v>
      </c>
      <c r="C4137" s="400" t="str">
        <f t="array" ref="C4137">INDIRECT("Tableau!$AU$168")</f>
        <v/>
      </c>
      <c r="D4137" s="400" t="str">
        <f t="shared" si="23"/>
        <v>OUT</v>
      </c>
      <c r="E4137" s="403" t="str">
        <f t="array" ref="E4137">INDIRECT("Tableau!$AV$168")</f>
        <v/>
      </c>
    </row>
    <row r="4138">
      <c r="A4138" s="402">
        <f t="array" ref="A4138">INDIRECT("Tableau!$A$169")</f>
        <v>514</v>
      </c>
      <c r="B4138" s="398" t="s">
        <v>479</v>
      </c>
      <c r="C4138" s="400" t="str">
        <f t="array" ref="C4138">INDIRECT("Tableau!$AU$169")</f>
        <v/>
      </c>
      <c r="D4138" s="400" t="str">
        <f t="shared" si="23"/>
        <v>OUT</v>
      </c>
      <c r="E4138" s="403" t="str">
        <f t="array" ref="E4138">INDIRECT("Tableau!$AV$169")</f>
        <v/>
      </c>
    </row>
    <row r="4139">
      <c r="A4139" s="402">
        <f t="array" ref="A4139">INDIRECT("Tableau!$A$170")</f>
        <v>515</v>
      </c>
      <c r="B4139" s="398" t="s">
        <v>479</v>
      </c>
      <c r="C4139" s="400" t="str">
        <f t="array" ref="C4139">INDIRECT("Tableau!$AU$170")</f>
        <v/>
      </c>
      <c r="D4139" s="400" t="str">
        <f t="shared" si="23"/>
        <v>OUT</v>
      </c>
      <c r="E4139" s="403" t="str">
        <f t="array" ref="E4139">INDIRECT("Tableau!$AV$170")</f>
        <v/>
      </c>
    </row>
    <row r="4140">
      <c r="A4140" s="402">
        <f t="array" ref="A4140">INDIRECT("Tableau!$A$171")</f>
        <v>517</v>
      </c>
      <c r="B4140" s="398" t="s">
        <v>479</v>
      </c>
      <c r="C4140" s="400" t="str">
        <f t="array" ref="C4140">INDIRECT("Tableau!$AU$171")</f>
        <v/>
      </c>
      <c r="D4140" s="400" t="str">
        <f t="shared" si="23"/>
        <v>OUT</v>
      </c>
      <c r="E4140" s="403" t="str">
        <f t="array" ref="E4140">INDIRECT("Tableau!$AV$171")</f>
        <v/>
      </c>
    </row>
    <row r="4141">
      <c r="A4141" s="402">
        <f t="array" ref="A4141">INDIRECT("Tableau!$A$172")</f>
        <v>518</v>
      </c>
      <c r="B4141" s="398" t="s">
        <v>479</v>
      </c>
      <c r="C4141" s="400" t="str">
        <f t="array" ref="C4141">INDIRECT("Tableau!$AU$172")</f>
        <v/>
      </c>
      <c r="D4141" s="400" t="str">
        <f t="shared" si="23"/>
        <v>OUT</v>
      </c>
      <c r="E4141" s="403" t="str">
        <f t="array" ref="E4141">INDIRECT("Tableau!$AV$172")</f>
        <v/>
      </c>
    </row>
    <row r="4142">
      <c r="A4142" s="397" t="str">
        <f t="array" ref="A4142">INDIRECT("Tableau!$A$173")</f>
        <v/>
      </c>
      <c r="B4142" s="398" t="s">
        <v>479</v>
      </c>
      <c r="C4142" s="400" t="str">
        <f t="array" ref="C4142">INDIRECT("Tableau!$AU$173")</f>
        <v/>
      </c>
      <c r="D4142" s="400" t="str">
        <f t="shared" si="23"/>
        <v>OUT</v>
      </c>
      <c r="E4142" s="403" t="str">
        <f t="array" ref="E4142">INDIRECT("Tableau!$AV$173")</f>
        <v/>
      </c>
    </row>
    <row r="4143">
      <c r="A4143" s="402">
        <f t="array" ref="A4143">INDIRECT("Tableau!$A$174")</f>
        <v>520</v>
      </c>
      <c r="B4143" s="398" t="s">
        <v>479</v>
      </c>
      <c r="C4143" s="400" t="str">
        <f t="array" ref="C4143">INDIRECT("Tableau!$AU$174")</f>
        <v/>
      </c>
      <c r="D4143" s="400" t="str">
        <f t="shared" si="23"/>
        <v>OUT</v>
      </c>
      <c r="E4143" s="403" t="str">
        <f t="array" ref="E4143">INDIRECT("Tableau!$AV$174")</f>
        <v/>
      </c>
    </row>
    <row r="4144">
      <c r="A4144" s="402">
        <f t="array" ref="A4144">INDIRECT("Tableau!$A$175")</f>
        <v>521</v>
      </c>
      <c r="B4144" s="398" t="s">
        <v>479</v>
      </c>
      <c r="C4144" s="400" t="str">
        <f t="array" ref="C4144">INDIRECT("Tableau!$AU$175")</f>
        <v/>
      </c>
      <c r="D4144" s="400" t="str">
        <f t="shared" si="23"/>
        <v>OUT</v>
      </c>
      <c r="E4144" s="403" t="str">
        <f t="array" ref="E4144">INDIRECT("Tableau!$AV$175")</f>
        <v/>
      </c>
    </row>
    <row r="4145">
      <c r="A4145" s="402">
        <f t="array" ref="A4145">INDIRECT("Tableau!$A$176")</f>
        <v>525</v>
      </c>
      <c r="B4145" s="398" t="s">
        <v>479</v>
      </c>
      <c r="C4145" s="400" t="str">
        <f t="array" ref="C4145">INDIRECT("Tableau!$AU$176")</f>
        <v>DEMA</v>
      </c>
      <c r="D4145" s="400" t="str">
        <f t="shared" si="23"/>
        <v>OUT</v>
      </c>
      <c r="E4145" s="403" t="str">
        <f t="array" ref="E4145">INDIRECT("Tableau!$AV$176")</f>
        <v/>
      </c>
    </row>
    <row r="4146">
      <c r="A4146" s="402">
        <f t="array" ref="A4146">INDIRECT("Tableau!$A$177")</f>
        <v>530</v>
      </c>
      <c r="B4146" s="398" t="s">
        <v>479</v>
      </c>
      <c r="C4146" s="400" t="str">
        <f t="array" ref="C4146">INDIRECT("Tableau!$AU$177")</f>
        <v/>
      </c>
      <c r="D4146" s="400" t="str">
        <f t="shared" si="23"/>
        <v>OUT</v>
      </c>
      <c r="E4146" s="403" t="str">
        <f t="array" ref="E4146">INDIRECT("Tableau!$AV$177")</f>
        <v/>
      </c>
    </row>
    <row r="4147">
      <c r="A4147" s="397" t="str">
        <f t="array" ref="A4147">INDIRECT("Tableau!$A$178")</f>
        <v/>
      </c>
      <c r="B4147" s="398" t="s">
        <v>479</v>
      </c>
      <c r="C4147" s="400" t="str">
        <f t="array" ref="C4147">INDIRECT("Tableau!$AU$178")</f>
        <v/>
      </c>
      <c r="D4147" s="400" t="str">
        <f t="shared" si="23"/>
        <v>OUT</v>
      </c>
      <c r="E4147" s="403" t="str">
        <f t="array" ref="E4147">INDIRECT("Tableau!$AV$178")</f>
        <v/>
      </c>
    </row>
    <row r="4148">
      <c r="A4148" s="397" t="str">
        <f t="array" ref="A4148">INDIRECT("Tableau!$A$179")</f>
        <v/>
      </c>
      <c r="B4148" s="398" t="s">
        <v>479</v>
      </c>
      <c r="C4148" s="400" t="str">
        <f t="array" ref="C4148">INDIRECT("Tableau!$AU$179")</f>
        <v/>
      </c>
      <c r="D4148" s="400" t="str">
        <f t="shared" si="23"/>
        <v>OUT</v>
      </c>
      <c r="E4148" s="403" t="str">
        <f t="array" ref="E4148">INDIRECT("Tableau!$AV$179")</f>
        <v/>
      </c>
    </row>
    <row r="4149">
      <c r="A4149" s="397" t="str">
        <f t="array" ref="A4149">INDIRECT("Tableau!$A$180")</f>
        <v/>
      </c>
      <c r="B4149" s="398" t="s">
        <v>479</v>
      </c>
      <c r="C4149" s="400" t="str">
        <f t="array" ref="C4149">INDIRECT("Tableau!$AU$180")</f>
        <v/>
      </c>
      <c r="D4149" s="400" t="str">
        <f t="shared" si="23"/>
        <v>OUT</v>
      </c>
      <c r="E4149" s="403" t="str">
        <f t="array" ref="E4149">INDIRECT("Tableau!$AV$180")</f>
        <v/>
      </c>
    </row>
    <row r="4150">
      <c r="A4150" s="397" t="str">
        <f t="array" ref="A4150">INDIRECT("Tableau!$A$181")</f>
        <v/>
      </c>
      <c r="B4150" s="398" t="s">
        <v>479</v>
      </c>
      <c r="C4150" s="400" t="str">
        <f t="array" ref="C4150">INDIRECT("Tableau!$AU$181")</f>
        <v/>
      </c>
      <c r="D4150" s="400" t="str">
        <f t="shared" si="23"/>
        <v>OUT</v>
      </c>
      <c r="E4150" s="403" t="str">
        <f t="array" ref="E4150">INDIRECT("Tableau!$AV$181")</f>
        <v/>
      </c>
    </row>
    <row r="4151">
      <c r="A4151" s="397" t="str">
        <f t="array" ref="A4151">INDIRECT("Tableau!$A$182")</f>
        <v/>
      </c>
      <c r="B4151" s="398" t="s">
        <v>479</v>
      </c>
      <c r="C4151" s="400" t="str">
        <f t="array" ref="C4151">INDIRECT("Tableau!$AU$182")</f>
        <v/>
      </c>
      <c r="D4151" s="400" t="str">
        <f t="shared" si="23"/>
        <v>OUT</v>
      </c>
      <c r="E4151" s="403" t="str">
        <f t="array" ref="E4151">INDIRECT("Tableau!$AV$182")</f>
        <v/>
      </c>
    </row>
    <row r="4152">
      <c r="A4152" s="397" t="str">
        <f t="array" ref="A4152">INDIRECT("Tableau!$A$183")</f>
        <v/>
      </c>
      <c r="B4152" s="398" t="s">
        <v>479</v>
      </c>
      <c r="C4152" s="400" t="str">
        <f t="array" ref="C4152">INDIRECT("Tableau!$AU$183")</f>
        <v/>
      </c>
      <c r="D4152" s="400" t="str">
        <f t="shared" si="23"/>
        <v>OUT</v>
      </c>
      <c r="E4152" s="403" t="str">
        <f t="array" ref="E4152">INDIRECT("Tableau!$AV$183")</f>
        <v/>
      </c>
    </row>
    <row r="4153">
      <c r="A4153" s="397" t="str">
        <f t="array" ref="A4153">INDIRECT("Tableau!$A$184")</f>
        <v/>
      </c>
      <c r="B4153" s="398" t="s">
        <v>479</v>
      </c>
      <c r="C4153" s="400" t="str">
        <f t="array" ref="C4153">INDIRECT("Tableau!$AU$184")</f>
        <v/>
      </c>
      <c r="D4153" s="400" t="str">
        <f t="shared" si="23"/>
        <v>OUT</v>
      </c>
      <c r="E4153" s="403" t="str">
        <f t="array" ref="E4153">INDIRECT("Tableau!$AV$184")</f>
        <v/>
      </c>
    </row>
    <row r="4154">
      <c r="A4154" s="397" t="str">
        <f t="array" ref="A4154">INDIRECT("Tableau!$A$185")</f>
        <v/>
      </c>
      <c r="B4154" s="398" t="s">
        <v>479</v>
      </c>
      <c r="C4154" s="400" t="str">
        <f t="array" ref="C4154">INDIRECT("Tableau!$AU$185")</f>
        <v/>
      </c>
      <c r="D4154" s="400" t="str">
        <f t="shared" si="23"/>
        <v>OUT</v>
      </c>
      <c r="E4154" s="403" t="str">
        <f t="array" ref="E4154">INDIRECT("Tableau!$AV$185")</f>
        <v/>
      </c>
    </row>
    <row r="4155">
      <c r="A4155" s="397" t="str">
        <f t="array" ref="A4155">INDIRECT("Tableau!$A$186")</f>
        <v/>
      </c>
      <c r="B4155" s="398" t="s">
        <v>479</v>
      </c>
      <c r="C4155" s="400" t="str">
        <f t="array" ref="C4155">INDIRECT("Tableau!$AU$186")</f>
        <v/>
      </c>
      <c r="D4155" s="400" t="str">
        <f t="shared" si="23"/>
        <v>OUT</v>
      </c>
      <c r="E4155" s="403" t="str">
        <f t="array" ref="E4155">INDIRECT("Tableau!$AV$186")</f>
        <v/>
      </c>
    </row>
    <row r="4156">
      <c r="A4156" s="397" t="str">
        <f t="array" ref="A4156">INDIRECT("Tableau!$A$187")</f>
        <v/>
      </c>
      <c r="B4156" s="398" t="s">
        <v>479</v>
      </c>
      <c r="C4156" s="400" t="str">
        <f t="array" ref="C4156">INDIRECT("Tableau!$AU$187")</f>
        <v/>
      </c>
      <c r="D4156" s="400" t="str">
        <f t="shared" si="23"/>
        <v>OUT</v>
      </c>
      <c r="E4156" s="403" t="str">
        <f t="array" ref="E4156">INDIRECT("Tableau!$AV$187")</f>
        <v/>
      </c>
    </row>
    <row r="4157">
      <c r="A4157" s="397" t="str">
        <f t="array" ref="A4157">INDIRECT("Tableau!$A$188")</f>
        <v/>
      </c>
      <c r="B4157" s="398" t="s">
        <v>479</v>
      </c>
      <c r="C4157" s="400" t="str">
        <f t="array" ref="C4157">INDIRECT("Tableau!$AU$188")</f>
        <v/>
      </c>
      <c r="D4157" s="400" t="str">
        <f t="shared" si="23"/>
        <v>OUT</v>
      </c>
      <c r="E4157" s="403" t="str">
        <f t="array" ref="E4157">INDIRECT("Tableau!$AV$188")</f>
        <v/>
      </c>
    </row>
    <row r="4158">
      <c r="A4158" s="397" t="str">
        <f t="array" ref="A4158">INDIRECT("Tableau!$A$189")</f>
        <v/>
      </c>
      <c r="B4158" s="398" t="s">
        <v>479</v>
      </c>
      <c r="C4158" s="400" t="str">
        <f t="array" ref="C4158">INDIRECT("Tableau!$AU$189")</f>
        <v/>
      </c>
      <c r="D4158" s="400" t="str">
        <f t="shared" si="23"/>
        <v>OUT</v>
      </c>
      <c r="E4158" s="403" t="str">
        <f t="array" ref="E4158">INDIRECT("Tableau!$AV$189")</f>
        <v/>
      </c>
    </row>
    <row r="4159">
      <c r="A4159" s="397" t="str">
        <f t="array" ref="A4159">INDIRECT("Tableau!$A$190")</f>
        <v/>
      </c>
      <c r="B4159" s="398" t="s">
        <v>479</v>
      </c>
      <c r="C4159" s="400" t="str">
        <f t="array" ref="C4159">INDIRECT("Tableau!$AU$190")</f>
        <v/>
      </c>
      <c r="D4159" s="400" t="str">
        <f t="shared" si="23"/>
        <v>OUT</v>
      </c>
      <c r="E4159" s="403" t="str">
        <f t="array" ref="E4159">INDIRECT("Tableau!$AV$190")</f>
        <v/>
      </c>
    </row>
    <row r="4160">
      <c r="A4160" s="397" t="str">
        <f t="array" ref="A4160">INDIRECT("Tableau!$A$2")</f>
        <v/>
      </c>
      <c r="B4160" s="398" t="s">
        <v>480</v>
      </c>
      <c r="C4160" s="400" t="str">
        <f t="array" ref="C4160">INDIRECT("Tableau!$AW$2")</f>
        <v/>
      </c>
      <c r="D4160" s="400" t="str">
        <f t="shared" ref="D4160:D4348" si="24">INDIRECT("Tableau!$AX$1")</f>
        <v>IN</v>
      </c>
      <c r="E4160" s="403" t="str">
        <f t="array" ref="E4160">INDIRECT("Tableau!$AX$2")</f>
        <v/>
      </c>
    </row>
    <row r="4161">
      <c r="A4161" s="402">
        <f t="array" ref="A4161">INDIRECT("Tableau!$A$3")</f>
        <v>102</v>
      </c>
      <c r="B4161" s="398" t="s">
        <v>480</v>
      </c>
      <c r="C4161" s="400" t="str">
        <f t="array" ref="C4161">INDIRECT("Tableau!$AW$3")</f>
        <v>DEMA</v>
      </c>
      <c r="D4161" s="400" t="str">
        <f t="shared" si="24"/>
        <v>IN</v>
      </c>
      <c r="E4161" s="403" t="str">
        <f t="array" ref="E4161">INDIRECT("Tableau!$AX$3")</f>
        <v/>
      </c>
    </row>
    <row r="4162">
      <c r="A4162" s="397" t="str">
        <f t="array" ref="A4162">INDIRECT("Tableau!$A$4")</f>
        <v/>
      </c>
      <c r="B4162" s="398" t="s">
        <v>480</v>
      </c>
      <c r="C4162" s="400" t="str">
        <f t="array" ref="C4162">INDIRECT("Tableau!$AW$4")</f>
        <v/>
      </c>
      <c r="D4162" s="400" t="str">
        <f t="shared" si="24"/>
        <v>IN</v>
      </c>
      <c r="E4162" s="403" t="str">
        <f t="array" ref="E4162">INDIRECT("Tableau!$AX$4")</f>
        <v/>
      </c>
    </row>
    <row r="4163">
      <c r="A4163" s="402">
        <f t="array" ref="A4163">INDIRECT("Tableau!$A$5")</f>
        <v>104</v>
      </c>
      <c r="B4163" s="398" t="s">
        <v>480</v>
      </c>
      <c r="C4163" s="400" t="str">
        <f t="array" ref="C4163">INDIRECT("Tableau!$AW$5")</f>
        <v/>
      </c>
      <c r="D4163" s="400" t="str">
        <f t="shared" si="24"/>
        <v>IN</v>
      </c>
      <c r="E4163" s="403" t="str">
        <f t="array" ref="E4163">INDIRECT("Tableau!$AX$5")</f>
        <v/>
      </c>
    </row>
    <row r="4164">
      <c r="A4164" s="402">
        <f t="array" ref="A4164">INDIRECT("Tableau!$A$6")</f>
        <v>105</v>
      </c>
      <c r="B4164" s="398" t="s">
        <v>480</v>
      </c>
      <c r="C4164" s="400" t="str">
        <f t="array" ref="C4164">INDIRECT("Tableau!$AW$6")</f>
        <v>DEMA</v>
      </c>
      <c r="D4164" s="400" t="str">
        <f t="shared" si="24"/>
        <v>IN</v>
      </c>
      <c r="E4164" s="403" t="str">
        <f t="array" ref="E4164">INDIRECT("Tableau!$AX$6")</f>
        <v/>
      </c>
    </row>
    <row r="4165">
      <c r="A4165" s="402">
        <f t="array" ref="A4165">INDIRECT("Tableau!$A$7")</f>
        <v>106</v>
      </c>
      <c r="B4165" s="398" t="s">
        <v>480</v>
      </c>
      <c r="C4165" s="400" t="str">
        <f t="array" ref="C4165">INDIRECT("Tableau!$AW$7")</f>
        <v/>
      </c>
      <c r="D4165" s="400" t="str">
        <f t="shared" si="24"/>
        <v>IN</v>
      </c>
      <c r="E4165" s="403" t="str">
        <f t="array" ref="E4165">INDIRECT("Tableau!$AX$7")</f>
        <v/>
      </c>
    </row>
    <row r="4166">
      <c r="A4166" s="402">
        <f t="array" ref="A4166">INDIRECT("Tableau!$A$8")</f>
        <v>107</v>
      </c>
      <c r="B4166" s="398" t="s">
        <v>480</v>
      </c>
      <c r="C4166" s="400" t="str">
        <f t="array" ref="C4166">INDIRECT("Tableau!$AW$8")</f>
        <v/>
      </c>
      <c r="D4166" s="400" t="str">
        <f t="shared" si="24"/>
        <v>IN</v>
      </c>
      <c r="E4166" s="403" t="str">
        <f t="array" ref="E4166">INDIRECT("Tableau!$AX$8")</f>
        <v/>
      </c>
    </row>
    <row r="4167">
      <c r="A4167" s="397">
        <f t="array" ref="A4167">INDIRECT("Tableau!$A$9")</f>
        <v>108</v>
      </c>
      <c r="B4167" s="398" t="s">
        <v>480</v>
      </c>
      <c r="C4167" s="400" t="str">
        <f t="array" ref="C4167">INDIRECT("Tableau!$AW$9")</f>
        <v/>
      </c>
      <c r="D4167" s="400" t="str">
        <f t="shared" si="24"/>
        <v>IN</v>
      </c>
      <c r="E4167" s="403" t="str">
        <f t="array" ref="E4167">INDIRECT("Tableau!$AX$9")</f>
        <v/>
      </c>
    </row>
    <row r="4168">
      <c r="A4168" s="402">
        <f t="array" ref="A4168">INDIRECT("Tableau!$A$10")</f>
        <v>109</v>
      </c>
      <c r="B4168" s="398" t="s">
        <v>480</v>
      </c>
      <c r="C4168" s="400" t="str">
        <f t="array" ref="C4168">INDIRECT("Tableau!$AW$10")</f>
        <v/>
      </c>
      <c r="D4168" s="400" t="str">
        <f t="shared" si="24"/>
        <v>IN</v>
      </c>
      <c r="E4168" s="403" t="str">
        <f t="array" ref="E4168">INDIRECT("Tableau!$AX$10")</f>
        <v/>
      </c>
    </row>
    <row r="4169">
      <c r="A4169" s="402">
        <f t="array" ref="A4169">INDIRECT("Tableau!$A$11")</f>
        <v>110</v>
      </c>
      <c r="B4169" s="398" t="s">
        <v>480</v>
      </c>
      <c r="C4169" s="400" t="str">
        <f t="array" ref="C4169">INDIRECT("Tableau!$AW$11")</f>
        <v/>
      </c>
      <c r="D4169" s="400" t="str">
        <f t="shared" si="24"/>
        <v>IN</v>
      </c>
      <c r="E4169" s="403" t="str">
        <f t="array" ref="E4169">INDIRECT("Tableau!$AX$11")</f>
        <v/>
      </c>
    </row>
    <row r="4170">
      <c r="A4170" s="402">
        <f t="array" ref="A4170">INDIRECT("Tableau!$A$12")</f>
        <v>111</v>
      </c>
      <c r="B4170" s="398" t="s">
        <v>480</v>
      </c>
      <c r="C4170" s="400" t="str">
        <f t="array" ref="C4170">INDIRECT("Tableau!$AW$12")</f>
        <v/>
      </c>
      <c r="D4170" s="400" t="str">
        <f t="shared" si="24"/>
        <v>IN</v>
      </c>
      <c r="E4170" s="403" t="str">
        <f t="array" ref="E4170">INDIRECT("Tableau!$AX$12")</f>
        <v/>
      </c>
    </row>
    <row r="4171">
      <c r="A4171" s="402">
        <f t="array" ref="A4171">INDIRECT("Tableau!$A$13")</f>
        <v>112</v>
      </c>
      <c r="B4171" s="398" t="s">
        <v>480</v>
      </c>
      <c r="C4171" s="400" t="str">
        <f t="array" ref="C4171">INDIRECT("Tableau!$AW$13")</f>
        <v/>
      </c>
      <c r="D4171" s="400" t="str">
        <f t="shared" si="24"/>
        <v>IN</v>
      </c>
      <c r="E4171" s="403" t="str">
        <f t="array" ref="E4171">INDIRECT("Tableau!$AX$13")</f>
        <v/>
      </c>
    </row>
    <row r="4172">
      <c r="A4172" s="402">
        <f t="array" ref="A4172">INDIRECT("Tableau!$A$14")</f>
        <v>113</v>
      </c>
      <c r="B4172" s="398" t="s">
        <v>480</v>
      </c>
      <c r="C4172" s="400" t="str">
        <f t="array" ref="C4172">INDIRECT("Tableau!$AW$14")</f>
        <v/>
      </c>
      <c r="D4172" s="400" t="str">
        <f t="shared" si="24"/>
        <v>IN</v>
      </c>
      <c r="E4172" s="403" t="str">
        <f t="array" ref="E4172">INDIRECT("Tableau!$AX$14")</f>
        <v/>
      </c>
    </row>
    <row r="4173">
      <c r="A4173" s="397">
        <f t="array" ref="A4173">INDIRECT("Tableau!$A$15")</f>
        <v>114</v>
      </c>
      <c r="B4173" s="398" t="s">
        <v>480</v>
      </c>
      <c r="C4173" s="400" t="str">
        <f t="array" ref="C4173">INDIRECT("Tableau!$AW$15")</f>
        <v/>
      </c>
      <c r="D4173" s="400" t="str">
        <f t="shared" si="24"/>
        <v>IN</v>
      </c>
      <c r="E4173" s="403" t="str">
        <f t="array" ref="E4173">INDIRECT("Tableau!$AX$15")</f>
        <v/>
      </c>
    </row>
    <row r="4174">
      <c r="A4174" s="397" t="str">
        <f t="array" ref="A4174">INDIRECT("Tableau!$A$16")</f>
        <v/>
      </c>
      <c r="B4174" s="398" t="s">
        <v>480</v>
      </c>
      <c r="C4174" s="400" t="str">
        <f t="array" ref="C4174">INDIRECT("Tableau!$AW$16")</f>
        <v/>
      </c>
      <c r="D4174" s="400" t="str">
        <f t="shared" si="24"/>
        <v>IN</v>
      </c>
      <c r="E4174" s="403" t="str">
        <f t="array" ref="E4174">INDIRECT("Tableau!$AX$16")</f>
        <v/>
      </c>
    </row>
    <row r="4175">
      <c r="A4175" s="397" t="str">
        <f t="array" ref="A4175">INDIRECT("Tableau!$A$17")</f>
        <v/>
      </c>
      <c r="B4175" s="398" t="s">
        <v>480</v>
      </c>
      <c r="C4175" s="400" t="str">
        <f t="array" ref="C4175">INDIRECT("Tableau!$AW$17")</f>
        <v/>
      </c>
      <c r="D4175" s="400" t="str">
        <f t="shared" si="24"/>
        <v>IN</v>
      </c>
      <c r="E4175" s="403" t="str">
        <f t="array" ref="E4175">INDIRECT("Tableau!$AX$17")</f>
        <v/>
      </c>
    </row>
    <row r="4176">
      <c r="A4176" s="397" t="str">
        <f t="array" ref="A4176">INDIRECT("Tableau!$A$18")</f>
        <v/>
      </c>
      <c r="B4176" s="398" t="s">
        <v>480</v>
      </c>
      <c r="C4176" s="400" t="str">
        <f t="array" ref="C4176">INDIRECT("Tableau!$AW$18")</f>
        <v/>
      </c>
      <c r="D4176" s="400" t="str">
        <f t="shared" si="24"/>
        <v>IN</v>
      </c>
      <c r="E4176" s="403" t="str">
        <f t="array" ref="E4176">INDIRECT("Tableau!$AX$18")</f>
        <v/>
      </c>
    </row>
    <row r="4177">
      <c r="A4177" s="397" t="str">
        <f t="array" ref="A4177">INDIRECT("Tableau!$A$19")</f>
        <v/>
      </c>
      <c r="B4177" s="398" t="s">
        <v>480</v>
      </c>
      <c r="C4177" s="400" t="str">
        <f t="array" ref="C4177">INDIRECT("Tableau!$AW$19")</f>
        <v/>
      </c>
      <c r="D4177" s="400" t="str">
        <f t="shared" si="24"/>
        <v>IN</v>
      </c>
      <c r="E4177" s="403" t="str">
        <f t="array" ref="E4177">INDIRECT("Tableau!$AX$19")</f>
        <v/>
      </c>
    </row>
    <row r="4178">
      <c r="A4178" s="397" t="str">
        <f t="array" ref="A4178">INDIRECT("Tableau!$A$20")</f>
        <v/>
      </c>
      <c r="B4178" s="398" t="s">
        <v>480</v>
      </c>
      <c r="C4178" s="400" t="str">
        <f t="array" ref="C4178">INDIRECT("Tableau!$AW$20")</f>
        <v/>
      </c>
      <c r="D4178" s="400" t="str">
        <f t="shared" si="24"/>
        <v>IN</v>
      </c>
      <c r="E4178" s="403" t="str">
        <f t="array" ref="E4178">INDIRECT("Tableau!$AX$20")</f>
        <v/>
      </c>
    </row>
    <row r="4179">
      <c r="A4179" s="397" t="str">
        <f t="array" ref="A4179">INDIRECT("Tableau!$A$21")</f>
        <v/>
      </c>
      <c r="B4179" s="398" t="s">
        <v>480</v>
      </c>
      <c r="C4179" s="400" t="str">
        <f t="array" ref="C4179">INDIRECT("Tableau!$AW$21")</f>
        <v/>
      </c>
      <c r="D4179" s="400" t="str">
        <f t="shared" si="24"/>
        <v>IN</v>
      </c>
      <c r="E4179" s="403" t="str">
        <f t="array" ref="E4179">INDIRECT("Tableau!$AX$21")</f>
        <v/>
      </c>
    </row>
    <row r="4180">
      <c r="A4180" s="397" t="str">
        <f t="array" ref="A4180">INDIRECT("Tableau!$A$22")</f>
        <v/>
      </c>
      <c r="B4180" s="398" t="s">
        <v>480</v>
      </c>
      <c r="C4180" s="400" t="str">
        <f t="array" ref="C4180">INDIRECT("Tableau!$AW$22")</f>
        <v/>
      </c>
      <c r="D4180" s="400" t="str">
        <f t="shared" si="24"/>
        <v>IN</v>
      </c>
      <c r="E4180" s="403" t="str">
        <f t="array" ref="E4180">INDIRECT("Tableau!$AX$22")</f>
        <v/>
      </c>
    </row>
    <row r="4181">
      <c r="A4181" s="397" t="str">
        <f t="array" ref="A4181">INDIRECT("Tableau!$A$23")</f>
        <v/>
      </c>
      <c r="B4181" s="398" t="s">
        <v>480</v>
      </c>
      <c r="C4181" s="400" t="str">
        <f t="array" ref="C4181">INDIRECT("Tableau!$AW$23")</f>
        <v/>
      </c>
      <c r="D4181" s="400" t="str">
        <f t="shared" si="24"/>
        <v>IN</v>
      </c>
      <c r="E4181" s="403" t="str">
        <f t="array" ref="E4181">INDIRECT("Tableau!$AX$23")</f>
        <v/>
      </c>
    </row>
    <row r="4182">
      <c r="A4182" s="397" t="str">
        <f t="array" ref="A4182">INDIRECT("Tableau!$A$24")</f>
        <v/>
      </c>
      <c r="B4182" s="398" t="s">
        <v>480</v>
      </c>
      <c r="C4182" s="400" t="str">
        <f t="array" ref="C4182">INDIRECT("Tableau!$AW$24")</f>
        <v/>
      </c>
      <c r="D4182" s="400" t="str">
        <f t="shared" si="24"/>
        <v>IN</v>
      </c>
      <c r="E4182" s="403" t="str">
        <f t="array" ref="E4182">INDIRECT("Tableau!$AX$24")</f>
        <v/>
      </c>
    </row>
    <row r="4183">
      <c r="A4183" s="397" t="str">
        <f t="array" ref="A4183">INDIRECT("Tableau!$A$25")</f>
        <v/>
      </c>
      <c r="B4183" s="398" t="s">
        <v>480</v>
      </c>
      <c r="C4183" s="400" t="str">
        <f t="array" ref="C4183">INDIRECT("Tableau!$AW$25")</f>
        <v/>
      </c>
      <c r="D4183" s="400" t="str">
        <f t="shared" si="24"/>
        <v>IN</v>
      </c>
      <c r="E4183" s="403" t="str">
        <f t="array" ref="E4183">INDIRECT("Tableau!$AX$25")</f>
        <v/>
      </c>
    </row>
    <row r="4184">
      <c r="A4184" s="402">
        <f t="array" ref="A4184">INDIRECT("Tableau!$A$26")</f>
        <v>201</v>
      </c>
      <c r="B4184" s="398" t="s">
        <v>480</v>
      </c>
      <c r="C4184" s="400" t="str">
        <f t="array" ref="C4184">INDIRECT("Tableau!$AW$26")</f>
        <v/>
      </c>
      <c r="D4184" s="400" t="str">
        <f t="shared" si="24"/>
        <v>IN</v>
      </c>
      <c r="E4184" s="403" t="str">
        <f t="array" ref="E4184">INDIRECT("Tableau!$AX$26")</f>
        <v/>
      </c>
    </row>
    <row r="4185">
      <c r="A4185" s="402">
        <f t="array" ref="A4185">INDIRECT("Tableau!$A$27")</f>
        <v>202</v>
      </c>
      <c r="B4185" s="398" t="s">
        <v>480</v>
      </c>
      <c r="C4185" s="400" t="str">
        <f t="array" ref="C4185">INDIRECT("Tableau!$AW$27")</f>
        <v/>
      </c>
      <c r="D4185" s="400" t="str">
        <f t="shared" si="24"/>
        <v>IN</v>
      </c>
      <c r="E4185" s="403" t="str">
        <f t="array" ref="E4185">INDIRECT("Tableau!$AX$27")</f>
        <v/>
      </c>
    </row>
    <row r="4186">
      <c r="A4186" s="402">
        <f t="array" ref="A4186">INDIRECT("Tableau!$A$28")</f>
        <v>203</v>
      </c>
      <c r="B4186" s="398" t="s">
        <v>480</v>
      </c>
      <c r="C4186" s="400" t="str">
        <f t="array" ref="C4186">INDIRECT("Tableau!$AW$28")</f>
        <v/>
      </c>
      <c r="D4186" s="400" t="str">
        <f t="shared" si="24"/>
        <v>IN</v>
      </c>
      <c r="E4186" s="403" t="str">
        <f t="array" ref="E4186">INDIRECT("Tableau!$AX$28")</f>
        <v/>
      </c>
    </row>
    <row r="4187">
      <c r="A4187" s="402">
        <f t="array" ref="A4187">INDIRECT("Tableau!$A$29")</f>
        <v>204</v>
      </c>
      <c r="B4187" s="398" t="s">
        <v>480</v>
      </c>
      <c r="C4187" s="400" t="str">
        <f t="array" ref="C4187">INDIRECT("Tableau!$AW$29")</f>
        <v/>
      </c>
      <c r="D4187" s="400" t="str">
        <f t="shared" si="24"/>
        <v>IN</v>
      </c>
      <c r="E4187" s="403" t="str">
        <f t="array" ref="E4187">INDIRECT("Tableau!$AX$29")</f>
        <v/>
      </c>
    </row>
    <row r="4188">
      <c r="A4188" s="402">
        <f t="array" ref="A4188">INDIRECT("Tableau!$A$30")</f>
        <v>205</v>
      </c>
      <c r="B4188" s="398" t="s">
        <v>480</v>
      </c>
      <c r="C4188" s="400" t="str">
        <f t="array" ref="C4188">INDIRECT("Tableau!$AW$30")</f>
        <v/>
      </c>
      <c r="D4188" s="400" t="str">
        <f t="shared" si="24"/>
        <v>IN</v>
      </c>
      <c r="E4188" s="403" t="str">
        <f t="array" ref="E4188">INDIRECT("Tableau!$AX$30")</f>
        <v/>
      </c>
    </row>
    <row r="4189">
      <c r="A4189" s="402">
        <f t="array" ref="A4189">INDIRECT("Tableau!$A$31")</f>
        <v>206</v>
      </c>
      <c r="B4189" s="398" t="s">
        <v>480</v>
      </c>
      <c r="C4189" s="400" t="str">
        <f t="array" ref="C4189">INDIRECT("Tableau!$AW$31")</f>
        <v/>
      </c>
      <c r="D4189" s="400" t="str">
        <f t="shared" si="24"/>
        <v>IN</v>
      </c>
      <c r="E4189" s="403" t="str">
        <f t="array" ref="E4189">INDIRECT("Tableau!$AX$31")</f>
        <v/>
      </c>
    </row>
    <row r="4190">
      <c r="A4190" s="402">
        <f t="array" ref="A4190">INDIRECT("Tableau!$A$32")</f>
        <v>207</v>
      </c>
      <c r="B4190" s="398" t="s">
        <v>480</v>
      </c>
      <c r="C4190" s="400" t="str">
        <f t="array" ref="C4190">INDIRECT("Tableau!$AW$32")</f>
        <v/>
      </c>
      <c r="D4190" s="400" t="str">
        <f t="shared" si="24"/>
        <v>IN</v>
      </c>
      <c r="E4190" s="403" t="str">
        <f t="array" ref="E4190">INDIRECT("Tableau!$AX$32")</f>
        <v/>
      </c>
    </row>
    <row r="4191">
      <c r="A4191" s="402">
        <f t="array" ref="A4191">INDIRECT("Tableau!$A$33")</f>
        <v>208</v>
      </c>
      <c r="B4191" s="398" t="s">
        <v>480</v>
      </c>
      <c r="C4191" s="400" t="str">
        <f t="array" ref="C4191">INDIRECT("Tableau!$AW$33")</f>
        <v/>
      </c>
      <c r="D4191" s="400" t="str">
        <f t="shared" si="24"/>
        <v>IN</v>
      </c>
      <c r="E4191" s="403" t="str">
        <f t="array" ref="E4191">INDIRECT("Tableau!$AX$33")</f>
        <v/>
      </c>
    </row>
    <row r="4192">
      <c r="A4192" s="402">
        <f t="array" ref="A4192">INDIRECT("Tableau!$A$34")</f>
        <v>209</v>
      </c>
      <c r="B4192" s="398" t="s">
        <v>480</v>
      </c>
      <c r="C4192" s="400" t="str">
        <f t="array" ref="C4192">INDIRECT("Tableau!$AW$34")</f>
        <v/>
      </c>
      <c r="D4192" s="400" t="str">
        <f t="shared" si="24"/>
        <v>IN</v>
      </c>
      <c r="E4192" s="403" t="str">
        <f t="array" ref="E4192">INDIRECT("Tableau!$AX$34")</f>
        <v/>
      </c>
    </row>
    <row r="4193">
      <c r="A4193" s="402">
        <f t="array" ref="A4193">INDIRECT("Tableau!$A$35")</f>
        <v>210</v>
      </c>
      <c r="B4193" s="398" t="s">
        <v>480</v>
      </c>
      <c r="C4193" s="400" t="str">
        <f t="array" ref="C4193">INDIRECT("Tableau!$AW$35")</f>
        <v/>
      </c>
      <c r="D4193" s="400" t="str">
        <f t="shared" si="24"/>
        <v>IN</v>
      </c>
      <c r="E4193" s="403" t="str">
        <f t="array" ref="E4193">INDIRECT("Tableau!$AX$35")</f>
        <v/>
      </c>
    </row>
    <row r="4194">
      <c r="A4194" s="402">
        <f t="array" ref="A4194">INDIRECT("Tableau!$A$36")</f>
        <v>211</v>
      </c>
      <c r="B4194" s="398" t="s">
        <v>480</v>
      </c>
      <c r="C4194" s="400" t="str">
        <f t="array" ref="C4194">INDIRECT("Tableau!$AW$36")</f>
        <v/>
      </c>
      <c r="D4194" s="400" t="str">
        <f t="shared" si="24"/>
        <v>IN</v>
      </c>
      <c r="E4194" s="403" t="str">
        <f t="array" ref="E4194">INDIRECT("Tableau!$AX$36")</f>
        <v/>
      </c>
    </row>
    <row r="4195">
      <c r="A4195" s="402">
        <f t="array" ref="A4195">INDIRECT("Tableau!$A$37")</f>
        <v>212</v>
      </c>
      <c r="B4195" s="398" t="s">
        <v>480</v>
      </c>
      <c r="C4195" s="400" t="str">
        <f t="array" ref="C4195">INDIRECT("Tableau!$AW$37")</f>
        <v/>
      </c>
      <c r="D4195" s="400" t="str">
        <f t="shared" si="24"/>
        <v>IN</v>
      </c>
      <c r="E4195" s="403" t="str">
        <f t="array" ref="E4195">INDIRECT("Tableau!$AX$37")</f>
        <v/>
      </c>
    </row>
    <row r="4196">
      <c r="A4196" s="402">
        <f t="array" ref="A4196">INDIRECT("Tableau!$A$38")</f>
        <v>213</v>
      </c>
      <c r="B4196" s="398" t="s">
        <v>480</v>
      </c>
      <c r="C4196" s="400" t="str">
        <f t="array" ref="C4196">INDIRECT("Tableau!$AW$38")</f>
        <v/>
      </c>
      <c r="D4196" s="400" t="str">
        <f t="shared" si="24"/>
        <v>IN</v>
      </c>
      <c r="E4196" s="403" t="str">
        <f t="array" ref="E4196">INDIRECT("Tableau!$AX$38")</f>
        <v/>
      </c>
    </row>
    <row r="4197">
      <c r="A4197" s="402">
        <f t="array" ref="A4197">INDIRECT("Tableau!$A$39")</f>
        <v>214</v>
      </c>
      <c r="B4197" s="398" t="s">
        <v>480</v>
      </c>
      <c r="C4197" s="400" t="str">
        <f t="array" ref="C4197">INDIRECT("Tableau!$AW$39")</f>
        <v/>
      </c>
      <c r="D4197" s="400" t="str">
        <f t="shared" si="24"/>
        <v>IN</v>
      </c>
      <c r="E4197" s="403" t="str">
        <f t="array" ref="E4197">INDIRECT("Tableau!$AX$39")</f>
        <v/>
      </c>
    </row>
    <row r="4198">
      <c r="A4198" s="402">
        <f t="array" ref="A4198">INDIRECT("Tableau!$A$40")</f>
        <v>215</v>
      </c>
      <c r="B4198" s="398" t="s">
        <v>480</v>
      </c>
      <c r="C4198" s="400" t="str">
        <f t="array" ref="C4198">INDIRECT("Tableau!$AW$40")</f>
        <v/>
      </c>
      <c r="D4198" s="400" t="str">
        <f t="shared" si="24"/>
        <v>IN</v>
      </c>
      <c r="E4198" s="403" t="str">
        <f t="array" ref="E4198">INDIRECT("Tableau!$AX$40")</f>
        <v/>
      </c>
    </row>
    <row r="4199">
      <c r="A4199" s="402">
        <f t="array" ref="A4199">INDIRECT("Tableau!$A$41")</f>
        <v>216</v>
      </c>
      <c r="B4199" s="398" t="s">
        <v>480</v>
      </c>
      <c r="C4199" s="400" t="str">
        <f t="array" ref="C4199">INDIRECT("Tableau!$AW$41")</f>
        <v/>
      </c>
      <c r="D4199" s="400" t="str">
        <f t="shared" si="24"/>
        <v>IN</v>
      </c>
      <c r="E4199" s="403" t="str">
        <f t="array" ref="E4199">INDIRECT("Tableau!$AX$41")</f>
        <v/>
      </c>
    </row>
    <row r="4200">
      <c r="A4200" s="402">
        <f t="array" ref="A4200">INDIRECT("Tableau!$A$42")</f>
        <v>227</v>
      </c>
      <c r="B4200" s="398" t="s">
        <v>480</v>
      </c>
      <c r="C4200" s="400" t="str">
        <f t="array" ref="C4200">INDIRECT("Tableau!$AW$42")</f>
        <v/>
      </c>
      <c r="D4200" s="400" t="str">
        <f t="shared" si="24"/>
        <v>IN</v>
      </c>
      <c r="E4200" s="403" t="str">
        <f t="array" ref="E4200">INDIRECT("Tableau!$AX$42")</f>
        <v/>
      </c>
    </row>
    <row r="4201">
      <c r="A4201" s="402">
        <f t="array" ref="A4201">INDIRECT("Tableau!$A$43")</f>
        <v>217</v>
      </c>
      <c r="B4201" s="398" t="s">
        <v>480</v>
      </c>
      <c r="C4201" s="400" t="str">
        <f t="array" ref="C4201">INDIRECT("Tableau!$AW$43")</f>
        <v/>
      </c>
      <c r="D4201" s="400" t="str">
        <f t="shared" si="24"/>
        <v>IN</v>
      </c>
      <c r="E4201" s="403" t="str">
        <f t="array" ref="E4201">INDIRECT("Tableau!$AX$43")</f>
        <v/>
      </c>
    </row>
    <row r="4202">
      <c r="A4202" s="402">
        <f t="array" ref="A4202">INDIRECT("Tableau!$A$44")</f>
        <v>218</v>
      </c>
      <c r="B4202" s="398" t="s">
        <v>480</v>
      </c>
      <c r="C4202" s="400" t="str">
        <f t="array" ref="C4202">INDIRECT("Tableau!$AW$44")</f>
        <v/>
      </c>
      <c r="D4202" s="400" t="str">
        <f t="shared" si="24"/>
        <v>IN</v>
      </c>
      <c r="E4202" s="403" t="str">
        <f t="array" ref="E4202">INDIRECT("Tableau!$AX$44")</f>
        <v/>
      </c>
    </row>
    <row r="4203">
      <c r="A4203" s="397" t="str">
        <f t="array" ref="A4203">INDIRECT("Tableau!$A$45")</f>
        <v/>
      </c>
      <c r="B4203" s="398" t="s">
        <v>480</v>
      </c>
      <c r="C4203" s="400" t="str">
        <f t="array" ref="C4203">INDIRECT("Tableau!$AW$45")</f>
        <v/>
      </c>
      <c r="D4203" s="400" t="str">
        <f t="shared" si="24"/>
        <v>IN</v>
      </c>
      <c r="E4203" s="403" t="str">
        <f t="array" ref="E4203">INDIRECT("Tableau!$AX$45")</f>
        <v/>
      </c>
    </row>
    <row r="4204">
      <c r="A4204" s="402">
        <f t="array" ref="A4204">INDIRECT("Tableau!$A$46")</f>
        <v>220</v>
      </c>
      <c r="B4204" s="398" t="s">
        <v>480</v>
      </c>
      <c r="C4204" s="400" t="str">
        <f t="array" ref="C4204">INDIRECT("Tableau!$AW$46")</f>
        <v/>
      </c>
      <c r="D4204" s="400" t="str">
        <f t="shared" si="24"/>
        <v>IN</v>
      </c>
      <c r="E4204" s="403" t="str">
        <f t="array" ref="E4204">INDIRECT("Tableau!$AX$46")</f>
        <v/>
      </c>
    </row>
    <row r="4205">
      <c r="A4205" s="402">
        <f t="array" ref="A4205">INDIRECT("Tableau!$A$47")</f>
        <v>221</v>
      </c>
      <c r="B4205" s="398" t="s">
        <v>480</v>
      </c>
      <c r="C4205" s="400" t="str">
        <f t="array" ref="C4205">INDIRECT("Tableau!$AW$47")</f>
        <v/>
      </c>
      <c r="D4205" s="400" t="str">
        <f t="shared" si="24"/>
        <v>IN</v>
      </c>
      <c r="E4205" s="403" t="str">
        <f t="array" ref="E4205">INDIRECT("Tableau!$AX$47")</f>
        <v/>
      </c>
    </row>
    <row r="4206">
      <c r="A4206" s="402">
        <f t="array" ref="A4206">INDIRECT("Tableau!$A$48")</f>
        <v>226</v>
      </c>
      <c r="B4206" s="398" t="s">
        <v>480</v>
      </c>
      <c r="C4206" s="400" t="str">
        <f t="array" ref="C4206">INDIRECT("Tableau!$AW$48")</f>
        <v/>
      </c>
      <c r="D4206" s="400" t="str">
        <f t="shared" si="24"/>
        <v>IN</v>
      </c>
      <c r="E4206" s="403" t="str">
        <f t="array" ref="E4206">INDIRECT("Tableau!$AX$48")</f>
        <v/>
      </c>
    </row>
    <row r="4207">
      <c r="A4207" s="402">
        <f t="array" ref="A4207">INDIRECT("Tableau!$A$49")</f>
        <v>222</v>
      </c>
      <c r="B4207" s="398" t="s">
        <v>480</v>
      </c>
      <c r="C4207" s="400" t="str">
        <f t="array" ref="C4207">INDIRECT("Tableau!$AW$49")</f>
        <v/>
      </c>
      <c r="D4207" s="400" t="str">
        <f t="shared" si="24"/>
        <v>IN</v>
      </c>
      <c r="E4207" s="403" t="str">
        <f t="array" ref="E4207">INDIRECT("Tableau!$AX$49")</f>
        <v/>
      </c>
    </row>
    <row r="4208">
      <c r="A4208" s="402">
        <f t="array" ref="A4208">INDIRECT("Tableau!$A$50")</f>
        <v>224</v>
      </c>
      <c r="B4208" s="398" t="s">
        <v>480</v>
      </c>
      <c r="C4208" s="400" t="str">
        <f t="array" ref="C4208">INDIRECT("Tableau!$AW$50")</f>
        <v/>
      </c>
      <c r="D4208" s="400" t="str">
        <f t="shared" si="24"/>
        <v>IN</v>
      </c>
      <c r="E4208" s="403" t="str">
        <f t="array" ref="E4208">INDIRECT("Tableau!$AX$50")</f>
        <v/>
      </c>
    </row>
    <row r="4209">
      <c r="A4209" s="397">
        <f t="array" ref="A4209">INDIRECT("Tableau!$A$51")</f>
        <v>223</v>
      </c>
      <c r="B4209" s="398" t="s">
        <v>480</v>
      </c>
      <c r="C4209" s="400" t="str">
        <f t="array" ref="C4209">INDIRECT("Tableau!$AW$51")</f>
        <v/>
      </c>
      <c r="D4209" s="400" t="str">
        <f t="shared" si="24"/>
        <v>IN</v>
      </c>
      <c r="E4209" s="403" t="str">
        <f t="array" ref="E4209">INDIRECT("Tableau!$AX$51")</f>
        <v/>
      </c>
    </row>
    <row r="4210">
      <c r="A4210" s="402">
        <f t="array" ref="A4210">INDIRECT("Tableau!$A$52")</f>
        <v>225</v>
      </c>
      <c r="B4210" s="398" t="s">
        <v>480</v>
      </c>
      <c r="C4210" s="400" t="str">
        <f t="array" ref="C4210">INDIRECT("Tableau!$AW$52")</f>
        <v>DEMA</v>
      </c>
      <c r="D4210" s="400" t="str">
        <f t="shared" si="24"/>
        <v>IN</v>
      </c>
      <c r="E4210" s="403" t="str">
        <f t="array" ref="E4210">INDIRECT("Tableau!$AX$52")</f>
        <v/>
      </c>
    </row>
    <row r="4211">
      <c r="A4211" s="402">
        <f t="array" ref="A4211">INDIRECT("Tableau!$A$53")</f>
        <v>230</v>
      </c>
      <c r="B4211" s="398" t="s">
        <v>480</v>
      </c>
      <c r="C4211" s="400" t="str">
        <f t="array" ref="C4211">INDIRECT("Tableau!$AW$53")</f>
        <v>DEMA</v>
      </c>
      <c r="D4211" s="400" t="str">
        <f t="shared" si="24"/>
        <v>IN</v>
      </c>
      <c r="E4211" s="403" t="str">
        <f t="array" ref="E4211">INDIRECT("Tableau!$AX$53")</f>
        <v/>
      </c>
    </row>
    <row r="4212">
      <c r="A4212" s="397">
        <f t="array" ref="A4212">INDIRECT("Tableau!$A$54")</f>
        <v>231</v>
      </c>
      <c r="B4212" s="398" t="s">
        <v>480</v>
      </c>
      <c r="C4212" s="400" t="str">
        <f t="array" ref="C4212">INDIRECT("Tableau!$AW$54")</f>
        <v/>
      </c>
      <c r="D4212" s="400" t="str">
        <f t="shared" si="24"/>
        <v>IN</v>
      </c>
      <c r="E4212" s="403" t="str">
        <f t="array" ref="E4212">INDIRECT("Tableau!$AX$54")</f>
        <v/>
      </c>
    </row>
    <row r="4213">
      <c r="A4213" s="397" t="str">
        <f t="array" ref="A4213">INDIRECT("Tableau!$A$55")</f>
        <v/>
      </c>
      <c r="B4213" s="398" t="s">
        <v>480</v>
      </c>
      <c r="C4213" s="400" t="str">
        <f t="array" ref="C4213">INDIRECT("Tableau!$AW$55")</f>
        <v/>
      </c>
      <c r="D4213" s="400" t="str">
        <f t="shared" si="24"/>
        <v>IN</v>
      </c>
      <c r="E4213" s="403" t="str">
        <f t="array" ref="E4213">INDIRECT("Tableau!$AX$55")</f>
        <v/>
      </c>
    </row>
    <row r="4214">
      <c r="A4214" s="397" t="str">
        <f t="array" ref="A4214">INDIRECT("Tableau!$A$56")</f>
        <v/>
      </c>
      <c r="B4214" s="398" t="s">
        <v>480</v>
      </c>
      <c r="C4214" s="400" t="str">
        <f t="array" ref="C4214">INDIRECT("Tableau!$AW$56")</f>
        <v/>
      </c>
      <c r="D4214" s="400" t="str">
        <f t="shared" si="24"/>
        <v>IN</v>
      </c>
      <c r="E4214" s="403" t="str">
        <f t="array" ref="E4214">INDIRECT("Tableau!$AX$56")</f>
        <v/>
      </c>
    </row>
    <row r="4215">
      <c r="A4215" s="397" t="str">
        <f t="array" ref="A4215">INDIRECT("Tableau!$A$57")</f>
        <v/>
      </c>
      <c r="B4215" s="398" t="s">
        <v>480</v>
      </c>
      <c r="C4215" s="400" t="str">
        <f t="array" ref="C4215">INDIRECT("Tableau!$AW$57")</f>
        <v/>
      </c>
      <c r="D4215" s="400" t="str">
        <f t="shared" si="24"/>
        <v>IN</v>
      </c>
      <c r="E4215" s="403" t="str">
        <f t="array" ref="E4215">INDIRECT("Tableau!$AX$57")</f>
        <v/>
      </c>
    </row>
    <row r="4216">
      <c r="A4216" s="397" t="str">
        <f t="array" ref="A4216">INDIRECT("Tableau!$A$58")</f>
        <v/>
      </c>
      <c r="B4216" s="398" t="s">
        <v>480</v>
      </c>
      <c r="C4216" s="400" t="str">
        <f t="array" ref="C4216">INDIRECT("Tableau!$AW$58")</f>
        <v/>
      </c>
      <c r="D4216" s="400" t="str">
        <f t="shared" si="24"/>
        <v>IN</v>
      </c>
      <c r="E4216" s="403" t="str">
        <f t="array" ref="E4216">INDIRECT("Tableau!$AX$58")</f>
        <v/>
      </c>
    </row>
    <row r="4217">
      <c r="A4217" s="397" t="str">
        <f t="array" ref="A4217">INDIRECT("Tableau!$A$59")</f>
        <v/>
      </c>
      <c r="B4217" s="398" t="s">
        <v>480</v>
      </c>
      <c r="C4217" s="400" t="str">
        <f t="array" ref="C4217">INDIRECT("Tableau!$AW$59")</f>
        <v/>
      </c>
      <c r="D4217" s="400" t="str">
        <f t="shared" si="24"/>
        <v>IN</v>
      </c>
      <c r="E4217" s="403" t="str">
        <f t="array" ref="E4217">INDIRECT("Tableau!$AX$59")</f>
        <v/>
      </c>
    </row>
    <row r="4218">
      <c r="A4218" s="397" t="str">
        <f t="array" ref="A4218">INDIRECT("Tableau!$A$60")</f>
        <v/>
      </c>
      <c r="B4218" s="398" t="s">
        <v>480</v>
      </c>
      <c r="C4218" s="400" t="str">
        <f t="array" ref="C4218">INDIRECT("Tableau!$AW$60")</f>
        <v/>
      </c>
      <c r="D4218" s="400" t="str">
        <f t="shared" si="24"/>
        <v>IN</v>
      </c>
      <c r="E4218" s="403" t="str">
        <f t="array" ref="E4218">INDIRECT("Tableau!$AX$60")</f>
        <v/>
      </c>
    </row>
    <row r="4219">
      <c r="A4219" s="397" t="str">
        <f t="array" ref="A4219">INDIRECT("Tableau!$A$61")</f>
        <v/>
      </c>
      <c r="B4219" s="398" t="s">
        <v>480</v>
      </c>
      <c r="C4219" s="400" t="str">
        <f t="array" ref="C4219">INDIRECT("Tableau!$AW$61")</f>
        <v/>
      </c>
      <c r="D4219" s="400" t="str">
        <f t="shared" si="24"/>
        <v>IN</v>
      </c>
      <c r="E4219" s="403" t="str">
        <f t="array" ref="E4219">INDIRECT("Tableau!$AX$61")</f>
        <v/>
      </c>
    </row>
    <row r="4220">
      <c r="A4220" s="397" t="str">
        <f t="array" ref="A4220">INDIRECT("Tableau!$A$62")</f>
        <v/>
      </c>
      <c r="B4220" s="398" t="s">
        <v>480</v>
      </c>
      <c r="C4220" s="400" t="str">
        <f t="array" ref="C4220">INDIRECT("Tableau!$AW$62")</f>
        <v/>
      </c>
      <c r="D4220" s="400" t="str">
        <f t="shared" si="24"/>
        <v>IN</v>
      </c>
      <c r="E4220" s="403" t="str">
        <f t="array" ref="E4220">INDIRECT("Tableau!$AX$62")</f>
        <v/>
      </c>
    </row>
    <row r="4221">
      <c r="A4221" s="397" t="str">
        <f t="array" ref="A4221">INDIRECT("Tableau!$A$63")</f>
        <v/>
      </c>
      <c r="B4221" s="398" t="s">
        <v>480</v>
      </c>
      <c r="C4221" s="400" t="str">
        <f t="array" ref="C4221">INDIRECT("Tableau!$AW$63")</f>
        <v/>
      </c>
      <c r="D4221" s="400" t="str">
        <f t="shared" si="24"/>
        <v>IN</v>
      </c>
      <c r="E4221" s="403" t="str">
        <f t="array" ref="E4221">INDIRECT("Tableau!$AX$63")</f>
        <v/>
      </c>
    </row>
    <row r="4222">
      <c r="A4222" s="397" t="str">
        <f t="array" ref="A4222">INDIRECT("Tableau!$A$64")</f>
        <v/>
      </c>
      <c r="B4222" s="398" t="s">
        <v>480</v>
      </c>
      <c r="C4222" s="400" t="str">
        <f t="array" ref="C4222">INDIRECT("Tableau!$AW$64")</f>
        <v/>
      </c>
      <c r="D4222" s="400" t="str">
        <f t="shared" si="24"/>
        <v>IN</v>
      </c>
      <c r="E4222" s="403" t="str">
        <f t="array" ref="E4222">INDIRECT("Tableau!$AX$64")</f>
        <v/>
      </c>
    </row>
    <row r="4223">
      <c r="A4223" s="402">
        <f t="array" ref="A4223">INDIRECT("Tableau!$A$65")</f>
        <v>301</v>
      </c>
      <c r="B4223" s="398" t="s">
        <v>480</v>
      </c>
      <c r="C4223" s="400" t="str">
        <f t="array" ref="C4223">INDIRECT("Tableau!$AW$65")</f>
        <v/>
      </c>
      <c r="D4223" s="400" t="str">
        <f t="shared" si="24"/>
        <v>IN</v>
      </c>
      <c r="E4223" s="403" t="str">
        <f t="array" ref="E4223">INDIRECT("Tableau!$AX$65")</f>
        <v/>
      </c>
    </row>
    <row r="4224">
      <c r="A4224" s="397" t="str">
        <f t="array" ref="A4224">INDIRECT("Tableau!$A$66")</f>
        <v/>
      </c>
      <c r="B4224" s="398" t="s">
        <v>480</v>
      </c>
      <c r="C4224" s="400" t="str">
        <f t="array" ref="C4224">INDIRECT("Tableau!$AW$66")</f>
        <v/>
      </c>
      <c r="D4224" s="400" t="str">
        <f t="shared" si="24"/>
        <v>IN</v>
      </c>
      <c r="E4224" s="403" t="str">
        <f t="array" ref="E4224">INDIRECT("Tableau!$AX$66")</f>
        <v/>
      </c>
    </row>
    <row r="4225">
      <c r="A4225" s="402">
        <f t="array" ref="A4225">INDIRECT("Tableau!$A$67")</f>
        <v>303</v>
      </c>
      <c r="B4225" s="398" t="s">
        <v>480</v>
      </c>
      <c r="C4225" s="400" t="str">
        <f t="array" ref="C4225">INDIRECT("Tableau!$AW$67")</f>
        <v/>
      </c>
      <c r="D4225" s="400" t="str">
        <f t="shared" si="24"/>
        <v>IN</v>
      </c>
      <c r="E4225" s="403" t="str">
        <f t="array" ref="E4225">INDIRECT("Tableau!$AX$67")</f>
        <v/>
      </c>
    </row>
    <row r="4226">
      <c r="A4226" s="402">
        <f t="array" ref="A4226">INDIRECT("Tableau!$A$68")</f>
        <v>304</v>
      </c>
      <c r="B4226" s="398" t="s">
        <v>480</v>
      </c>
      <c r="C4226" s="400" t="str">
        <f t="array" ref="C4226">INDIRECT("Tableau!$AW$68")</f>
        <v/>
      </c>
      <c r="D4226" s="400" t="str">
        <f t="shared" si="24"/>
        <v>IN</v>
      </c>
      <c r="E4226" s="403" t="str">
        <f t="array" ref="E4226">INDIRECT("Tableau!$AX$68")</f>
        <v/>
      </c>
    </row>
    <row r="4227">
      <c r="A4227" s="402">
        <f t="array" ref="A4227">INDIRECT("Tableau!$A$69")</f>
        <v>305</v>
      </c>
      <c r="B4227" s="398" t="s">
        <v>480</v>
      </c>
      <c r="C4227" s="400" t="str">
        <f t="array" ref="C4227">INDIRECT("Tableau!$AW$69")</f>
        <v/>
      </c>
      <c r="D4227" s="400" t="str">
        <f t="shared" si="24"/>
        <v>IN</v>
      </c>
      <c r="E4227" s="403" t="str">
        <f t="array" ref="E4227">INDIRECT("Tableau!$AX$69")</f>
        <v/>
      </c>
    </row>
    <row r="4228">
      <c r="A4228" s="402">
        <f t="array" ref="A4228">INDIRECT("Tableau!$A$70")</f>
        <v>306</v>
      </c>
      <c r="B4228" s="398" t="s">
        <v>480</v>
      </c>
      <c r="C4228" s="400" t="str">
        <f t="array" ref="C4228">INDIRECT("Tableau!$AW$70")</f>
        <v/>
      </c>
      <c r="D4228" s="400" t="str">
        <f t="shared" si="24"/>
        <v>IN</v>
      </c>
      <c r="E4228" s="403" t="str">
        <f t="array" ref="E4228">INDIRECT("Tableau!$AX$70")</f>
        <v/>
      </c>
    </row>
    <row r="4229">
      <c r="A4229" s="402">
        <f t="array" ref="A4229">INDIRECT("Tableau!$A$71")</f>
        <v>307</v>
      </c>
      <c r="B4229" s="398" t="s">
        <v>480</v>
      </c>
      <c r="C4229" s="400" t="str">
        <f t="array" ref="C4229">INDIRECT("Tableau!$AW$71")</f>
        <v/>
      </c>
      <c r="D4229" s="400" t="str">
        <f t="shared" si="24"/>
        <v>IN</v>
      </c>
      <c r="E4229" s="403" t="str">
        <f t="array" ref="E4229">INDIRECT("Tableau!$AX$71")</f>
        <v/>
      </c>
    </row>
    <row r="4230">
      <c r="A4230" s="397">
        <f t="array" ref="A4230">INDIRECT("Tableau!$A$72")</f>
        <v>367</v>
      </c>
      <c r="B4230" s="398" t="s">
        <v>480</v>
      </c>
      <c r="C4230" s="400" t="str">
        <f t="array" ref="C4230">INDIRECT("Tableau!$AW$72")</f>
        <v>DPS</v>
      </c>
      <c r="D4230" s="400" t="str">
        <f t="shared" si="24"/>
        <v>IN</v>
      </c>
      <c r="E4230" s="403" t="str">
        <f t="array" ref="E4230">INDIRECT("Tableau!$AX$72")</f>
        <v/>
      </c>
    </row>
    <row r="4231">
      <c r="A4231" s="402">
        <f t="array" ref="A4231">INDIRECT("Tableau!$A$73")</f>
        <v>308</v>
      </c>
      <c r="B4231" s="398" t="s">
        <v>480</v>
      </c>
      <c r="C4231" s="400" t="str">
        <f t="array" ref="C4231">INDIRECT("Tableau!$AW$73")</f>
        <v/>
      </c>
      <c r="D4231" s="400" t="str">
        <f t="shared" si="24"/>
        <v>IN</v>
      </c>
      <c r="E4231" s="403" t="str">
        <f t="array" ref="E4231">INDIRECT("Tableau!$AX$73")</f>
        <v/>
      </c>
    </row>
    <row r="4232">
      <c r="A4232" s="397">
        <f t="array" ref="A4232">INDIRECT("Tableau!$A$74")</f>
        <v>319</v>
      </c>
      <c r="B4232" s="398" t="s">
        <v>480</v>
      </c>
      <c r="C4232" s="400" t="str">
        <f t="array" ref="C4232">INDIRECT("Tableau!$AW$74")</f>
        <v/>
      </c>
      <c r="D4232" s="400" t="str">
        <f t="shared" si="24"/>
        <v>IN</v>
      </c>
      <c r="E4232" s="403" t="str">
        <f t="array" ref="E4232">INDIRECT("Tableau!$AX$74")</f>
        <v/>
      </c>
    </row>
    <row r="4233">
      <c r="A4233" s="402">
        <f t="array" ref="A4233">INDIRECT("Tableau!$A$75")</f>
        <v>309</v>
      </c>
      <c r="B4233" s="398" t="s">
        <v>480</v>
      </c>
      <c r="C4233" s="400" t="str">
        <f t="array" ref="C4233">INDIRECT("Tableau!$AW$75")</f>
        <v/>
      </c>
      <c r="D4233" s="400" t="str">
        <f t="shared" si="24"/>
        <v>IN</v>
      </c>
      <c r="E4233" s="403" t="str">
        <f t="array" ref="E4233">INDIRECT("Tableau!$AX$75")</f>
        <v/>
      </c>
    </row>
    <row r="4234">
      <c r="A4234" s="402">
        <f t="array" ref="A4234">INDIRECT("Tableau!$A$76")</f>
        <v>310</v>
      </c>
      <c r="B4234" s="398" t="s">
        <v>480</v>
      </c>
      <c r="C4234" s="400" t="str">
        <f t="array" ref="C4234">INDIRECT("Tableau!$AW$76")</f>
        <v/>
      </c>
      <c r="D4234" s="400" t="str">
        <f t="shared" si="24"/>
        <v>IN</v>
      </c>
      <c r="E4234" s="403" t="str">
        <f t="array" ref="E4234">INDIRECT("Tableau!$AX$76")</f>
        <v/>
      </c>
    </row>
    <row r="4235">
      <c r="A4235" s="402">
        <f t="array" ref="A4235">INDIRECT("Tableau!$A$77")</f>
        <v>311</v>
      </c>
      <c r="B4235" s="398" t="s">
        <v>480</v>
      </c>
      <c r="C4235" s="400" t="str">
        <f t="array" ref="C4235">INDIRECT("Tableau!$AW$77")</f>
        <v/>
      </c>
      <c r="D4235" s="400" t="str">
        <f t="shared" si="24"/>
        <v>IN</v>
      </c>
      <c r="E4235" s="403" t="str">
        <f t="array" ref="E4235">INDIRECT("Tableau!$AX$77")</f>
        <v/>
      </c>
    </row>
    <row r="4236">
      <c r="A4236" s="402">
        <f t="array" ref="A4236">INDIRECT("Tableau!$A$78")</f>
        <v>312</v>
      </c>
      <c r="B4236" s="398" t="s">
        <v>480</v>
      </c>
      <c r="C4236" s="400" t="str">
        <f t="array" ref="C4236">INDIRECT("Tableau!$AW$78")</f>
        <v/>
      </c>
      <c r="D4236" s="400" t="str">
        <f t="shared" si="24"/>
        <v>IN</v>
      </c>
      <c r="E4236" s="403" t="str">
        <f t="array" ref="E4236">INDIRECT("Tableau!$AX$78")</f>
        <v/>
      </c>
    </row>
    <row r="4237">
      <c r="A4237" s="402">
        <f t="array" ref="A4237">INDIRECT("Tableau!$A$79")</f>
        <v>313</v>
      </c>
      <c r="B4237" s="398" t="s">
        <v>480</v>
      </c>
      <c r="C4237" s="400" t="str">
        <f t="array" ref="C4237">INDIRECT("Tableau!$AW$79")</f>
        <v/>
      </c>
      <c r="D4237" s="400" t="str">
        <f t="shared" si="24"/>
        <v>IN</v>
      </c>
      <c r="E4237" s="403" t="str">
        <f t="array" ref="E4237">INDIRECT("Tableau!$AX$79")</f>
        <v/>
      </c>
    </row>
    <row r="4238">
      <c r="A4238" s="402">
        <f t="array" ref="A4238">INDIRECT("Tableau!$A$80")</f>
        <v>314</v>
      </c>
      <c r="B4238" s="398" t="s">
        <v>480</v>
      </c>
      <c r="C4238" s="400" t="str">
        <f t="array" ref="C4238">INDIRECT("Tableau!$AW$80")</f>
        <v/>
      </c>
      <c r="D4238" s="400" t="str">
        <f t="shared" si="24"/>
        <v>IN</v>
      </c>
      <c r="E4238" s="403" t="str">
        <f t="array" ref="E4238">INDIRECT("Tableau!$AX$80")</f>
        <v/>
      </c>
    </row>
    <row r="4239">
      <c r="A4239" s="402">
        <f t="array" ref="A4239">INDIRECT("Tableau!$A$81")</f>
        <v>315</v>
      </c>
      <c r="B4239" s="398" t="s">
        <v>480</v>
      </c>
      <c r="C4239" s="400" t="str">
        <f t="array" ref="C4239">INDIRECT("Tableau!$AW$81")</f>
        <v/>
      </c>
      <c r="D4239" s="400" t="str">
        <f t="shared" si="24"/>
        <v>IN</v>
      </c>
      <c r="E4239" s="403" t="str">
        <f t="array" ref="E4239">INDIRECT("Tableau!$AX$81")</f>
        <v/>
      </c>
    </row>
    <row r="4240">
      <c r="A4240" s="402">
        <f t="array" ref="A4240">INDIRECT("Tableau!$A$82")</f>
        <v>316</v>
      </c>
      <c r="B4240" s="398" t="s">
        <v>480</v>
      </c>
      <c r="C4240" s="400" t="str">
        <f t="array" ref="C4240">INDIRECT("Tableau!$AW$82")</f>
        <v/>
      </c>
      <c r="D4240" s="400" t="str">
        <f t="shared" si="24"/>
        <v>IN</v>
      </c>
      <c r="E4240" s="403" t="str">
        <f t="array" ref="E4240">INDIRECT("Tableau!$AX$82")</f>
        <v/>
      </c>
    </row>
    <row r="4241">
      <c r="A4241" s="402">
        <f t="array" ref="A4241">INDIRECT("Tableau!$A$83")</f>
        <v>317</v>
      </c>
      <c r="B4241" s="398" t="s">
        <v>480</v>
      </c>
      <c r="C4241" s="400" t="str">
        <f t="array" ref="C4241">INDIRECT("Tableau!$AW$83")</f>
        <v/>
      </c>
      <c r="D4241" s="400" t="str">
        <f t="shared" si="24"/>
        <v>IN</v>
      </c>
      <c r="E4241" s="403" t="str">
        <f t="array" ref="E4241">INDIRECT("Tableau!$AX$83")</f>
        <v/>
      </c>
    </row>
    <row r="4242">
      <c r="A4242" s="402">
        <f t="array" ref="A4242">INDIRECT("Tableau!$A$84")</f>
        <v>318</v>
      </c>
      <c r="B4242" s="398" t="s">
        <v>480</v>
      </c>
      <c r="C4242" s="400" t="str">
        <f t="array" ref="C4242">INDIRECT("Tableau!$AW$84")</f>
        <v/>
      </c>
      <c r="D4242" s="400" t="str">
        <f t="shared" si="24"/>
        <v>IN</v>
      </c>
      <c r="E4242" s="403" t="str">
        <f t="array" ref="E4242">INDIRECT("Tableau!$AX$84")</f>
        <v/>
      </c>
    </row>
    <row r="4243">
      <c r="A4243" s="402">
        <f t="array" ref="A4243">INDIRECT("Tableau!$A$85")</f>
        <v>320</v>
      </c>
      <c r="B4243" s="398" t="s">
        <v>480</v>
      </c>
      <c r="C4243" s="400" t="str">
        <f t="array" ref="C4243">INDIRECT("Tableau!$AW$85")</f>
        <v/>
      </c>
      <c r="D4243" s="400" t="str">
        <f t="shared" si="24"/>
        <v>IN</v>
      </c>
      <c r="E4243" s="403" t="str">
        <f t="array" ref="E4243">INDIRECT("Tableau!$AX$85")</f>
        <v/>
      </c>
    </row>
    <row r="4244">
      <c r="A4244" s="402">
        <f t="array" ref="A4244">INDIRECT("Tableau!$A$86")</f>
        <v>321</v>
      </c>
      <c r="B4244" s="398" t="s">
        <v>480</v>
      </c>
      <c r="C4244" s="400" t="str">
        <f t="array" ref="C4244">INDIRECT("Tableau!$AW$86")</f>
        <v/>
      </c>
      <c r="D4244" s="400" t="str">
        <f t="shared" si="24"/>
        <v>IN</v>
      </c>
      <c r="E4244" s="403" t="str">
        <f t="array" ref="E4244">INDIRECT("Tableau!$AX$86")</f>
        <v/>
      </c>
    </row>
    <row r="4245">
      <c r="A4245" s="397" t="str">
        <f t="array" ref="A4245">INDIRECT("Tableau!$A$87")</f>
        <v/>
      </c>
      <c r="B4245" s="398" t="s">
        <v>480</v>
      </c>
      <c r="C4245" s="400" t="str">
        <f t="array" ref="C4245">INDIRECT("Tableau!$AW$87")</f>
        <v/>
      </c>
      <c r="D4245" s="400" t="str">
        <f t="shared" si="24"/>
        <v>IN</v>
      </c>
      <c r="E4245" s="403" t="str">
        <f t="array" ref="E4245">INDIRECT("Tableau!$AX$87")</f>
        <v/>
      </c>
    </row>
    <row r="4246">
      <c r="A4246" s="402">
        <f t="array" ref="A4246">INDIRECT("Tableau!$A$88")</f>
        <v>323</v>
      </c>
      <c r="B4246" s="398" t="s">
        <v>480</v>
      </c>
      <c r="C4246" s="400" t="str">
        <f t="array" ref="C4246">INDIRECT("Tableau!$AW$88")</f>
        <v/>
      </c>
      <c r="D4246" s="400" t="str">
        <f t="shared" si="24"/>
        <v>IN</v>
      </c>
      <c r="E4246" s="403" t="str">
        <f t="array" ref="E4246">INDIRECT("Tableau!$AX$88")</f>
        <v/>
      </c>
    </row>
    <row r="4247">
      <c r="A4247" s="402">
        <f t="array" ref="A4247">INDIRECT("Tableau!$A$89")</f>
        <v>324</v>
      </c>
      <c r="B4247" s="398" t="s">
        <v>480</v>
      </c>
      <c r="C4247" s="400" t="str">
        <f t="array" ref="C4247">INDIRECT("Tableau!$AW$89")</f>
        <v/>
      </c>
      <c r="D4247" s="400" t="str">
        <f t="shared" si="24"/>
        <v>IN</v>
      </c>
      <c r="E4247" s="403" t="str">
        <f t="array" ref="E4247">INDIRECT("Tableau!$AX$89")</f>
        <v/>
      </c>
    </row>
    <row r="4248">
      <c r="A4248" s="402">
        <f t="array" ref="A4248">INDIRECT("Tableau!$A$90")</f>
        <v>325</v>
      </c>
      <c r="B4248" s="398" t="s">
        <v>480</v>
      </c>
      <c r="C4248" s="400" t="str">
        <f t="array" ref="C4248">INDIRECT("Tableau!$AW$90")</f>
        <v/>
      </c>
      <c r="D4248" s="400" t="str">
        <f t="shared" si="24"/>
        <v>IN</v>
      </c>
      <c r="E4248" s="403" t="str">
        <f t="array" ref="E4248">INDIRECT("Tableau!$AX$90")</f>
        <v/>
      </c>
    </row>
    <row r="4249">
      <c r="A4249" s="402">
        <f t="array" ref="A4249">INDIRECT("Tableau!$A$91")</f>
        <v>326</v>
      </c>
      <c r="B4249" s="398" t="s">
        <v>480</v>
      </c>
      <c r="C4249" s="400" t="str">
        <f t="array" ref="C4249">INDIRECT("Tableau!$AW$91")</f>
        <v/>
      </c>
      <c r="D4249" s="400" t="str">
        <f t="shared" si="24"/>
        <v>IN</v>
      </c>
      <c r="E4249" s="403" t="str">
        <f t="array" ref="E4249">INDIRECT("Tableau!$AX$91")</f>
        <v/>
      </c>
    </row>
    <row r="4250">
      <c r="A4250" s="402">
        <f t="array" ref="A4250">INDIRECT("Tableau!$A$92")</f>
        <v>327</v>
      </c>
      <c r="B4250" s="398" t="s">
        <v>480</v>
      </c>
      <c r="C4250" s="400" t="str">
        <f t="array" ref="C4250">INDIRECT("Tableau!$AW$92")</f>
        <v/>
      </c>
      <c r="D4250" s="400" t="str">
        <f t="shared" si="24"/>
        <v>IN</v>
      </c>
      <c r="E4250" s="403" t="str">
        <f t="array" ref="E4250">INDIRECT("Tableau!$AX$92")</f>
        <v/>
      </c>
    </row>
    <row r="4251">
      <c r="A4251" s="402">
        <f t="array" ref="A4251">INDIRECT("Tableau!$A$93")</f>
        <v>328</v>
      </c>
      <c r="B4251" s="398" t="s">
        <v>480</v>
      </c>
      <c r="C4251" s="400" t="str">
        <f t="array" ref="C4251">INDIRECT("Tableau!$AW$93")</f>
        <v/>
      </c>
      <c r="D4251" s="400" t="str">
        <f t="shared" si="24"/>
        <v>IN</v>
      </c>
      <c r="E4251" s="403" t="str">
        <f t="array" ref="E4251">INDIRECT("Tableau!$AX$93")</f>
        <v/>
      </c>
    </row>
    <row r="4252">
      <c r="A4252" s="402">
        <f t="array" ref="A4252">INDIRECT("Tableau!$A$94")</f>
        <v>329</v>
      </c>
      <c r="B4252" s="398" t="s">
        <v>480</v>
      </c>
      <c r="C4252" s="400" t="str">
        <f t="array" ref="C4252">INDIRECT("Tableau!$AW$94")</f>
        <v>DEMA</v>
      </c>
      <c r="D4252" s="400" t="str">
        <f t="shared" si="24"/>
        <v>IN</v>
      </c>
      <c r="E4252" s="403" t="str">
        <f t="array" ref="E4252">INDIRECT("Tableau!$AX$94")</f>
        <v/>
      </c>
    </row>
    <row r="4253">
      <c r="A4253" s="402">
        <f t="array" ref="A4253">INDIRECT("Tableau!$A$95")</f>
        <v>330</v>
      </c>
      <c r="B4253" s="398" t="s">
        <v>480</v>
      </c>
      <c r="C4253" s="400" t="str">
        <f t="array" ref="C4253">INDIRECT("Tableau!$AW$95")</f>
        <v/>
      </c>
      <c r="D4253" s="400" t="str">
        <f t="shared" si="24"/>
        <v>IN</v>
      </c>
      <c r="E4253" s="403" t="str">
        <f t="array" ref="E4253">INDIRECT("Tableau!$AX$95")</f>
        <v/>
      </c>
    </row>
    <row r="4254">
      <c r="A4254" s="402">
        <f t="array" ref="A4254">INDIRECT("Tableau!$A$96")</f>
        <v>331</v>
      </c>
      <c r="B4254" s="398" t="s">
        <v>480</v>
      </c>
      <c r="C4254" s="400" t="str">
        <f t="array" ref="C4254">INDIRECT("Tableau!$AW$96")</f>
        <v/>
      </c>
      <c r="D4254" s="400" t="str">
        <f t="shared" si="24"/>
        <v>IN</v>
      </c>
      <c r="E4254" s="403" t="str">
        <f t="array" ref="E4254">INDIRECT("Tableau!$AX$96")</f>
        <v/>
      </c>
    </row>
    <row r="4255">
      <c r="A4255" s="402">
        <f t="array" ref="A4255">INDIRECT("Tableau!$A$97")</f>
        <v>332</v>
      </c>
      <c r="B4255" s="398" t="s">
        <v>480</v>
      </c>
      <c r="C4255" s="400" t="str">
        <f t="array" ref="C4255">INDIRECT("Tableau!$AW$97")</f>
        <v/>
      </c>
      <c r="D4255" s="400" t="str">
        <f t="shared" si="24"/>
        <v>IN</v>
      </c>
      <c r="E4255" s="403" t="str">
        <f t="array" ref="E4255">INDIRECT("Tableau!$AX$97")</f>
        <v/>
      </c>
    </row>
    <row r="4256">
      <c r="A4256" s="402">
        <f t="array" ref="A4256">INDIRECT("Tableau!$A$98")</f>
        <v>333</v>
      </c>
      <c r="B4256" s="398" t="s">
        <v>480</v>
      </c>
      <c r="C4256" s="400" t="str">
        <f t="array" ref="C4256">INDIRECT("Tableau!$AW$98")</f>
        <v/>
      </c>
      <c r="D4256" s="400" t="str">
        <f t="shared" si="24"/>
        <v>IN</v>
      </c>
      <c r="E4256" s="403" t="str">
        <f t="array" ref="E4256">INDIRECT("Tableau!$AX$98")</f>
        <v/>
      </c>
    </row>
    <row r="4257">
      <c r="A4257" s="402">
        <f t="array" ref="A4257">INDIRECT("Tableau!$A$99")</f>
        <v>334</v>
      </c>
      <c r="B4257" s="398" t="s">
        <v>480</v>
      </c>
      <c r="C4257" s="400" t="str">
        <f t="array" ref="C4257">INDIRECT("Tableau!$AW$99")</f>
        <v/>
      </c>
      <c r="D4257" s="400" t="str">
        <f t="shared" si="24"/>
        <v>IN</v>
      </c>
      <c r="E4257" s="403" t="str">
        <f t="array" ref="E4257">INDIRECT("Tableau!$AX$99")</f>
        <v/>
      </c>
    </row>
    <row r="4258">
      <c r="A4258" s="402">
        <f t="array" ref="A4258">INDIRECT("Tableau!$A$100")</f>
        <v>335</v>
      </c>
      <c r="B4258" s="398" t="s">
        <v>480</v>
      </c>
      <c r="C4258" s="400" t="str">
        <f t="array" ref="C4258">INDIRECT("Tableau!$AW$100")</f>
        <v/>
      </c>
      <c r="D4258" s="400" t="str">
        <f t="shared" si="24"/>
        <v>IN</v>
      </c>
      <c r="E4258" s="403" t="str">
        <f t="array" ref="E4258">INDIRECT("Tableau!$AX$100")</f>
        <v/>
      </c>
    </row>
    <row r="4259">
      <c r="A4259" s="402">
        <f t="array" ref="A4259">INDIRECT("Tableau!$A$101")</f>
        <v>336</v>
      </c>
      <c r="B4259" s="398" t="s">
        <v>480</v>
      </c>
      <c r="C4259" s="400" t="str">
        <f t="array" ref="C4259">INDIRECT("Tableau!$AW$101")</f>
        <v/>
      </c>
      <c r="D4259" s="400" t="str">
        <f t="shared" si="24"/>
        <v>IN</v>
      </c>
      <c r="E4259" s="403" t="str">
        <f t="array" ref="E4259">INDIRECT("Tableau!$AX$101")</f>
        <v/>
      </c>
    </row>
    <row r="4260">
      <c r="A4260" s="402">
        <f t="array" ref="A4260">INDIRECT("Tableau!$A$102")</f>
        <v>337</v>
      </c>
      <c r="B4260" s="398" t="s">
        <v>480</v>
      </c>
      <c r="C4260" s="400" t="str">
        <f t="array" ref="C4260">INDIRECT("Tableau!$AW$102")</f>
        <v/>
      </c>
      <c r="D4260" s="400" t="str">
        <f t="shared" si="24"/>
        <v>IN</v>
      </c>
      <c r="E4260" s="403" t="str">
        <f t="array" ref="E4260">INDIRECT("Tableau!$AX$102")</f>
        <v/>
      </c>
    </row>
    <row r="4261">
      <c r="A4261" s="402">
        <f t="array" ref="A4261">INDIRECT("Tableau!$A$103")</f>
        <v>338</v>
      </c>
      <c r="B4261" s="398" t="s">
        <v>480</v>
      </c>
      <c r="C4261" s="400" t="str">
        <f t="array" ref="C4261">INDIRECT("Tableau!$AW$103")</f>
        <v/>
      </c>
      <c r="D4261" s="400" t="str">
        <f t="shared" si="24"/>
        <v>IN</v>
      </c>
      <c r="E4261" s="403" t="str">
        <f t="array" ref="E4261">INDIRECT("Tableau!$AX$103")</f>
        <v/>
      </c>
    </row>
    <row r="4262">
      <c r="A4262" s="402">
        <f t="array" ref="A4262">INDIRECT("Tableau!$A$104")</f>
        <v>339</v>
      </c>
      <c r="B4262" s="398" t="s">
        <v>480</v>
      </c>
      <c r="C4262" s="400" t="str">
        <f t="array" ref="C4262">INDIRECT("Tableau!$AW$104")</f>
        <v/>
      </c>
      <c r="D4262" s="400" t="str">
        <f t="shared" si="24"/>
        <v>IN</v>
      </c>
      <c r="E4262" s="403" t="str">
        <f t="array" ref="E4262">INDIRECT("Tableau!$AX$104")</f>
        <v/>
      </c>
    </row>
    <row r="4263">
      <c r="A4263" s="402">
        <f t="array" ref="A4263">INDIRECT("Tableau!$A$105")</f>
        <v>340</v>
      </c>
      <c r="B4263" s="398" t="s">
        <v>480</v>
      </c>
      <c r="C4263" s="400" t="str">
        <f t="array" ref="C4263">INDIRECT("Tableau!$AW$105")</f>
        <v/>
      </c>
      <c r="D4263" s="400" t="str">
        <f t="shared" si="24"/>
        <v>IN</v>
      </c>
      <c r="E4263" s="403" t="str">
        <f t="array" ref="E4263">INDIRECT("Tableau!$AX$105")</f>
        <v/>
      </c>
    </row>
    <row r="4264">
      <c r="A4264" s="402">
        <f t="array" ref="A4264">INDIRECT("Tableau!$A$106")</f>
        <v>341</v>
      </c>
      <c r="B4264" s="398" t="s">
        <v>480</v>
      </c>
      <c r="C4264" s="400" t="str">
        <f t="array" ref="C4264">INDIRECT("Tableau!$AW$106")</f>
        <v>DPS</v>
      </c>
      <c r="D4264" s="400" t="str">
        <f t="shared" si="24"/>
        <v>IN</v>
      </c>
      <c r="E4264" s="403" t="str">
        <f t="array" ref="E4264">INDIRECT("Tableau!$AX$106")</f>
        <v/>
      </c>
    </row>
    <row r="4265">
      <c r="A4265" s="402">
        <f t="array" ref="A4265">INDIRECT("Tableau!$A$107")</f>
        <v>365</v>
      </c>
      <c r="B4265" s="398" t="s">
        <v>480</v>
      </c>
      <c r="C4265" s="400" t="str">
        <f t="array" ref="C4265">INDIRECT("Tableau!$AW$107")</f>
        <v/>
      </c>
      <c r="D4265" s="400" t="str">
        <f t="shared" si="24"/>
        <v>IN</v>
      </c>
      <c r="E4265" s="403" t="str">
        <f t="array" ref="E4265">INDIRECT("Tableau!$AX$107")</f>
        <v/>
      </c>
    </row>
    <row r="4266">
      <c r="A4266" s="402">
        <f t="array" ref="A4266">INDIRECT("Tableau!$A$108")</f>
        <v>342</v>
      </c>
      <c r="B4266" s="398" t="s">
        <v>480</v>
      </c>
      <c r="C4266" s="400" t="str">
        <f t="array" ref="C4266">INDIRECT("Tableau!$AW$108")</f>
        <v/>
      </c>
      <c r="D4266" s="400" t="str">
        <f t="shared" si="24"/>
        <v>IN</v>
      </c>
      <c r="E4266" s="403" t="str">
        <f t="array" ref="E4266">INDIRECT("Tableau!$AX$108")</f>
        <v/>
      </c>
    </row>
    <row r="4267">
      <c r="A4267" s="402">
        <f t="array" ref="A4267">INDIRECT("Tableau!$A$109")</f>
        <v>343</v>
      </c>
      <c r="B4267" s="398" t="s">
        <v>480</v>
      </c>
      <c r="C4267" s="400" t="str">
        <f t="array" ref="C4267">INDIRECT("Tableau!$AW$109")</f>
        <v/>
      </c>
      <c r="D4267" s="400" t="str">
        <f t="shared" si="24"/>
        <v>IN</v>
      </c>
      <c r="E4267" s="403" t="str">
        <f t="array" ref="E4267">INDIRECT("Tableau!$AX$109")</f>
        <v/>
      </c>
    </row>
    <row r="4268">
      <c r="A4268" s="402">
        <f t="array" ref="A4268">INDIRECT("Tableau!$A$110")</f>
        <v>344</v>
      </c>
      <c r="B4268" s="398" t="s">
        <v>480</v>
      </c>
      <c r="C4268" s="400" t="str">
        <f t="array" ref="C4268">INDIRECT("Tableau!$AW$110")</f>
        <v/>
      </c>
      <c r="D4268" s="400" t="str">
        <f t="shared" si="24"/>
        <v>IN</v>
      </c>
      <c r="E4268" s="403" t="str">
        <f t="array" ref="E4268">INDIRECT("Tableau!$AX$110")</f>
        <v/>
      </c>
    </row>
    <row r="4269">
      <c r="A4269" s="402">
        <f t="array" ref="A4269">INDIRECT("Tableau!$A$111")</f>
        <v>363</v>
      </c>
      <c r="B4269" s="398" t="s">
        <v>480</v>
      </c>
      <c r="C4269" s="400" t="str">
        <f t="array" ref="C4269">INDIRECT("Tableau!$AW$111")</f>
        <v>DEMA</v>
      </c>
      <c r="D4269" s="400" t="str">
        <f t="shared" si="24"/>
        <v>IN</v>
      </c>
      <c r="E4269" s="403" t="str">
        <f t="array" ref="E4269">INDIRECT("Tableau!$AX$111")</f>
        <v/>
      </c>
    </row>
    <row r="4270">
      <c r="A4270" s="402">
        <f t="array" ref="A4270">INDIRECT("Tableau!$A$112")</f>
        <v>345</v>
      </c>
      <c r="B4270" s="398" t="s">
        <v>480</v>
      </c>
      <c r="C4270" s="400" t="str">
        <f t="array" ref="C4270">INDIRECT("Tableau!$AW$112")</f>
        <v/>
      </c>
      <c r="D4270" s="400" t="str">
        <f t="shared" si="24"/>
        <v>IN</v>
      </c>
      <c r="E4270" s="403" t="str">
        <f t="array" ref="E4270">INDIRECT("Tableau!$AX$112")</f>
        <v/>
      </c>
    </row>
    <row r="4271">
      <c r="A4271" s="402">
        <f t="array" ref="A4271">INDIRECT("Tableau!$A$113")</f>
        <v>346</v>
      </c>
      <c r="B4271" s="398" t="s">
        <v>480</v>
      </c>
      <c r="C4271" s="400" t="str">
        <f t="array" ref="C4271">INDIRECT("Tableau!$AW$113")</f>
        <v/>
      </c>
      <c r="D4271" s="400" t="str">
        <f t="shared" si="24"/>
        <v>IN</v>
      </c>
      <c r="E4271" s="403" t="str">
        <f t="array" ref="E4271">INDIRECT("Tableau!$AX$113")</f>
        <v/>
      </c>
    </row>
    <row r="4272">
      <c r="A4272" s="402">
        <f t="array" ref="A4272">INDIRECT("Tableau!$A$114")</f>
        <v>359</v>
      </c>
      <c r="B4272" s="398" t="s">
        <v>480</v>
      </c>
      <c r="C4272" s="400" t="str">
        <f t="array" ref="C4272">INDIRECT("Tableau!$AW$114")</f>
        <v/>
      </c>
      <c r="D4272" s="400" t="str">
        <f t="shared" si="24"/>
        <v>IN</v>
      </c>
      <c r="E4272" s="403" t="str">
        <f t="array" ref="E4272">INDIRECT("Tableau!$AX$114")</f>
        <v/>
      </c>
    </row>
    <row r="4273">
      <c r="A4273" s="402">
        <f t="array" ref="A4273">INDIRECT("Tableau!$A$115")</f>
        <v>360</v>
      </c>
      <c r="B4273" s="398" t="s">
        <v>480</v>
      </c>
      <c r="C4273" s="400" t="str">
        <f t="array" ref="C4273">INDIRECT("Tableau!$AW$115")</f>
        <v/>
      </c>
      <c r="D4273" s="400" t="str">
        <f t="shared" si="24"/>
        <v>IN</v>
      </c>
      <c r="E4273" s="403" t="str">
        <f t="array" ref="E4273">INDIRECT("Tableau!$AX$115")</f>
        <v/>
      </c>
    </row>
    <row r="4274">
      <c r="A4274" s="402">
        <f t="array" ref="A4274">INDIRECT("Tableau!$A$116")</f>
        <v>361</v>
      </c>
      <c r="B4274" s="398" t="s">
        <v>480</v>
      </c>
      <c r="C4274" s="400" t="str">
        <f t="array" ref="C4274">INDIRECT("Tableau!$AW$116")</f>
        <v/>
      </c>
      <c r="D4274" s="400" t="str">
        <f t="shared" si="24"/>
        <v>IN</v>
      </c>
      <c r="E4274" s="403" t="str">
        <f t="array" ref="E4274">INDIRECT("Tableau!$AX$116")</f>
        <v/>
      </c>
    </row>
    <row r="4275">
      <c r="A4275" s="397" t="str">
        <f t="array" ref="A4275">INDIRECT("Tableau!$A$117")</f>
        <v/>
      </c>
      <c r="B4275" s="398" t="s">
        <v>480</v>
      </c>
      <c r="C4275" s="400" t="str">
        <f t="array" ref="C4275">INDIRECT("Tableau!$AW$117")</f>
        <v/>
      </c>
      <c r="D4275" s="400" t="str">
        <f t="shared" si="24"/>
        <v>IN</v>
      </c>
      <c r="E4275" s="403" t="str">
        <f t="array" ref="E4275">INDIRECT("Tableau!$AX$117")</f>
        <v/>
      </c>
    </row>
    <row r="4276">
      <c r="A4276" s="402">
        <f t="array" ref="A4276">INDIRECT("Tableau!$A$118")</f>
        <v>347</v>
      </c>
      <c r="B4276" s="398" t="s">
        <v>480</v>
      </c>
      <c r="C4276" s="400" t="str">
        <f t="array" ref="C4276">INDIRECT("Tableau!$AW$118")</f>
        <v>BP Martelange</v>
      </c>
      <c r="D4276" s="400" t="str">
        <f t="shared" si="24"/>
        <v>IN</v>
      </c>
      <c r="E4276" s="403" t="str">
        <f t="array" ref="E4276">INDIRECT("Tableau!$AX$118")</f>
        <v/>
      </c>
    </row>
    <row r="4277">
      <c r="A4277" s="402">
        <f t="array" ref="A4277">INDIRECT("Tableau!$A$119")</f>
        <v>348</v>
      </c>
      <c r="B4277" s="398" t="s">
        <v>480</v>
      </c>
      <c r="C4277" s="400" t="str">
        <f t="array" ref="C4277">INDIRECT("Tableau!$AW$119")</f>
        <v/>
      </c>
      <c r="D4277" s="400" t="str">
        <f t="shared" si="24"/>
        <v>IN</v>
      </c>
      <c r="E4277" s="403" t="str">
        <f t="array" ref="E4277">INDIRECT("Tableau!$AX$119")</f>
        <v/>
      </c>
    </row>
    <row r="4278">
      <c r="A4278" s="402">
        <f t="array" ref="A4278">INDIRECT("Tableau!$A$120")</f>
        <v>349</v>
      </c>
      <c r="B4278" s="398" t="s">
        <v>480</v>
      </c>
      <c r="C4278" s="400" t="str">
        <f t="array" ref="C4278">INDIRECT("Tableau!$AW$120")</f>
        <v>DEMA</v>
      </c>
      <c r="D4278" s="400" t="str">
        <f t="shared" si="24"/>
        <v>IN</v>
      </c>
      <c r="E4278" s="403" t="str">
        <f t="array" ref="E4278">INDIRECT("Tableau!$AX$120")</f>
        <v/>
      </c>
    </row>
    <row r="4279">
      <c r="A4279" s="402">
        <f t="array" ref="A4279">INDIRECT("Tableau!$A$121")</f>
        <v>350</v>
      </c>
      <c r="B4279" s="398" t="s">
        <v>480</v>
      </c>
      <c r="C4279" s="400" t="str">
        <f t="array" ref="C4279">INDIRECT("Tableau!$AW$121")</f>
        <v/>
      </c>
      <c r="D4279" s="400" t="str">
        <f t="shared" si="24"/>
        <v>IN</v>
      </c>
      <c r="E4279" s="403" t="str">
        <f t="array" ref="E4279">INDIRECT("Tableau!$AX$121")</f>
        <v/>
      </c>
    </row>
    <row r="4280">
      <c r="A4280" s="402">
        <f t="array" ref="A4280">INDIRECT("Tableau!$A$122")</f>
        <v>351</v>
      </c>
      <c r="B4280" s="398" t="s">
        <v>480</v>
      </c>
      <c r="C4280" s="400" t="str">
        <f t="array" ref="C4280">INDIRECT("Tableau!$AW$122")</f>
        <v>DEMA</v>
      </c>
      <c r="D4280" s="400" t="str">
        <f t="shared" si="24"/>
        <v>IN</v>
      </c>
      <c r="E4280" s="403" t="str">
        <f t="array" ref="E4280">INDIRECT("Tableau!$AX$122")</f>
        <v/>
      </c>
    </row>
    <row r="4281">
      <c r="A4281" s="402">
        <f t="array" ref="A4281">INDIRECT("Tableau!$A$123")</f>
        <v>352</v>
      </c>
      <c r="B4281" s="398" t="s">
        <v>480</v>
      </c>
      <c r="C4281" s="400" t="str">
        <f t="array" ref="C4281">INDIRECT("Tableau!$AW$123")</f>
        <v/>
      </c>
      <c r="D4281" s="400" t="str">
        <f t="shared" si="24"/>
        <v>IN</v>
      </c>
      <c r="E4281" s="403" t="str">
        <f t="array" ref="E4281">INDIRECT("Tableau!$AX$123")</f>
        <v/>
      </c>
    </row>
    <row r="4282">
      <c r="A4282" s="402">
        <f t="array" ref="A4282">INDIRECT("Tableau!$A$124")</f>
        <v>353</v>
      </c>
      <c r="B4282" s="398" t="s">
        <v>480</v>
      </c>
      <c r="C4282" s="400" t="str">
        <f t="array" ref="C4282">INDIRECT("Tableau!$AW$124")</f>
        <v/>
      </c>
      <c r="D4282" s="400" t="str">
        <f t="shared" si="24"/>
        <v>IN</v>
      </c>
      <c r="E4282" s="403" t="str">
        <f t="array" ref="E4282">INDIRECT("Tableau!$AX$124")</f>
        <v/>
      </c>
    </row>
    <row r="4283">
      <c r="A4283" s="397" t="str">
        <f t="array" ref="A4283">INDIRECT("Tableau!$A$125")</f>
        <v/>
      </c>
      <c r="B4283" s="398" t="s">
        <v>480</v>
      </c>
      <c r="C4283" s="400" t="str">
        <f t="array" ref="C4283">INDIRECT("Tableau!$AW$125")</f>
        <v/>
      </c>
      <c r="D4283" s="400" t="str">
        <f t="shared" si="24"/>
        <v>IN</v>
      </c>
      <c r="E4283" s="403" t="str">
        <f t="array" ref="E4283">INDIRECT("Tableau!$AX$125")</f>
        <v/>
      </c>
    </row>
    <row r="4284">
      <c r="A4284" s="402">
        <f t="array" ref="A4284">INDIRECT("Tableau!$A$126")</f>
        <v>354</v>
      </c>
      <c r="B4284" s="398" t="s">
        <v>480</v>
      </c>
      <c r="C4284" s="400" t="str">
        <f t="array" ref="C4284">INDIRECT("Tableau!$AW$126")</f>
        <v/>
      </c>
      <c r="D4284" s="400" t="str">
        <f t="shared" si="24"/>
        <v>IN</v>
      </c>
      <c r="E4284" s="403" t="str">
        <f t="array" ref="E4284">INDIRECT("Tableau!$AX$126")</f>
        <v/>
      </c>
    </row>
    <row r="4285">
      <c r="A4285" s="402">
        <f t="array" ref="A4285">INDIRECT("Tableau!$A$127")</f>
        <v>355</v>
      </c>
      <c r="B4285" s="398" t="s">
        <v>480</v>
      </c>
      <c r="C4285" s="400" t="str">
        <f t="array" ref="C4285">INDIRECT("Tableau!$AW$127")</f>
        <v/>
      </c>
      <c r="D4285" s="400" t="str">
        <f t="shared" si="24"/>
        <v>IN</v>
      </c>
      <c r="E4285" s="403" t="str">
        <f t="array" ref="E4285">INDIRECT("Tableau!$AX$127")</f>
        <v/>
      </c>
    </row>
    <row r="4286">
      <c r="A4286" s="402">
        <f t="array" ref="A4286">INDIRECT("Tableau!$A$128")</f>
        <v>356</v>
      </c>
      <c r="B4286" s="398" t="s">
        <v>480</v>
      </c>
      <c r="C4286" s="400" t="str">
        <f t="array" ref="C4286">INDIRECT("Tableau!$AW$128")</f>
        <v/>
      </c>
      <c r="D4286" s="400" t="str">
        <f t="shared" si="24"/>
        <v>IN</v>
      </c>
      <c r="E4286" s="403" t="str">
        <f t="array" ref="E4286">INDIRECT("Tableau!$AX$128")</f>
        <v/>
      </c>
    </row>
    <row r="4287">
      <c r="A4287" s="402">
        <f t="array" ref="A4287">INDIRECT("Tableau!$A$129")</f>
        <v>357</v>
      </c>
      <c r="B4287" s="398" t="s">
        <v>480</v>
      </c>
      <c r="C4287" s="400" t="str">
        <f t="array" ref="C4287">INDIRECT("Tableau!$AW$129")</f>
        <v/>
      </c>
      <c r="D4287" s="400" t="str">
        <f t="shared" si="24"/>
        <v>IN</v>
      </c>
      <c r="E4287" s="403" t="str">
        <f t="array" ref="E4287">INDIRECT("Tableau!$AX$129")</f>
        <v/>
      </c>
    </row>
    <row r="4288">
      <c r="A4288" s="397" t="str">
        <f t="array" ref="A4288">INDIRECT("Tableau!$A$130")</f>
        <v/>
      </c>
      <c r="B4288" s="398" t="s">
        <v>480</v>
      </c>
      <c r="C4288" s="400" t="str">
        <f t="array" ref="C4288">INDIRECT("Tableau!$AW$130")</f>
        <v/>
      </c>
      <c r="D4288" s="400" t="str">
        <f t="shared" si="24"/>
        <v>IN</v>
      </c>
      <c r="E4288" s="403" t="str">
        <f t="array" ref="E4288">INDIRECT("Tableau!$AX$130")</f>
        <v/>
      </c>
    </row>
    <row r="4289">
      <c r="A4289" s="397" t="str">
        <f t="array" ref="A4289">INDIRECT("Tableau!$A$131")</f>
        <v/>
      </c>
      <c r="B4289" s="398" t="s">
        <v>480</v>
      </c>
      <c r="C4289" s="400" t="str">
        <f t="array" ref="C4289">INDIRECT("Tableau!$AW$131")</f>
        <v/>
      </c>
      <c r="D4289" s="400" t="str">
        <f t="shared" si="24"/>
        <v>IN</v>
      </c>
      <c r="E4289" s="403" t="str">
        <f t="array" ref="E4289">INDIRECT("Tableau!$AX$131")</f>
        <v/>
      </c>
    </row>
    <row r="4290">
      <c r="A4290" s="397" t="str">
        <f t="array" ref="A4290">INDIRECT("Tableau!$A$132")</f>
        <v/>
      </c>
      <c r="B4290" s="398" t="s">
        <v>480</v>
      </c>
      <c r="C4290" s="400" t="str">
        <f t="array" ref="C4290">INDIRECT("Tableau!$AW$132")</f>
        <v/>
      </c>
      <c r="D4290" s="400" t="str">
        <f t="shared" si="24"/>
        <v>IN</v>
      </c>
      <c r="E4290" s="403" t="str">
        <f t="array" ref="E4290">INDIRECT("Tableau!$AX$132")</f>
        <v/>
      </c>
    </row>
    <row r="4291">
      <c r="A4291" s="397" t="str">
        <f t="array" ref="A4291">INDIRECT("Tableau!$A$133")</f>
        <v/>
      </c>
      <c r="B4291" s="398" t="s">
        <v>480</v>
      </c>
      <c r="C4291" s="400" t="str">
        <f t="array" ref="C4291">INDIRECT("Tableau!$AW$133")</f>
        <v/>
      </c>
      <c r="D4291" s="400" t="str">
        <f t="shared" si="24"/>
        <v>IN</v>
      </c>
      <c r="E4291" s="403" t="str">
        <f t="array" ref="E4291">INDIRECT("Tableau!$AX$133")</f>
        <v/>
      </c>
    </row>
    <row r="4292">
      <c r="A4292" s="397" t="str">
        <f t="array" ref="A4292">INDIRECT("Tableau!$A$134")</f>
        <v/>
      </c>
      <c r="B4292" s="398" t="s">
        <v>480</v>
      </c>
      <c r="C4292" s="400" t="str">
        <f t="array" ref="C4292">INDIRECT("Tableau!$AW$134")</f>
        <v/>
      </c>
      <c r="D4292" s="400" t="str">
        <f t="shared" si="24"/>
        <v>IN</v>
      </c>
      <c r="E4292" s="403" t="str">
        <f t="array" ref="E4292">INDIRECT("Tableau!$AX$134")</f>
        <v/>
      </c>
    </row>
    <row r="4293">
      <c r="A4293" s="402">
        <f t="array" ref="A4293">INDIRECT("Tableau!$A$135")</f>
        <v>401</v>
      </c>
      <c r="B4293" s="398" t="s">
        <v>480</v>
      </c>
      <c r="C4293" s="400" t="str">
        <f t="array" ref="C4293">INDIRECT("Tableau!$AW$135")</f>
        <v/>
      </c>
      <c r="D4293" s="400" t="str">
        <f t="shared" si="24"/>
        <v>IN</v>
      </c>
      <c r="E4293" s="403" t="str">
        <f t="array" ref="E4293">INDIRECT("Tableau!$AX$135")</f>
        <v/>
      </c>
    </row>
    <row r="4294">
      <c r="A4294" s="402">
        <f t="array" ref="A4294">INDIRECT("Tableau!$A$136")</f>
        <v>402</v>
      </c>
      <c r="B4294" s="398" t="s">
        <v>480</v>
      </c>
      <c r="C4294" s="400" t="str">
        <f t="array" ref="C4294">INDIRECT("Tableau!$AW$136")</f>
        <v/>
      </c>
      <c r="D4294" s="400" t="str">
        <f t="shared" si="24"/>
        <v>IN</v>
      </c>
      <c r="E4294" s="403" t="str">
        <f t="array" ref="E4294">INDIRECT("Tableau!$AX$136")</f>
        <v/>
      </c>
    </row>
    <row r="4295">
      <c r="A4295" s="402">
        <f t="array" ref="A4295">INDIRECT("Tableau!$A$137")</f>
        <v>403</v>
      </c>
      <c r="B4295" s="398" t="s">
        <v>480</v>
      </c>
      <c r="C4295" s="400" t="str">
        <f t="array" ref="C4295">INDIRECT("Tableau!$AW$137")</f>
        <v/>
      </c>
      <c r="D4295" s="400" t="str">
        <f t="shared" si="24"/>
        <v>IN</v>
      </c>
      <c r="E4295" s="403" t="str">
        <f t="array" ref="E4295">INDIRECT("Tableau!$AX$137")</f>
        <v/>
      </c>
    </row>
    <row r="4296">
      <c r="A4296" s="402">
        <f t="array" ref="A4296">INDIRECT("Tableau!$A$138")</f>
        <v>404</v>
      </c>
      <c r="B4296" s="398" t="s">
        <v>480</v>
      </c>
      <c r="C4296" s="400" t="str">
        <f t="array" ref="C4296">INDIRECT("Tableau!$AW$138")</f>
        <v/>
      </c>
      <c r="D4296" s="400" t="str">
        <f t="shared" si="24"/>
        <v>IN</v>
      </c>
      <c r="E4296" s="403" t="str">
        <f t="array" ref="E4296">INDIRECT("Tableau!$AX$138")</f>
        <v/>
      </c>
    </row>
    <row r="4297">
      <c r="A4297" s="402">
        <f t="array" ref="A4297">INDIRECT("Tableau!$A$139")</f>
        <v>405</v>
      </c>
      <c r="B4297" s="398" t="s">
        <v>480</v>
      </c>
      <c r="C4297" s="400" t="str">
        <f t="array" ref="C4297">INDIRECT("Tableau!$AW$139")</f>
        <v/>
      </c>
      <c r="D4297" s="400" t="str">
        <f t="shared" si="24"/>
        <v>IN</v>
      </c>
      <c r="E4297" s="403" t="str">
        <f t="array" ref="E4297">INDIRECT("Tableau!$AX$139")</f>
        <v/>
      </c>
    </row>
    <row r="4298">
      <c r="A4298" s="402">
        <f t="array" ref="A4298">INDIRECT("Tableau!$A$140")</f>
        <v>406</v>
      </c>
      <c r="B4298" s="398" t="s">
        <v>480</v>
      </c>
      <c r="C4298" s="400" t="str">
        <f t="array" ref="C4298">INDIRECT("Tableau!$AW$140")</f>
        <v/>
      </c>
      <c r="D4298" s="400" t="str">
        <f t="shared" si="24"/>
        <v>IN</v>
      </c>
      <c r="E4298" s="403" t="str">
        <f t="array" ref="E4298">INDIRECT("Tableau!$AX$140")</f>
        <v/>
      </c>
    </row>
    <row r="4299">
      <c r="A4299" s="402">
        <f t="array" ref="A4299">INDIRECT("Tableau!$A$141")</f>
        <v>407</v>
      </c>
      <c r="B4299" s="398" t="s">
        <v>480</v>
      </c>
      <c r="C4299" s="400" t="str">
        <f t="array" ref="C4299">INDIRECT("Tableau!$AW$141")</f>
        <v/>
      </c>
      <c r="D4299" s="400" t="str">
        <f t="shared" si="24"/>
        <v>IN</v>
      </c>
      <c r="E4299" s="403" t="str">
        <f t="array" ref="E4299">INDIRECT("Tableau!$AX$141")</f>
        <v/>
      </c>
    </row>
    <row r="4300">
      <c r="A4300" s="402">
        <f t="array" ref="A4300">INDIRECT("Tableau!$A$142")</f>
        <v>408</v>
      </c>
      <c r="B4300" s="398" t="s">
        <v>480</v>
      </c>
      <c r="C4300" s="400" t="str">
        <f t="array" ref="C4300">INDIRECT("Tableau!$AW$142")</f>
        <v/>
      </c>
      <c r="D4300" s="400" t="str">
        <f t="shared" si="24"/>
        <v>IN</v>
      </c>
      <c r="E4300" s="403" t="str">
        <f t="array" ref="E4300">INDIRECT("Tableau!$AX$142")</f>
        <v/>
      </c>
    </row>
    <row r="4301">
      <c r="A4301" s="402">
        <f t="array" ref="A4301">INDIRECT("Tableau!$A$143")</f>
        <v>409</v>
      </c>
      <c r="B4301" s="398" t="s">
        <v>480</v>
      </c>
      <c r="C4301" s="400" t="str">
        <f t="array" ref="C4301">INDIRECT("Tableau!$AW$143")</f>
        <v/>
      </c>
      <c r="D4301" s="400" t="str">
        <f t="shared" si="24"/>
        <v>IN</v>
      </c>
      <c r="E4301" s="403" t="str">
        <f t="array" ref="E4301">INDIRECT("Tableau!$AX$143")</f>
        <v/>
      </c>
    </row>
    <row r="4302">
      <c r="A4302" s="397">
        <f t="array" ref="A4302">INDIRECT("Tableau!$A$144")</f>
        <v>415</v>
      </c>
      <c r="B4302" s="398" t="s">
        <v>480</v>
      </c>
      <c r="C4302" s="400" t="str">
        <f t="array" ref="C4302">INDIRECT("Tableau!$AW$144")</f>
        <v/>
      </c>
      <c r="D4302" s="400" t="str">
        <f t="shared" si="24"/>
        <v>IN</v>
      </c>
      <c r="E4302" s="403" t="str">
        <f t="array" ref="E4302">INDIRECT("Tableau!$AX$144")</f>
        <v/>
      </c>
    </row>
    <row r="4303">
      <c r="A4303" s="397" t="str">
        <f t="array" ref="A4303">INDIRECT("Tableau!$A$145")</f>
        <v/>
      </c>
      <c r="B4303" s="398" t="s">
        <v>480</v>
      </c>
      <c r="C4303" s="400" t="str">
        <f t="array" ref="C4303">INDIRECT("Tableau!$AW$145")</f>
        <v/>
      </c>
      <c r="D4303" s="400" t="str">
        <f t="shared" si="24"/>
        <v>IN</v>
      </c>
      <c r="E4303" s="403" t="str">
        <f t="array" ref="E4303">INDIRECT("Tableau!$AX$145")</f>
        <v/>
      </c>
    </row>
    <row r="4304">
      <c r="A4304" s="397" t="str">
        <f t="array" ref="A4304">INDIRECT("Tableau!$A$146")</f>
        <v/>
      </c>
      <c r="B4304" s="398" t="s">
        <v>480</v>
      </c>
      <c r="C4304" s="400" t="str">
        <f t="array" ref="C4304">INDIRECT("Tableau!$AW$146")</f>
        <v/>
      </c>
      <c r="D4304" s="400" t="str">
        <f t="shared" si="24"/>
        <v>IN</v>
      </c>
      <c r="E4304" s="403" t="str">
        <f t="array" ref="E4304">INDIRECT("Tableau!$AX$146")</f>
        <v/>
      </c>
    </row>
    <row r="4305">
      <c r="A4305" s="397" t="str">
        <f t="array" ref="A4305">INDIRECT("Tableau!$A$147")</f>
        <v/>
      </c>
      <c r="B4305" s="398" t="s">
        <v>480</v>
      </c>
      <c r="C4305" s="400" t="str">
        <f t="array" ref="C4305">INDIRECT("Tableau!$AW$147")</f>
        <v/>
      </c>
      <c r="D4305" s="400" t="str">
        <f t="shared" si="24"/>
        <v>IN</v>
      </c>
      <c r="E4305" s="403" t="str">
        <f t="array" ref="E4305">INDIRECT("Tableau!$AX$147")</f>
        <v/>
      </c>
    </row>
    <row r="4306">
      <c r="A4306" s="397" t="str">
        <f t="array" ref="A4306">INDIRECT("Tableau!$A$148")</f>
        <v/>
      </c>
      <c r="B4306" s="398" t="s">
        <v>480</v>
      </c>
      <c r="C4306" s="400" t="str">
        <f t="array" ref="C4306">INDIRECT("Tableau!$AW$148")</f>
        <v/>
      </c>
      <c r="D4306" s="400" t="str">
        <f t="shared" si="24"/>
        <v>IN</v>
      </c>
      <c r="E4306" s="403" t="str">
        <f t="array" ref="E4306">INDIRECT("Tableau!$AX$148")</f>
        <v/>
      </c>
    </row>
    <row r="4307">
      <c r="A4307" s="397" t="str">
        <f t="array" ref="A4307">INDIRECT("Tableau!$A$149")</f>
        <v/>
      </c>
      <c r="B4307" s="398" t="s">
        <v>480</v>
      </c>
      <c r="C4307" s="400" t="str">
        <f t="array" ref="C4307">INDIRECT("Tableau!$AW$149")</f>
        <v/>
      </c>
      <c r="D4307" s="400" t="str">
        <f t="shared" si="24"/>
        <v>IN</v>
      </c>
      <c r="E4307" s="403" t="str">
        <f t="array" ref="E4307">INDIRECT("Tableau!$AX$149")</f>
        <v/>
      </c>
    </row>
    <row r="4308">
      <c r="A4308" s="397" t="str">
        <f t="array" ref="A4308">INDIRECT("Tableau!$A$150")</f>
        <v/>
      </c>
      <c r="B4308" s="398" t="s">
        <v>480</v>
      </c>
      <c r="C4308" s="400" t="str">
        <f t="array" ref="C4308">INDIRECT("Tableau!$AW$150")</f>
        <v/>
      </c>
      <c r="D4308" s="400" t="str">
        <f t="shared" si="24"/>
        <v>IN</v>
      </c>
      <c r="E4308" s="403" t="str">
        <f t="array" ref="E4308">INDIRECT("Tableau!$AX$150")</f>
        <v/>
      </c>
    </row>
    <row r="4309">
      <c r="A4309" s="397" t="str">
        <f t="array" ref="A4309">INDIRECT("Tableau!$A$151")</f>
        <v/>
      </c>
      <c r="B4309" s="398" t="s">
        <v>480</v>
      </c>
      <c r="C4309" s="400" t="str">
        <f t="array" ref="C4309">INDIRECT("Tableau!$AW$151")</f>
        <v/>
      </c>
      <c r="D4309" s="400" t="str">
        <f t="shared" si="24"/>
        <v>IN</v>
      </c>
      <c r="E4309" s="403" t="str">
        <f t="array" ref="E4309">INDIRECT("Tableau!$AX$151")</f>
        <v/>
      </c>
    </row>
    <row r="4310">
      <c r="A4310" s="397" t="str">
        <f t="array" ref="A4310">INDIRECT("Tableau!$A$152")</f>
        <v/>
      </c>
      <c r="B4310" s="398" t="s">
        <v>480</v>
      </c>
      <c r="C4310" s="400" t="str">
        <f t="array" ref="C4310">INDIRECT("Tableau!$AW$152")</f>
        <v/>
      </c>
      <c r="D4310" s="400" t="str">
        <f t="shared" si="24"/>
        <v>IN</v>
      </c>
      <c r="E4310" s="403" t="str">
        <f t="array" ref="E4310">INDIRECT("Tableau!$AX$152")</f>
        <v/>
      </c>
    </row>
    <row r="4311">
      <c r="A4311" s="397" t="str">
        <f t="array" ref="A4311">INDIRECT("Tableau!$A$153")</f>
        <v/>
      </c>
      <c r="B4311" s="398" t="s">
        <v>480</v>
      </c>
      <c r="C4311" s="400" t="str">
        <f t="array" ref="C4311">INDIRECT("Tableau!$AW$153")</f>
        <v/>
      </c>
      <c r="D4311" s="400" t="str">
        <f t="shared" si="24"/>
        <v>IN</v>
      </c>
      <c r="E4311" s="403" t="str">
        <f t="array" ref="E4311">INDIRECT("Tableau!$AX$153")</f>
        <v/>
      </c>
    </row>
    <row r="4312">
      <c r="A4312" s="402">
        <f t="array" ref="A4312">INDIRECT("Tableau!$A$154")</f>
        <v>501</v>
      </c>
      <c r="B4312" s="398" t="s">
        <v>480</v>
      </c>
      <c r="C4312" s="400" t="str">
        <f t="array" ref="C4312">INDIRECT("Tableau!$AW$154")</f>
        <v/>
      </c>
      <c r="D4312" s="400" t="str">
        <f t="shared" si="24"/>
        <v>IN</v>
      </c>
      <c r="E4312" s="403" t="str">
        <f t="array" ref="E4312">INDIRECT("Tableau!$AX$154")</f>
        <v/>
      </c>
    </row>
    <row r="4313">
      <c r="A4313" s="402">
        <f t="array" ref="A4313">INDIRECT("Tableau!$A$155")</f>
        <v>502</v>
      </c>
      <c r="B4313" s="398" t="s">
        <v>480</v>
      </c>
      <c r="C4313" s="400" t="str">
        <f t="array" ref="C4313">INDIRECT("Tableau!$AW$155")</f>
        <v>DPS</v>
      </c>
      <c r="D4313" s="400" t="str">
        <f t="shared" si="24"/>
        <v>IN</v>
      </c>
      <c r="E4313" s="403" t="str">
        <f t="array" ref="E4313">INDIRECT("Tableau!$AX$155")</f>
        <v/>
      </c>
    </row>
    <row r="4314">
      <c r="A4314" s="397" t="str">
        <f t="array" ref="A4314">INDIRECT("Tableau!$A$156")</f>
        <v/>
      </c>
      <c r="B4314" s="398" t="s">
        <v>480</v>
      </c>
      <c r="C4314" s="400" t="str">
        <f t="array" ref="C4314">INDIRECT("Tableau!$AW$156")</f>
        <v/>
      </c>
      <c r="D4314" s="400" t="str">
        <f t="shared" si="24"/>
        <v>IN</v>
      </c>
      <c r="E4314" s="403" t="str">
        <f t="array" ref="E4314">INDIRECT("Tableau!$AX$156")</f>
        <v/>
      </c>
    </row>
    <row r="4315">
      <c r="A4315" s="397" t="str">
        <f t="array" ref="A4315">INDIRECT("Tableau!$A$157")</f>
        <v/>
      </c>
      <c r="B4315" s="398" t="s">
        <v>480</v>
      </c>
      <c r="C4315" s="400" t="str">
        <f t="array" ref="C4315">INDIRECT("Tableau!$AW$157")</f>
        <v/>
      </c>
      <c r="D4315" s="400" t="str">
        <f t="shared" si="24"/>
        <v>IN</v>
      </c>
      <c r="E4315" s="403" t="str">
        <f t="array" ref="E4315">INDIRECT("Tableau!$AX$157")</f>
        <v/>
      </c>
    </row>
    <row r="4316">
      <c r="A4316" s="402">
        <f t="array" ref="A4316">INDIRECT("Tableau!$A$158")</f>
        <v>505</v>
      </c>
      <c r="B4316" s="398" t="s">
        <v>480</v>
      </c>
      <c r="C4316" s="400" t="str">
        <f t="array" ref="C4316">INDIRECT("Tableau!$AW$158")</f>
        <v>DPS</v>
      </c>
      <c r="D4316" s="400" t="str">
        <f t="shared" si="24"/>
        <v>IN</v>
      </c>
      <c r="E4316" s="403" t="str">
        <f t="array" ref="E4316">INDIRECT("Tableau!$AX$158")</f>
        <v/>
      </c>
    </row>
    <row r="4317">
      <c r="A4317" s="402">
        <f t="array" ref="A4317">INDIRECT("Tableau!$A$159")</f>
        <v>506</v>
      </c>
      <c r="B4317" s="398" t="s">
        <v>480</v>
      </c>
      <c r="C4317" s="400" t="str">
        <f t="array" ref="C4317">INDIRECT("Tableau!$AW$159")</f>
        <v/>
      </c>
      <c r="D4317" s="400" t="str">
        <f t="shared" si="24"/>
        <v>IN</v>
      </c>
      <c r="E4317" s="403" t="str">
        <f t="array" ref="E4317">INDIRECT("Tableau!$AX$159")</f>
        <v/>
      </c>
    </row>
    <row r="4318">
      <c r="A4318" s="402">
        <f t="array" ref="A4318">INDIRECT("Tableau!$A$160")</f>
        <v>507</v>
      </c>
      <c r="B4318" s="398" t="s">
        <v>480</v>
      </c>
      <c r="C4318" s="400" t="str">
        <f t="array" ref="C4318">INDIRECT("Tableau!$AW$160")</f>
        <v>DPS</v>
      </c>
      <c r="D4318" s="400" t="str">
        <f t="shared" si="24"/>
        <v>IN</v>
      </c>
      <c r="E4318" s="403" t="str">
        <f t="array" ref="E4318">INDIRECT("Tableau!$AX$160")</f>
        <v/>
      </c>
    </row>
    <row r="4319">
      <c r="A4319" s="402">
        <f t="array" ref="A4319">INDIRECT("Tableau!$A$161")</f>
        <v>508</v>
      </c>
      <c r="B4319" s="398" t="s">
        <v>480</v>
      </c>
      <c r="C4319" s="400" t="str">
        <f t="array" ref="C4319">INDIRECT("Tableau!$AW$161")</f>
        <v/>
      </c>
      <c r="D4319" s="400" t="str">
        <f t="shared" si="24"/>
        <v>IN</v>
      </c>
      <c r="E4319" s="403" t="str">
        <f t="array" ref="E4319">INDIRECT("Tableau!$AX$161")</f>
        <v/>
      </c>
    </row>
    <row r="4320">
      <c r="A4320" s="402">
        <f t="array" ref="A4320">INDIRECT("Tableau!$A$162")</f>
        <v>509</v>
      </c>
      <c r="B4320" s="398" t="s">
        <v>480</v>
      </c>
      <c r="C4320" s="400" t="str">
        <f t="array" ref="C4320">INDIRECT("Tableau!$AW$162")</f>
        <v/>
      </c>
      <c r="D4320" s="400" t="str">
        <f t="shared" si="24"/>
        <v>IN</v>
      </c>
      <c r="E4320" s="403" t="str">
        <f t="array" ref="E4320">INDIRECT("Tableau!$AX$162")</f>
        <v/>
      </c>
    </row>
    <row r="4321">
      <c r="A4321" s="397">
        <f t="array" ref="A4321">INDIRECT("Tableau!$A$163")</f>
        <v>510</v>
      </c>
      <c r="B4321" s="398" t="s">
        <v>480</v>
      </c>
      <c r="C4321" s="400" t="str">
        <f t="array" ref="C4321">INDIRECT("Tableau!$AW$163")</f>
        <v>DPS</v>
      </c>
      <c r="D4321" s="400" t="str">
        <f t="shared" si="24"/>
        <v>IN</v>
      </c>
      <c r="E4321" s="403" t="str">
        <f t="array" ref="E4321">INDIRECT("Tableau!$AX$163")</f>
        <v/>
      </c>
    </row>
    <row r="4322">
      <c r="A4322" s="397" t="str">
        <f t="array" ref="A4322">INDIRECT("Tableau!$A$164")</f>
        <v/>
      </c>
      <c r="B4322" s="398" t="s">
        <v>480</v>
      </c>
      <c r="C4322" s="400" t="str">
        <f t="array" ref="C4322">INDIRECT("Tableau!$AW$164")</f>
        <v/>
      </c>
      <c r="D4322" s="400" t="str">
        <f t="shared" si="24"/>
        <v>IN</v>
      </c>
      <c r="E4322" s="403" t="str">
        <f t="array" ref="E4322">INDIRECT("Tableau!$AX$164")</f>
        <v/>
      </c>
    </row>
    <row r="4323">
      <c r="A4323" s="397" t="str">
        <f t="array" ref="A4323">INDIRECT("Tableau!$A$165")</f>
        <v/>
      </c>
      <c r="B4323" s="398" t="s">
        <v>480</v>
      </c>
      <c r="C4323" s="400" t="str">
        <f t="array" ref="C4323">INDIRECT("Tableau!$AW$165")</f>
        <v/>
      </c>
      <c r="D4323" s="400" t="str">
        <f t="shared" si="24"/>
        <v>IN</v>
      </c>
      <c r="E4323" s="403" t="str">
        <f t="array" ref="E4323">INDIRECT("Tableau!$AX$165")</f>
        <v/>
      </c>
    </row>
    <row r="4324">
      <c r="A4324" s="402">
        <f t="array" ref="A4324">INDIRECT("Tableau!$A$166")</f>
        <v>527</v>
      </c>
      <c r="B4324" s="398" t="s">
        <v>480</v>
      </c>
      <c r="C4324" s="400" t="str">
        <f t="array" ref="C4324">INDIRECT("Tableau!$AW$166")</f>
        <v/>
      </c>
      <c r="D4324" s="400" t="str">
        <f t="shared" si="24"/>
        <v>IN</v>
      </c>
      <c r="E4324" s="403" t="str">
        <f t="array" ref="E4324">INDIRECT("Tableau!$AX$166")</f>
        <v/>
      </c>
    </row>
    <row r="4325">
      <c r="A4325" s="402">
        <f t="array" ref="A4325">INDIRECT("Tableau!$A$167")</f>
        <v>512</v>
      </c>
      <c r="B4325" s="398" t="s">
        <v>480</v>
      </c>
      <c r="C4325" s="400" t="str">
        <f t="array" ref="C4325">INDIRECT("Tableau!$AW$167")</f>
        <v>DPS</v>
      </c>
      <c r="D4325" s="400" t="str">
        <f t="shared" si="24"/>
        <v>IN</v>
      </c>
      <c r="E4325" s="403" t="str">
        <f t="array" ref="E4325">INDIRECT("Tableau!$AX$167")</f>
        <v/>
      </c>
    </row>
    <row r="4326">
      <c r="A4326" s="402">
        <f t="array" ref="A4326">INDIRECT("Tableau!$A$168")</f>
        <v>513</v>
      </c>
      <c r="B4326" s="398" t="s">
        <v>480</v>
      </c>
      <c r="C4326" s="400" t="str">
        <f t="array" ref="C4326">INDIRECT("Tableau!$AW$168")</f>
        <v/>
      </c>
      <c r="D4326" s="400" t="str">
        <f t="shared" si="24"/>
        <v>IN</v>
      </c>
      <c r="E4326" s="403" t="str">
        <f t="array" ref="E4326">INDIRECT("Tableau!$AX$168")</f>
        <v/>
      </c>
    </row>
    <row r="4327">
      <c r="A4327" s="402">
        <f t="array" ref="A4327">INDIRECT("Tableau!$A$169")</f>
        <v>514</v>
      </c>
      <c r="B4327" s="398" t="s">
        <v>480</v>
      </c>
      <c r="C4327" s="400" t="str">
        <f t="array" ref="C4327">INDIRECT("Tableau!$AW$169")</f>
        <v/>
      </c>
      <c r="D4327" s="400" t="str">
        <f t="shared" si="24"/>
        <v>IN</v>
      </c>
      <c r="E4327" s="403" t="str">
        <f t="array" ref="E4327">INDIRECT("Tableau!$AX$169")</f>
        <v/>
      </c>
    </row>
    <row r="4328">
      <c r="A4328" s="402">
        <f t="array" ref="A4328">INDIRECT("Tableau!$A$170")</f>
        <v>515</v>
      </c>
      <c r="B4328" s="398" t="s">
        <v>480</v>
      </c>
      <c r="C4328" s="400" t="str">
        <f t="array" ref="C4328">INDIRECT("Tableau!$AW$170")</f>
        <v/>
      </c>
      <c r="D4328" s="400" t="str">
        <f t="shared" si="24"/>
        <v>IN</v>
      </c>
      <c r="E4328" s="403" t="str">
        <f t="array" ref="E4328">INDIRECT("Tableau!$AX$170")</f>
        <v/>
      </c>
    </row>
    <row r="4329">
      <c r="A4329" s="402">
        <f t="array" ref="A4329">INDIRECT("Tableau!$A$171")</f>
        <v>517</v>
      </c>
      <c r="B4329" s="398" t="s">
        <v>480</v>
      </c>
      <c r="C4329" s="400" t="str">
        <f t="array" ref="C4329">INDIRECT("Tableau!$AW$171")</f>
        <v/>
      </c>
      <c r="D4329" s="400" t="str">
        <f t="shared" si="24"/>
        <v>IN</v>
      </c>
      <c r="E4329" s="403" t="str">
        <f t="array" ref="E4329">INDIRECT("Tableau!$AX$171")</f>
        <v/>
      </c>
    </row>
    <row r="4330">
      <c r="A4330" s="402">
        <f t="array" ref="A4330">INDIRECT("Tableau!$A$172")</f>
        <v>518</v>
      </c>
      <c r="B4330" s="398" t="s">
        <v>480</v>
      </c>
      <c r="C4330" s="400" t="str">
        <f t="array" ref="C4330">INDIRECT("Tableau!$AW$172")</f>
        <v/>
      </c>
      <c r="D4330" s="400" t="str">
        <f t="shared" si="24"/>
        <v>IN</v>
      </c>
      <c r="E4330" s="403" t="str">
        <f t="array" ref="E4330">INDIRECT("Tableau!$AX$172")</f>
        <v/>
      </c>
    </row>
    <row r="4331">
      <c r="A4331" s="397" t="str">
        <f t="array" ref="A4331">INDIRECT("Tableau!$A$173")</f>
        <v/>
      </c>
      <c r="B4331" s="398" t="s">
        <v>480</v>
      </c>
      <c r="C4331" s="400" t="str">
        <f t="array" ref="C4331">INDIRECT("Tableau!$AW$173")</f>
        <v/>
      </c>
      <c r="D4331" s="400" t="str">
        <f t="shared" si="24"/>
        <v>IN</v>
      </c>
      <c r="E4331" s="403" t="str">
        <f t="array" ref="E4331">INDIRECT("Tableau!$AX$173")</f>
        <v/>
      </c>
    </row>
    <row r="4332">
      <c r="A4332" s="402">
        <f t="array" ref="A4332">INDIRECT("Tableau!$A$174")</f>
        <v>520</v>
      </c>
      <c r="B4332" s="398" t="s">
        <v>480</v>
      </c>
      <c r="C4332" s="400" t="str">
        <f t="array" ref="C4332">INDIRECT("Tableau!$AW$174")</f>
        <v/>
      </c>
      <c r="D4332" s="400" t="str">
        <f t="shared" si="24"/>
        <v>IN</v>
      </c>
      <c r="E4332" s="403" t="str">
        <f t="array" ref="E4332">INDIRECT("Tableau!$AX$174")</f>
        <v/>
      </c>
    </row>
    <row r="4333">
      <c r="A4333" s="402">
        <f t="array" ref="A4333">INDIRECT("Tableau!$A$175")</f>
        <v>521</v>
      </c>
      <c r="B4333" s="398" t="s">
        <v>480</v>
      </c>
      <c r="C4333" s="400" t="str">
        <f t="array" ref="C4333">INDIRECT("Tableau!$AW$175")</f>
        <v/>
      </c>
      <c r="D4333" s="400" t="str">
        <f t="shared" si="24"/>
        <v>IN</v>
      </c>
      <c r="E4333" s="403" t="str">
        <f t="array" ref="E4333">INDIRECT("Tableau!$AX$175")</f>
        <v/>
      </c>
    </row>
    <row r="4334">
      <c r="A4334" s="402">
        <f t="array" ref="A4334">INDIRECT("Tableau!$A$176")</f>
        <v>525</v>
      </c>
      <c r="B4334" s="398" t="s">
        <v>480</v>
      </c>
      <c r="C4334" s="400" t="str">
        <f t="array" ref="C4334">INDIRECT("Tableau!$AW$176")</f>
        <v/>
      </c>
      <c r="D4334" s="400" t="str">
        <f t="shared" si="24"/>
        <v>IN</v>
      </c>
      <c r="E4334" s="403" t="str">
        <f t="array" ref="E4334">INDIRECT("Tableau!$AX$176")</f>
        <v/>
      </c>
    </row>
    <row r="4335">
      <c r="A4335" s="402">
        <f t="array" ref="A4335">INDIRECT("Tableau!$A$177")</f>
        <v>530</v>
      </c>
      <c r="B4335" s="398" t="s">
        <v>480</v>
      </c>
      <c r="C4335" s="400" t="str">
        <f t="array" ref="C4335">INDIRECT("Tableau!$AW$177")</f>
        <v>DPS</v>
      </c>
      <c r="D4335" s="400" t="str">
        <f t="shared" si="24"/>
        <v>IN</v>
      </c>
      <c r="E4335" s="403" t="str">
        <f t="array" ref="E4335">INDIRECT("Tableau!$AX$177")</f>
        <v/>
      </c>
    </row>
    <row r="4336">
      <c r="A4336" s="397" t="str">
        <f t="array" ref="A4336">INDIRECT("Tableau!$A$178")</f>
        <v/>
      </c>
      <c r="B4336" s="398" t="s">
        <v>480</v>
      </c>
      <c r="C4336" s="400" t="str">
        <f t="array" ref="C4336">INDIRECT("Tableau!$AW$178")</f>
        <v/>
      </c>
      <c r="D4336" s="400" t="str">
        <f t="shared" si="24"/>
        <v>IN</v>
      </c>
      <c r="E4336" s="403" t="str">
        <f t="array" ref="E4336">INDIRECT("Tableau!$AX$178")</f>
        <v/>
      </c>
    </row>
    <row r="4337">
      <c r="A4337" s="397" t="str">
        <f t="array" ref="A4337">INDIRECT("Tableau!$A$179")</f>
        <v/>
      </c>
      <c r="B4337" s="398" t="s">
        <v>480</v>
      </c>
      <c r="C4337" s="400" t="str">
        <f t="array" ref="C4337">INDIRECT("Tableau!$AW$179")</f>
        <v/>
      </c>
      <c r="D4337" s="400" t="str">
        <f t="shared" si="24"/>
        <v>IN</v>
      </c>
      <c r="E4337" s="403" t="str">
        <f t="array" ref="E4337">INDIRECT("Tableau!$AX$179")</f>
        <v/>
      </c>
    </row>
    <row r="4338">
      <c r="A4338" s="397" t="str">
        <f t="array" ref="A4338">INDIRECT("Tableau!$A$180")</f>
        <v/>
      </c>
      <c r="B4338" s="398" t="s">
        <v>480</v>
      </c>
      <c r="C4338" s="400" t="str">
        <f t="array" ref="C4338">INDIRECT("Tableau!$AW$180")</f>
        <v/>
      </c>
      <c r="D4338" s="400" t="str">
        <f t="shared" si="24"/>
        <v>IN</v>
      </c>
      <c r="E4338" s="403" t="str">
        <f t="array" ref="E4338">INDIRECT("Tableau!$AX$180")</f>
        <v/>
      </c>
    </row>
    <row r="4339">
      <c r="A4339" s="397" t="str">
        <f t="array" ref="A4339">INDIRECT("Tableau!$A$181")</f>
        <v/>
      </c>
      <c r="B4339" s="398" t="s">
        <v>480</v>
      </c>
      <c r="C4339" s="400" t="str">
        <f t="array" ref="C4339">INDIRECT("Tableau!$AW$181")</f>
        <v/>
      </c>
      <c r="D4339" s="400" t="str">
        <f t="shared" si="24"/>
        <v>IN</v>
      </c>
      <c r="E4339" s="403" t="str">
        <f t="array" ref="E4339">INDIRECT("Tableau!$AX$181")</f>
        <v/>
      </c>
    </row>
    <row r="4340">
      <c r="A4340" s="397" t="str">
        <f t="array" ref="A4340">INDIRECT("Tableau!$A$182")</f>
        <v/>
      </c>
      <c r="B4340" s="398" t="s">
        <v>480</v>
      </c>
      <c r="C4340" s="400" t="str">
        <f t="array" ref="C4340">INDIRECT("Tableau!$AW$182")</f>
        <v/>
      </c>
      <c r="D4340" s="400" t="str">
        <f t="shared" si="24"/>
        <v>IN</v>
      </c>
      <c r="E4340" s="403" t="str">
        <f t="array" ref="E4340">INDIRECT("Tableau!$AX$182")</f>
        <v/>
      </c>
    </row>
    <row r="4341">
      <c r="A4341" s="397" t="str">
        <f t="array" ref="A4341">INDIRECT("Tableau!$A$183")</f>
        <v/>
      </c>
      <c r="B4341" s="398" t="s">
        <v>480</v>
      </c>
      <c r="C4341" s="400" t="str">
        <f t="array" ref="C4341">INDIRECT("Tableau!$AW$183")</f>
        <v/>
      </c>
      <c r="D4341" s="400" t="str">
        <f t="shared" si="24"/>
        <v>IN</v>
      </c>
      <c r="E4341" s="403" t="str">
        <f t="array" ref="E4341">INDIRECT("Tableau!$AX$183")</f>
        <v/>
      </c>
    </row>
    <row r="4342">
      <c r="A4342" s="397" t="str">
        <f t="array" ref="A4342">INDIRECT("Tableau!$A$184")</f>
        <v/>
      </c>
      <c r="B4342" s="398" t="s">
        <v>480</v>
      </c>
      <c r="C4342" s="400" t="str">
        <f t="array" ref="C4342">INDIRECT("Tableau!$AW$184")</f>
        <v/>
      </c>
      <c r="D4342" s="400" t="str">
        <f t="shared" si="24"/>
        <v>IN</v>
      </c>
      <c r="E4342" s="403" t="str">
        <f t="array" ref="E4342">INDIRECT("Tableau!$AX$184")</f>
        <v/>
      </c>
    </row>
    <row r="4343">
      <c r="A4343" s="397" t="str">
        <f t="array" ref="A4343">INDIRECT("Tableau!$A$185")</f>
        <v/>
      </c>
      <c r="B4343" s="398" t="s">
        <v>480</v>
      </c>
      <c r="C4343" s="400" t="str">
        <f t="array" ref="C4343">INDIRECT("Tableau!$AW$185")</f>
        <v/>
      </c>
      <c r="D4343" s="400" t="str">
        <f t="shared" si="24"/>
        <v>IN</v>
      </c>
      <c r="E4343" s="403" t="str">
        <f t="array" ref="E4343">INDIRECT("Tableau!$AX$185")</f>
        <v/>
      </c>
    </row>
    <row r="4344">
      <c r="A4344" s="397" t="str">
        <f t="array" ref="A4344">INDIRECT("Tableau!$A$186")</f>
        <v/>
      </c>
      <c r="B4344" s="398" t="s">
        <v>480</v>
      </c>
      <c r="C4344" s="400" t="str">
        <f t="array" ref="C4344">INDIRECT("Tableau!$AW$186")</f>
        <v/>
      </c>
      <c r="D4344" s="400" t="str">
        <f t="shared" si="24"/>
        <v>IN</v>
      </c>
      <c r="E4344" s="403" t="str">
        <f t="array" ref="E4344">INDIRECT("Tableau!$AX$186")</f>
        <v/>
      </c>
    </row>
    <row r="4345">
      <c r="A4345" s="397" t="str">
        <f t="array" ref="A4345">INDIRECT("Tableau!$A$187")</f>
        <v/>
      </c>
      <c r="B4345" s="398" t="s">
        <v>480</v>
      </c>
      <c r="C4345" s="400" t="str">
        <f t="array" ref="C4345">INDIRECT("Tableau!$AW$187")</f>
        <v/>
      </c>
      <c r="D4345" s="400" t="str">
        <f t="shared" si="24"/>
        <v>IN</v>
      </c>
      <c r="E4345" s="403" t="str">
        <f t="array" ref="E4345">INDIRECT("Tableau!$AX$187")</f>
        <v/>
      </c>
    </row>
    <row r="4346">
      <c r="A4346" s="397" t="str">
        <f t="array" ref="A4346">INDIRECT("Tableau!$A$188")</f>
        <v/>
      </c>
      <c r="B4346" s="398" t="s">
        <v>480</v>
      </c>
      <c r="C4346" s="400" t="str">
        <f t="array" ref="C4346">INDIRECT("Tableau!$AW$188")</f>
        <v/>
      </c>
      <c r="D4346" s="400" t="str">
        <f t="shared" si="24"/>
        <v>IN</v>
      </c>
      <c r="E4346" s="403" t="str">
        <f t="array" ref="E4346">INDIRECT("Tableau!$AX$188")</f>
        <v/>
      </c>
    </row>
    <row r="4347">
      <c r="A4347" s="397" t="str">
        <f t="array" ref="A4347">INDIRECT("Tableau!$A$189")</f>
        <v/>
      </c>
      <c r="B4347" s="398" t="s">
        <v>480</v>
      </c>
      <c r="C4347" s="400" t="str">
        <f t="array" ref="C4347">INDIRECT("Tableau!$AW$189")</f>
        <v/>
      </c>
      <c r="D4347" s="400" t="str">
        <f t="shared" si="24"/>
        <v>IN</v>
      </c>
      <c r="E4347" s="403" t="str">
        <f t="array" ref="E4347">INDIRECT("Tableau!$AX$189")</f>
        <v/>
      </c>
    </row>
    <row r="4348">
      <c r="A4348" s="397" t="str">
        <f t="array" ref="A4348">INDIRECT("Tableau!$A$190")</f>
        <v/>
      </c>
      <c r="B4348" s="398" t="s">
        <v>480</v>
      </c>
      <c r="C4348" s="400" t="str">
        <f t="array" ref="C4348">INDIRECT("Tableau!$AW$190")</f>
        <v/>
      </c>
      <c r="D4348" s="400" t="str">
        <f t="shared" si="24"/>
        <v>IN</v>
      </c>
      <c r="E4348" s="403" t="str">
        <f t="array" ref="E4348">INDIRECT("Tableau!$AX$190")</f>
        <v/>
      </c>
    </row>
    <row r="4349">
      <c r="A4349" s="397" t="str">
        <f t="array" ref="A4349">INDIRECT("Tableau!$A$2")</f>
        <v/>
      </c>
      <c r="B4349" s="398" t="s">
        <v>480</v>
      </c>
      <c r="C4349" s="400" t="str">
        <f t="array" ref="C4349">INDIRECT("Tableau!$AY$2")</f>
        <v/>
      </c>
      <c r="D4349" s="400" t="str">
        <f t="shared" ref="D4349:D4537" si="25">INDIRECT("Tableau!$AZ$1")</f>
        <v>OUT</v>
      </c>
      <c r="E4349" s="403" t="str">
        <f t="array" ref="E4349">INDIRECT("Tableau!$AZ$2")</f>
        <v/>
      </c>
    </row>
    <row r="4350">
      <c r="A4350" s="402">
        <f t="array" ref="A4350">INDIRECT("Tableau!$A$3")</f>
        <v>102</v>
      </c>
      <c r="B4350" s="398" t="s">
        <v>480</v>
      </c>
      <c r="C4350" s="400" t="str">
        <f t="array" ref="C4350">INDIRECT("Tableau!$AY$3")</f>
        <v/>
      </c>
      <c r="D4350" s="400" t="str">
        <f t="shared" si="25"/>
        <v>OUT</v>
      </c>
      <c r="E4350" s="403" t="str">
        <f t="array" ref="E4350">INDIRECT("Tableau!$AZ$3")</f>
        <v/>
      </c>
    </row>
    <row r="4351">
      <c r="A4351" s="397" t="str">
        <f t="array" ref="A4351">INDIRECT("Tableau!$A$4")</f>
        <v/>
      </c>
      <c r="B4351" s="398" t="s">
        <v>480</v>
      </c>
      <c r="C4351" s="400" t="str">
        <f t="array" ref="C4351">INDIRECT("Tableau!$AY$4")</f>
        <v/>
      </c>
      <c r="D4351" s="400" t="str">
        <f t="shared" si="25"/>
        <v>OUT</v>
      </c>
      <c r="E4351" s="403" t="str">
        <f t="array" ref="E4351">INDIRECT("Tableau!$AZ$4")</f>
        <v/>
      </c>
    </row>
    <row r="4352">
      <c r="A4352" s="402">
        <f t="array" ref="A4352">INDIRECT("Tableau!$A$5")</f>
        <v>104</v>
      </c>
      <c r="B4352" s="398" t="s">
        <v>480</v>
      </c>
      <c r="C4352" s="400" t="str">
        <f t="array" ref="C4352">INDIRECT("Tableau!$AY$5")</f>
        <v/>
      </c>
      <c r="D4352" s="400" t="str">
        <f t="shared" si="25"/>
        <v>OUT</v>
      </c>
      <c r="E4352" s="403" t="str">
        <f t="array" ref="E4352">INDIRECT("Tableau!$AZ$5")</f>
        <v/>
      </c>
    </row>
    <row r="4353">
      <c r="A4353" s="402">
        <f t="array" ref="A4353">INDIRECT("Tableau!$A$6")</f>
        <v>105</v>
      </c>
      <c r="B4353" s="398" t="s">
        <v>480</v>
      </c>
      <c r="C4353" s="400" t="str">
        <f t="array" ref="C4353">INDIRECT("Tableau!$AY$6")</f>
        <v/>
      </c>
      <c r="D4353" s="400" t="str">
        <f t="shared" si="25"/>
        <v>OUT</v>
      </c>
      <c r="E4353" s="403" t="str">
        <f t="array" ref="E4353">INDIRECT("Tableau!$AZ$6")</f>
        <v/>
      </c>
    </row>
    <row r="4354">
      <c r="A4354" s="402">
        <f t="array" ref="A4354">INDIRECT("Tableau!$A$7")</f>
        <v>106</v>
      </c>
      <c r="B4354" s="398" t="s">
        <v>480</v>
      </c>
      <c r="C4354" s="400" t="str">
        <f t="array" ref="C4354">INDIRECT("Tableau!$AY$7")</f>
        <v/>
      </c>
      <c r="D4354" s="400" t="str">
        <f t="shared" si="25"/>
        <v>OUT</v>
      </c>
      <c r="E4354" s="403" t="str">
        <f t="array" ref="E4354">INDIRECT("Tableau!$AZ$7")</f>
        <v/>
      </c>
    </row>
    <row r="4355">
      <c r="A4355" s="402">
        <f t="array" ref="A4355">INDIRECT("Tableau!$A$8")</f>
        <v>107</v>
      </c>
      <c r="B4355" s="398" t="s">
        <v>480</v>
      </c>
      <c r="C4355" s="400" t="str">
        <f t="array" ref="C4355">INDIRECT("Tableau!$AY$8")</f>
        <v/>
      </c>
      <c r="D4355" s="400" t="str">
        <f t="shared" si="25"/>
        <v>OUT</v>
      </c>
      <c r="E4355" s="403" t="str">
        <f t="array" ref="E4355">INDIRECT("Tableau!$AZ$8")</f>
        <v/>
      </c>
    </row>
    <row r="4356">
      <c r="A4356" s="397">
        <f t="array" ref="A4356">INDIRECT("Tableau!$A$9")</f>
        <v>108</v>
      </c>
      <c r="B4356" s="398" t="s">
        <v>480</v>
      </c>
      <c r="C4356" s="400" t="str">
        <f t="array" ref="C4356">INDIRECT("Tableau!$AY$9")</f>
        <v/>
      </c>
      <c r="D4356" s="400" t="str">
        <f t="shared" si="25"/>
        <v>OUT</v>
      </c>
      <c r="E4356" s="403" t="str">
        <f t="array" ref="E4356">INDIRECT("Tableau!$AZ$9")</f>
        <v/>
      </c>
    </row>
    <row r="4357">
      <c r="A4357" s="402">
        <f t="array" ref="A4357">INDIRECT("Tableau!$A$10")</f>
        <v>109</v>
      </c>
      <c r="B4357" s="398" t="s">
        <v>480</v>
      </c>
      <c r="C4357" s="400" t="str">
        <f t="array" ref="C4357">INDIRECT("Tableau!$AY$10")</f>
        <v/>
      </c>
      <c r="D4357" s="400" t="str">
        <f t="shared" si="25"/>
        <v>OUT</v>
      </c>
      <c r="E4357" s="403" t="str">
        <f t="array" ref="E4357">INDIRECT("Tableau!$AZ$10")</f>
        <v/>
      </c>
    </row>
    <row r="4358">
      <c r="A4358" s="402">
        <f t="array" ref="A4358">INDIRECT("Tableau!$A$11")</f>
        <v>110</v>
      </c>
      <c r="B4358" s="398" t="s">
        <v>480</v>
      </c>
      <c r="C4358" s="400" t="str">
        <f t="array" ref="C4358">INDIRECT("Tableau!$AY$11")</f>
        <v/>
      </c>
      <c r="D4358" s="400" t="str">
        <f t="shared" si="25"/>
        <v>OUT</v>
      </c>
      <c r="E4358" s="403" t="str">
        <f t="array" ref="E4358">INDIRECT("Tableau!$AZ$11")</f>
        <v/>
      </c>
    </row>
    <row r="4359">
      <c r="A4359" s="402">
        <f t="array" ref="A4359">INDIRECT("Tableau!$A$12")</f>
        <v>111</v>
      </c>
      <c r="B4359" s="398" t="s">
        <v>480</v>
      </c>
      <c r="C4359" s="400" t="str">
        <f t="array" ref="C4359">INDIRECT("Tableau!$AY$12")</f>
        <v/>
      </c>
      <c r="D4359" s="400" t="str">
        <f t="shared" si="25"/>
        <v>OUT</v>
      </c>
      <c r="E4359" s="403" t="str">
        <f t="array" ref="E4359">INDIRECT("Tableau!$AZ$12")</f>
        <v/>
      </c>
    </row>
    <row r="4360">
      <c r="A4360" s="402">
        <f t="array" ref="A4360">INDIRECT("Tableau!$A$13")</f>
        <v>112</v>
      </c>
      <c r="B4360" s="398" t="s">
        <v>480</v>
      </c>
      <c r="C4360" s="400" t="str">
        <f t="array" ref="C4360">INDIRECT("Tableau!$AY$13")</f>
        <v/>
      </c>
      <c r="D4360" s="400" t="str">
        <f t="shared" si="25"/>
        <v>OUT</v>
      </c>
      <c r="E4360" s="403" t="str">
        <f t="array" ref="E4360">INDIRECT("Tableau!$AZ$13")</f>
        <v/>
      </c>
    </row>
    <row r="4361">
      <c r="A4361" s="402">
        <f t="array" ref="A4361">INDIRECT("Tableau!$A$14")</f>
        <v>113</v>
      </c>
      <c r="B4361" s="398" t="s">
        <v>480</v>
      </c>
      <c r="C4361" s="400" t="str">
        <f t="array" ref="C4361">INDIRECT("Tableau!$AY$14")</f>
        <v/>
      </c>
      <c r="D4361" s="400" t="str">
        <f t="shared" si="25"/>
        <v>OUT</v>
      </c>
      <c r="E4361" s="403" t="str">
        <f t="array" ref="E4361">INDIRECT("Tableau!$AZ$14")</f>
        <v/>
      </c>
    </row>
    <row r="4362">
      <c r="A4362" s="397">
        <f t="array" ref="A4362">INDIRECT("Tableau!$A$15")</f>
        <v>114</v>
      </c>
      <c r="B4362" s="398" t="s">
        <v>480</v>
      </c>
      <c r="C4362" s="400" t="str">
        <f t="array" ref="C4362">INDIRECT("Tableau!$AY$15")</f>
        <v/>
      </c>
      <c r="D4362" s="400" t="str">
        <f t="shared" si="25"/>
        <v>OUT</v>
      </c>
      <c r="E4362" s="403" t="str">
        <f t="array" ref="E4362">INDIRECT("Tableau!$AZ$15")</f>
        <v/>
      </c>
    </row>
    <row r="4363">
      <c r="A4363" s="397" t="str">
        <f t="array" ref="A4363">INDIRECT("Tableau!$A$16")</f>
        <v/>
      </c>
      <c r="B4363" s="398" t="s">
        <v>480</v>
      </c>
      <c r="C4363" s="400" t="str">
        <f t="array" ref="C4363">INDIRECT("Tableau!$AY$16")</f>
        <v/>
      </c>
      <c r="D4363" s="400" t="str">
        <f t="shared" si="25"/>
        <v>OUT</v>
      </c>
      <c r="E4363" s="403" t="str">
        <f t="array" ref="E4363">INDIRECT("Tableau!$AZ$16")</f>
        <v/>
      </c>
    </row>
    <row r="4364">
      <c r="A4364" s="397" t="str">
        <f t="array" ref="A4364">INDIRECT("Tableau!$A$17")</f>
        <v/>
      </c>
      <c r="B4364" s="398" t="s">
        <v>480</v>
      </c>
      <c r="C4364" s="400" t="str">
        <f t="array" ref="C4364">INDIRECT("Tableau!$AY$17")</f>
        <v/>
      </c>
      <c r="D4364" s="400" t="str">
        <f t="shared" si="25"/>
        <v>OUT</v>
      </c>
      <c r="E4364" s="403" t="str">
        <f t="array" ref="E4364">INDIRECT("Tableau!$AZ$17")</f>
        <v/>
      </c>
    </row>
    <row r="4365">
      <c r="A4365" s="397" t="str">
        <f t="array" ref="A4365">INDIRECT("Tableau!$A$18")</f>
        <v/>
      </c>
      <c r="B4365" s="398" t="s">
        <v>480</v>
      </c>
      <c r="C4365" s="400" t="str">
        <f t="array" ref="C4365">INDIRECT("Tableau!$AY$18")</f>
        <v/>
      </c>
      <c r="D4365" s="400" t="str">
        <f t="shared" si="25"/>
        <v>OUT</v>
      </c>
      <c r="E4365" s="403" t="str">
        <f t="array" ref="E4365">INDIRECT("Tableau!$AZ$18")</f>
        <v/>
      </c>
    </row>
    <row r="4366">
      <c r="A4366" s="397" t="str">
        <f t="array" ref="A4366">INDIRECT("Tableau!$A$19")</f>
        <v/>
      </c>
      <c r="B4366" s="398" t="s">
        <v>480</v>
      </c>
      <c r="C4366" s="400" t="str">
        <f t="array" ref="C4366">INDIRECT("Tableau!$AY$19")</f>
        <v/>
      </c>
      <c r="D4366" s="400" t="str">
        <f t="shared" si="25"/>
        <v>OUT</v>
      </c>
      <c r="E4366" s="403" t="str">
        <f t="array" ref="E4366">INDIRECT("Tableau!$AZ$19")</f>
        <v/>
      </c>
    </row>
    <row r="4367">
      <c r="A4367" s="397" t="str">
        <f t="array" ref="A4367">INDIRECT("Tableau!$A$20")</f>
        <v/>
      </c>
      <c r="B4367" s="398" t="s">
        <v>480</v>
      </c>
      <c r="C4367" s="400" t="str">
        <f t="array" ref="C4367">INDIRECT("Tableau!$AY$20")</f>
        <v/>
      </c>
      <c r="D4367" s="400" t="str">
        <f t="shared" si="25"/>
        <v>OUT</v>
      </c>
      <c r="E4367" s="403" t="str">
        <f t="array" ref="E4367">INDIRECT("Tableau!$AZ$20")</f>
        <v/>
      </c>
    </row>
    <row r="4368">
      <c r="A4368" s="397" t="str">
        <f t="array" ref="A4368">INDIRECT("Tableau!$A$21")</f>
        <v/>
      </c>
      <c r="B4368" s="398" t="s">
        <v>480</v>
      </c>
      <c r="C4368" s="400" t="str">
        <f t="array" ref="C4368">INDIRECT("Tableau!$AY$21")</f>
        <v/>
      </c>
      <c r="D4368" s="400" t="str">
        <f t="shared" si="25"/>
        <v>OUT</v>
      </c>
      <c r="E4368" s="403" t="str">
        <f t="array" ref="E4368">INDIRECT("Tableau!$AZ$21")</f>
        <v/>
      </c>
    </row>
    <row r="4369">
      <c r="A4369" s="397" t="str">
        <f t="array" ref="A4369">INDIRECT("Tableau!$A$22")</f>
        <v/>
      </c>
      <c r="B4369" s="398" t="s">
        <v>480</v>
      </c>
      <c r="C4369" s="400" t="str">
        <f t="array" ref="C4369">INDIRECT("Tableau!$AY$22")</f>
        <v/>
      </c>
      <c r="D4369" s="400" t="str">
        <f t="shared" si="25"/>
        <v>OUT</v>
      </c>
      <c r="E4369" s="403" t="str">
        <f t="array" ref="E4369">INDIRECT("Tableau!$AZ$22")</f>
        <v/>
      </c>
    </row>
    <row r="4370">
      <c r="A4370" s="397" t="str">
        <f t="array" ref="A4370">INDIRECT("Tableau!$A$23")</f>
        <v/>
      </c>
      <c r="B4370" s="398" t="s">
        <v>480</v>
      </c>
      <c r="C4370" s="400" t="str">
        <f t="array" ref="C4370">INDIRECT("Tableau!$AY$23")</f>
        <v/>
      </c>
      <c r="D4370" s="400" t="str">
        <f t="shared" si="25"/>
        <v>OUT</v>
      </c>
      <c r="E4370" s="403" t="str">
        <f t="array" ref="E4370">INDIRECT("Tableau!$AZ$23")</f>
        <v/>
      </c>
    </row>
    <row r="4371">
      <c r="A4371" s="397" t="str">
        <f t="array" ref="A4371">INDIRECT("Tableau!$A$24")</f>
        <v/>
      </c>
      <c r="B4371" s="398" t="s">
        <v>480</v>
      </c>
      <c r="C4371" s="400" t="str">
        <f t="array" ref="C4371">INDIRECT("Tableau!$AY$24")</f>
        <v/>
      </c>
      <c r="D4371" s="400" t="str">
        <f t="shared" si="25"/>
        <v>OUT</v>
      </c>
      <c r="E4371" s="403" t="str">
        <f t="array" ref="E4371">INDIRECT("Tableau!$AZ$24")</f>
        <v/>
      </c>
    </row>
    <row r="4372">
      <c r="A4372" s="397" t="str">
        <f t="array" ref="A4372">INDIRECT("Tableau!$A$25")</f>
        <v/>
      </c>
      <c r="B4372" s="398" t="s">
        <v>480</v>
      </c>
      <c r="C4372" s="400" t="str">
        <f t="array" ref="C4372">INDIRECT("Tableau!$AY$25")</f>
        <v/>
      </c>
      <c r="D4372" s="400" t="str">
        <f t="shared" si="25"/>
        <v>OUT</v>
      </c>
      <c r="E4372" s="403" t="str">
        <f t="array" ref="E4372">INDIRECT("Tableau!$AZ$25")</f>
        <v/>
      </c>
    </row>
    <row r="4373">
      <c r="A4373" s="402">
        <f t="array" ref="A4373">INDIRECT("Tableau!$A$26")</f>
        <v>201</v>
      </c>
      <c r="B4373" s="398" t="s">
        <v>480</v>
      </c>
      <c r="C4373" s="400" t="str">
        <f t="array" ref="C4373">INDIRECT("Tableau!$AY$26")</f>
        <v/>
      </c>
      <c r="D4373" s="400" t="str">
        <f t="shared" si="25"/>
        <v>OUT</v>
      </c>
      <c r="E4373" s="403" t="str">
        <f t="array" ref="E4373">INDIRECT("Tableau!$AZ$26")</f>
        <v/>
      </c>
    </row>
    <row r="4374">
      <c r="A4374" s="402">
        <f t="array" ref="A4374">INDIRECT("Tableau!$A$27")</f>
        <v>202</v>
      </c>
      <c r="B4374" s="398" t="s">
        <v>480</v>
      </c>
      <c r="C4374" s="400" t="str">
        <f t="array" ref="C4374">INDIRECT("Tableau!$AY$27")</f>
        <v/>
      </c>
      <c r="D4374" s="400" t="str">
        <f t="shared" si="25"/>
        <v>OUT</v>
      </c>
      <c r="E4374" s="403" t="str">
        <f t="array" ref="E4374">INDIRECT("Tableau!$AZ$27")</f>
        <v/>
      </c>
    </row>
    <row r="4375">
      <c r="A4375" s="402">
        <f t="array" ref="A4375">INDIRECT("Tableau!$A$28")</f>
        <v>203</v>
      </c>
      <c r="B4375" s="398" t="s">
        <v>480</v>
      </c>
      <c r="C4375" s="400" t="str">
        <f t="array" ref="C4375">INDIRECT("Tableau!$AY$28")</f>
        <v/>
      </c>
      <c r="D4375" s="400" t="str">
        <f t="shared" si="25"/>
        <v>OUT</v>
      </c>
      <c r="E4375" s="403" t="str">
        <f t="array" ref="E4375">INDIRECT("Tableau!$AZ$28")</f>
        <v/>
      </c>
    </row>
    <row r="4376">
      <c r="A4376" s="402">
        <f t="array" ref="A4376">INDIRECT("Tableau!$A$29")</f>
        <v>204</v>
      </c>
      <c r="B4376" s="398" t="s">
        <v>480</v>
      </c>
      <c r="C4376" s="400" t="str">
        <f t="array" ref="C4376">INDIRECT("Tableau!$AY$29")</f>
        <v/>
      </c>
      <c r="D4376" s="400" t="str">
        <f t="shared" si="25"/>
        <v>OUT</v>
      </c>
      <c r="E4376" s="403" t="str">
        <f t="array" ref="E4376">INDIRECT("Tableau!$AZ$29")</f>
        <v/>
      </c>
    </row>
    <row r="4377">
      <c r="A4377" s="402">
        <f t="array" ref="A4377">INDIRECT("Tableau!$A$30")</f>
        <v>205</v>
      </c>
      <c r="B4377" s="398" t="s">
        <v>480</v>
      </c>
      <c r="C4377" s="400" t="str">
        <f t="array" ref="C4377">INDIRECT("Tableau!$AY$30")</f>
        <v/>
      </c>
      <c r="D4377" s="400" t="str">
        <f t="shared" si="25"/>
        <v>OUT</v>
      </c>
      <c r="E4377" s="403" t="str">
        <f t="array" ref="E4377">INDIRECT("Tableau!$AZ$30")</f>
        <v/>
      </c>
    </row>
    <row r="4378">
      <c r="A4378" s="402">
        <f t="array" ref="A4378">INDIRECT("Tableau!$A$31")</f>
        <v>206</v>
      </c>
      <c r="B4378" s="398" t="s">
        <v>480</v>
      </c>
      <c r="C4378" s="400" t="str">
        <f t="array" ref="C4378">INDIRECT("Tableau!$AY$31")</f>
        <v/>
      </c>
      <c r="D4378" s="400" t="str">
        <f t="shared" si="25"/>
        <v>OUT</v>
      </c>
      <c r="E4378" s="403" t="str">
        <f t="array" ref="E4378">INDIRECT("Tableau!$AZ$31")</f>
        <v/>
      </c>
    </row>
    <row r="4379">
      <c r="A4379" s="402">
        <f t="array" ref="A4379">INDIRECT("Tableau!$A$32")</f>
        <v>207</v>
      </c>
      <c r="B4379" s="398" t="s">
        <v>480</v>
      </c>
      <c r="C4379" s="400" t="str">
        <f t="array" ref="C4379">INDIRECT("Tableau!$AY$32")</f>
        <v/>
      </c>
      <c r="D4379" s="400" t="str">
        <f t="shared" si="25"/>
        <v>OUT</v>
      </c>
      <c r="E4379" s="403" t="str">
        <f t="array" ref="E4379">INDIRECT("Tableau!$AZ$32")</f>
        <v/>
      </c>
    </row>
    <row r="4380">
      <c r="A4380" s="402">
        <f t="array" ref="A4380">INDIRECT("Tableau!$A$33")</f>
        <v>208</v>
      </c>
      <c r="B4380" s="398" t="s">
        <v>480</v>
      </c>
      <c r="C4380" s="400" t="str">
        <f t="array" ref="C4380">INDIRECT("Tableau!$AY$33")</f>
        <v/>
      </c>
      <c r="D4380" s="400" t="str">
        <f t="shared" si="25"/>
        <v>OUT</v>
      </c>
      <c r="E4380" s="403" t="str">
        <f t="array" ref="E4380">INDIRECT("Tableau!$AZ$33")</f>
        <v/>
      </c>
    </row>
    <row r="4381">
      <c r="A4381" s="402">
        <f t="array" ref="A4381">INDIRECT("Tableau!$A$34")</f>
        <v>209</v>
      </c>
      <c r="B4381" s="398" t="s">
        <v>480</v>
      </c>
      <c r="C4381" s="400" t="str">
        <f t="array" ref="C4381">INDIRECT("Tableau!$AY$34")</f>
        <v/>
      </c>
      <c r="D4381" s="400" t="str">
        <f t="shared" si="25"/>
        <v>OUT</v>
      </c>
      <c r="E4381" s="403" t="str">
        <f t="array" ref="E4381">INDIRECT("Tableau!$AZ$34")</f>
        <v/>
      </c>
    </row>
    <row r="4382">
      <c r="A4382" s="402">
        <f t="array" ref="A4382">INDIRECT("Tableau!$A$35")</f>
        <v>210</v>
      </c>
      <c r="B4382" s="398" t="s">
        <v>480</v>
      </c>
      <c r="C4382" s="400" t="str">
        <f t="array" ref="C4382">INDIRECT("Tableau!$AY$35")</f>
        <v/>
      </c>
      <c r="D4382" s="400" t="str">
        <f t="shared" si="25"/>
        <v>OUT</v>
      </c>
      <c r="E4382" s="403" t="str">
        <f t="array" ref="E4382">INDIRECT("Tableau!$AZ$35")</f>
        <v/>
      </c>
    </row>
    <row r="4383">
      <c r="A4383" s="402">
        <f t="array" ref="A4383">INDIRECT("Tableau!$A$36")</f>
        <v>211</v>
      </c>
      <c r="B4383" s="398" t="s">
        <v>480</v>
      </c>
      <c r="C4383" s="400" t="str">
        <f t="array" ref="C4383">INDIRECT("Tableau!$AY$36")</f>
        <v/>
      </c>
      <c r="D4383" s="400" t="str">
        <f t="shared" si="25"/>
        <v>OUT</v>
      </c>
      <c r="E4383" s="403" t="str">
        <f t="array" ref="E4383">INDIRECT("Tableau!$AZ$36")</f>
        <v/>
      </c>
    </row>
    <row r="4384">
      <c r="A4384" s="402">
        <f t="array" ref="A4384">INDIRECT("Tableau!$A$37")</f>
        <v>212</v>
      </c>
      <c r="B4384" s="398" t="s">
        <v>480</v>
      </c>
      <c r="C4384" s="400" t="str">
        <f t="array" ref="C4384">INDIRECT("Tableau!$AY$37")</f>
        <v/>
      </c>
      <c r="D4384" s="400" t="str">
        <f t="shared" si="25"/>
        <v>OUT</v>
      </c>
      <c r="E4384" s="403" t="str">
        <f t="array" ref="E4384">INDIRECT("Tableau!$AZ$37")</f>
        <v/>
      </c>
    </row>
    <row r="4385">
      <c r="A4385" s="402">
        <f t="array" ref="A4385">INDIRECT("Tableau!$A$38")</f>
        <v>213</v>
      </c>
      <c r="B4385" s="398" t="s">
        <v>480</v>
      </c>
      <c r="C4385" s="400" t="str">
        <f t="array" ref="C4385">INDIRECT("Tableau!$AY$38")</f>
        <v/>
      </c>
      <c r="D4385" s="400" t="str">
        <f t="shared" si="25"/>
        <v>OUT</v>
      </c>
      <c r="E4385" s="403" t="str">
        <f t="array" ref="E4385">INDIRECT("Tableau!$AZ$38")</f>
        <v/>
      </c>
    </row>
    <row r="4386">
      <c r="A4386" s="402">
        <f t="array" ref="A4386">INDIRECT("Tableau!$A$39")</f>
        <v>214</v>
      </c>
      <c r="B4386" s="398" t="s">
        <v>480</v>
      </c>
      <c r="C4386" s="400" t="str">
        <f t="array" ref="C4386">INDIRECT("Tableau!$AY$39")</f>
        <v/>
      </c>
      <c r="D4386" s="400" t="str">
        <f t="shared" si="25"/>
        <v>OUT</v>
      </c>
      <c r="E4386" s="403" t="str">
        <f t="array" ref="E4386">INDIRECT("Tableau!$AZ$39")</f>
        <v/>
      </c>
    </row>
    <row r="4387">
      <c r="A4387" s="402">
        <f t="array" ref="A4387">INDIRECT("Tableau!$A$40")</f>
        <v>215</v>
      </c>
      <c r="B4387" s="398" t="s">
        <v>480</v>
      </c>
      <c r="C4387" s="400" t="str">
        <f t="array" ref="C4387">INDIRECT("Tableau!$AY$40")</f>
        <v/>
      </c>
      <c r="D4387" s="400" t="str">
        <f t="shared" si="25"/>
        <v>OUT</v>
      </c>
      <c r="E4387" s="403" t="str">
        <f t="array" ref="E4387">INDIRECT("Tableau!$AZ$40")</f>
        <v/>
      </c>
    </row>
    <row r="4388">
      <c r="A4388" s="402">
        <f t="array" ref="A4388">INDIRECT("Tableau!$A$41")</f>
        <v>216</v>
      </c>
      <c r="B4388" s="398" t="s">
        <v>480</v>
      </c>
      <c r="C4388" s="400" t="str">
        <f t="array" ref="C4388">INDIRECT("Tableau!$AY$41")</f>
        <v/>
      </c>
      <c r="D4388" s="400" t="str">
        <f t="shared" si="25"/>
        <v>OUT</v>
      </c>
      <c r="E4388" s="403" t="str">
        <f t="array" ref="E4388">INDIRECT("Tableau!$AZ$41")</f>
        <v/>
      </c>
    </row>
    <row r="4389">
      <c r="A4389" s="402">
        <f t="array" ref="A4389">INDIRECT("Tableau!$A$42")</f>
        <v>227</v>
      </c>
      <c r="B4389" s="398" t="s">
        <v>480</v>
      </c>
      <c r="C4389" s="400" t="str">
        <f t="array" ref="C4389">INDIRECT("Tableau!$AY$42")</f>
        <v/>
      </c>
      <c r="D4389" s="400" t="str">
        <f t="shared" si="25"/>
        <v>OUT</v>
      </c>
      <c r="E4389" s="403" t="str">
        <f t="array" ref="E4389">INDIRECT("Tableau!$AZ$42")</f>
        <v/>
      </c>
    </row>
    <row r="4390">
      <c r="A4390" s="402">
        <f t="array" ref="A4390">INDIRECT("Tableau!$A$43")</f>
        <v>217</v>
      </c>
      <c r="B4390" s="398" t="s">
        <v>480</v>
      </c>
      <c r="C4390" s="400" t="str">
        <f t="array" ref="C4390">INDIRECT("Tableau!$AY$43")</f>
        <v/>
      </c>
      <c r="D4390" s="400" t="str">
        <f t="shared" si="25"/>
        <v>OUT</v>
      </c>
      <c r="E4390" s="403" t="str">
        <f t="array" ref="E4390">INDIRECT("Tableau!$AZ$43")</f>
        <v/>
      </c>
    </row>
    <row r="4391">
      <c r="A4391" s="402">
        <f t="array" ref="A4391">INDIRECT("Tableau!$A$44")</f>
        <v>218</v>
      </c>
      <c r="B4391" s="398" t="s">
        <v>480</v>
      </c>
      <c r="C4391" s="400" t="str">
        <f t="array" ref="C4391">INDIRECT("Tableau!$AY$44")</f>
        <v/>
      </c>
      <c r="D4391" s="400" t="str">
        <f t="shared" si="25"/>
        <v>OUT</v>
      </c>
      <c r="E4391" s="403" t="str">
        <f t="array" ref="E4391">INDIRECT("Tableau!$AZ$44")</f>
        <v/>
      </c>
    </row>
    <row r="4392">
      <c r="A4392" s="397" t="str">
        <f t="array" ref="A4392">INDIRECT("Tableau!$A$45")</f>
        <v/>
      </c>
      <c r="B4392" s="398" t="s">
        <v>480</v>
      </c>
      <c r="C4392" s="400" t="str">
        <f t="array" ref="C4392">INDIRECT("Tableau!$AY$45")</f>
        <v/>
      </c>
      <c r="D4392" s="400" t="str">
        <f t="shared" si="25"/>
        <v>OUT</v>
      </c>
      <c r="E4392" s="403" t="str">
        <f t="array" ref="E4392">INDIRECT("Tableau!$AZ$45")</f>
        <v/>
      </c>
    </row>
    <row r="4393">
      <c r="A4393" s="402">
        <f t="array" ref="A4393">INDIRECT("Tableau!$A$46")</f>
        <v>220</v>
      </c>
      <c r="B4393" s="398" t="s">
        <v>480</v>
      </c>
      <c r="C4393" s="400" t="str">
        <f t="array" ref="C4393">INDIRECT("Tableau!$AY$46")</f>
        <v/>
      </c>
      <c r="D4393" s="400" t="str">
        <f t="shared" si="25"/>
        <v>OUT</v>
      </c>
      <c r="E4393" s="403" t="str">
        <f t="array" ref="E4393">INDIRECT("Tableau!$AZ$46")</f>
        <v/>
      </c>
    </row>
    <row r="4394">
      <c r="A4394" s="402">
        <f t="array" ref="A4394">INDIRECT("Tableau!$A$47")</f>
        <v>221</v>
      </c>
      <c r="B4394" s="398" t="s">
        <v>480</v>
      </c>
      <c r="C4394" s="400" t="str">
        <f t="array" ref="C4394">INDIRECT("Tableau!$AY$47")</f>
        <v/>
      </c>
      <c r="D4394" s="400" t="str">
        <f t="shared" si="25"/>
        <v>OUT</v>
      </c>
      <c r="E4394" s="403" t="str">
        <f t="array" ref="E4394">INDIRECT("Tableau!$AZ$47")</f>
        <v/>
      </c>
    </row>
    <row r="4395">
      <c r="A4395" s="402">
        <f t="array" ref="A4395">INDIRECT("Tableau!$A$48")</f>
        <v>226</v>
      </c>
      <c r="B4395" s="398" t="s">
        <v>480</v>
      </c>
      <c r="C4395" s="400" t="str">
        <f t="array" ref="C4395">INDIRECT("Tableau!$AY$48")</f>
        <v/>
      </c>
      <c r="D4395" s="400" t="str">
        <f t="shared" si="25"/>
        <v>OUT</v>
      </c>
      <c r="E4395" s="403" t="str">
        <f t="array" ref="E4395">INDIRECT("Tableau!$AZ$48")</f>
        <v/>
      </c>
    </row>
    <row r="4396">
      <c r="A4396" s="402">
        <f t="array" ref="A4396">INDIRECT("Tableau!$A$49")</f>
        <v>222</v>
      </c>
      <c r="B4396" s="398" t="s">
        <v>480</v>
      </c>
      <c r="C4396" s="400" t="str">
        <f t="array" ref="C4396">INDIRECT("Tableau!$AY$49")</f>
        <v/>
      </c>
      <c r="D4396" s="400" t="str">
        <f t="shared" si="25"/>
        <v>OUT</v>
      </c>
      <c r="E4396" s="403" t="str">
        <f t="array" ref="E4396">INDIRECT("Tableau!$AZ$49")</f>
        <v/>
      </c>
    </row>
    <row r="4397">
      <c r="A4397" s="402">
        <f t="array" ref="A4397">INDIRECT("Tableau!$A$50")</f>
        <v>224</v>
      </c>
      <c r="B4397" s="398" t="s">
        <v>480</v>
      </c>
      <c r="C4397" s="400" t="str">
        <f t="array" ref="C4397">INDIRECT("Tableau!$AY$50")</f>
        <v/>
      </c>
      <c r="D4397" s="400" t="str">
        <f t="shared" si="25"/>
        <v>OUT</v>
      </c>
      <c r="E4397" s="403" t="str">
        <f t="array" ref="E4397">INDIRECT("Tableau!$AZ$50")</f>
        <v/>
      </c>
    </row>
    <row r="4398">
      <c r="A4398" s="397">
        <f t="array" ref="A4398">INDIRECT("Tableau!$A$51")</f>
        <v>223</v>
      </c>
      <c r="B4398" s="398" t="s">
        <v>480</v>
      </c>
      <c r="C4398" s="400" t="str">
        <f t="array" ref="C4398">INDIRECT("Tableau!$AY$51")</f>
        <v/>
      </c>
      <c r="D4398" s="400" t="str">
        <f t="shared" si="25"/>
        <v>OUT</v>
      </c>
      <c r="E4398" s="403" t="str">
        <f t="array" ref="E4398">INDIRECT("Tableau!$AZ$51")</f>
        <v/>
      </c>
    </row>
    <row r="4399">
      <c r="A4399" s="402">
        <f t="array" ref="A4399">INDIRECT("Tableau!$A$52")</f>
        <v>225</v>
      </c>
      <c r="B4399" s="398" t="s">
        <v>480</v>
      </c>
      <c r="C4399" s="400" t="str">
        <f t="array" ref="C4399">INDIRECT("Tableau!$AY$52")</f>
        <v/>
      </c>
      <c r="D4399" s="400" t="str">
        <f t="shared" si="25"/>
        <v>OUT</v>
      </c>
      <c r="E4399" s="403" t="str">
        <f t="array" ref="E4399">INDIRECT("Tableau!$AZ$52")</f>
        <v/>
      </c>
    </row>
    <row r="4400">
      <c r="A4400" s="402">
        <f t="array" ref="A4400">INDIRECT("Tableau!$A$53")</f>
        <v>230</v>
      </c>
      <c r="B4400" s="398" t="s">
        <v>480</v>
      </c>
      <c r="C4400" s="400" t="str">
        <f t="array" ref="C4400">INDIRECT("Tableau!$AY$53")</f>
        <v/>
      </c>
      <c r="D4400" s="400" t="str">
        <f t="shared" si="25"/>
        <v>OUT</v>
      </c>
      <c r="E4400" s="403" t="str">
        <f t="array" ref="E4400">INDIRECT("Tableau!$AZ$53")</f>
        <v/>
      </c>
    </row>
    <row r="4401">
      <c r="A4401" s="397">
        <f t="array" ref="A4401">INDIRECT("Tableau!$A$54")</f>
        <v>231</v>
      </c>
      <c r="B4401" s="398" t="s">
        <v>480</v>
      </c>
      <c r="C4401" s="400" t="str">
        <f t="array" ref="C4401">INDIRECT("Tableau!$AY$54")</f>
        <v/>
      </c>
      <c r="D4401" s="400" t="str">
        <f t="shared" si="25"/>
        <v>OUT</v>
      </c>
      <c r="E4401" s="403" t="str">
        <f t="array" ref="E4401">INDIRECT("Tableau!$AZ$54")</f>
        <v/>
      </c>
    </row>
    <row r="4402">
      <c r="A4402" s="397" t="str">
        <f t="array" ref="A4402">INDIRECT("Tableau!$A$55")</f>
        <v/>
      </c>
      <c r="B4402" s="398" t="s">
        <v>480</v>
      </c>
      <c r="C4402" s="400" t="str">
        <f t="array" ref="C4402">INDIRECT("Tableau!$AY$55")</f>
        <v/>
      </c>
      <c r="D4402" s="400" t="str">
        <f t="shared" si="25"/>
        <v>OUT</v>
      </c>
      <c r="E4402" s="403" t="str">
        <f t="array" ref="E4402">INDIRECT("Tableau!$AZ$55")</f>
        <v/>
      </c>
    </row>
    <row r="4403">
      <c r="A4403" s="397" t="str">
        <f t="array" ref="A4403">INDIRECT("Tableau!$A$56")</f>
        <v/>
      </c>
      <c r="B4403" s="398" t="s">
        <v>480</v>
      </c>
      <c r="C4403" s="400" t="str">
        <f t="array" ref="C4403">INDIRECT("Tableau!$AY$56")</f>
        <v/>
      </c>
      <c r="D4403" s="400" t="str">
        <f t="shared" si="25"/>
        <v>OUT</v>
      </c>
      <c r="E4403" s="403" t="str">
        <f t="array" ref="E4403">INDIRECT("Tableau!$AZ$56")</f>
        <v/>
      </c>
    </row>
    <row r="4404">
      <c r="A4404" s="397" t="str">
        <f t="array" ref="A4404">INDIRECT("Tableau!$A$57")</f>
        <v/>
      </c>
      <c r="B4404" s="398" t="s">
        <v>480</v>
      </c>
      <c r="C4404" s="400" t="str">
        <f t="array" ref="C4404">INDIRECT("Tableau!$AY$57")</f>
        <v/>
      </c>
      <c r="D4404" s="400" t="str">
        <f t="shared" si="25"/>
        <v>OUT</v>
      </c>
      <c r="E4404" s="403" t="str">
        <f t="array" ref="E4404">INDIRECT("Tableau!$AZ$57")</f>
        <v/>
      </c>
    </row>
    <row r="4405">
      <c r="A4405" s="397" t="str">
        <f t="array" ref="A4405">INDIRECT("Tableau!$A$58")</f>
        <v/>
      </c>
      <c r="B4405" s="398" t="s">
        <v>480</v>
      </c>
      <c r="C4405" s="400" t="str">
        <f t="array" ref="C4405">INDIRECT("Tableau!$AY$58")</f>
        <v/>
      </c>
      <c r="D4405" s="400" t="str">
        <f t="shared" si="25"/>
        <v>OUT</v>
      </c>
      <c r="E4405" s="403" t="str">
        <f t="array" ref="E4405">INDIRECT("Tableau!$AZ$58")</f>
        <v/>
      </c>
    </row>
    <row r="4406">
      <c r="A4406" s="397" t="str">
        <f t="array" ref="A4406">INDIRECT("Tableau!$A$59")</f>
        <v/>
      </c>
      <c r="B4406" s="398" t="s">
        <v>480</v>
      </c>
      <c r="C4406" s="400" t="str">
        <f t="array" ref="C4406">INDIRECT("Tableau!$AY$59")</f>
        <v/>
      </c>
      <c r="D4406" s="400" t="str">
        <f t="shared" si="25"/>
        <v>OUT</v>
      </c>
      <c r="E4406" s="403" t="str">
        <f t="array" ref="E4406">INDIRECT("Tableau!$AZ$59")</f>
        <v/>
      </c>
    </row>
    <row r="4407">
      <c r="A4407" s="397" t="str">
        <f t="array" ref="A4407">INDIRECT("Tableau!$A$60")</f>
        <v/>
      </c>
      <c r="B4407" s="398" t="s">
        <v>480</v>
      </c>
      <c r="C4407" s="400" t="str">
        <f t="array" ref="C4407">INDIRECT("Tableau!$AY$60")</f>
        <v/>
      </c>
      <c r="D4407" s="400" t="str">
        <f t="shared" si="25"/>
        <v>OUT</v>
      </c>
      <c r="E4407" s="403" t="str">
        <f t="array" ref="E4407">INDIRECT("Tableau!$AZ$60")</f>
        <v/>
      </c>
    </row>
    <row r="4408">
      <c r="A4408" s="397" t="str">
        <f t="array" ref="A4408">INDIRECT("Tableau!$A$61")</f>
        <v/>
      </c>
      <c r="B4408" s="398" t="s">
        <v>480</v>
      </c>
      <c r="C4408" s="400" t="str">
        <f t="array" ref="C4408">INDIRECT("Tableau!$AY$61")</f>
        <v/>
      </c>
      <c r="D4408" s="400" t="str">
        <f t="shared" si="25"/>
        <v>OUT</v>
      </c>
      <c r="E4408" s="403" t="str">
        <f t="array" ref="E4408">INDIRECT("Tableau!$AZ$61")</f>
        <v/>
      </c>
    </row>
    <row r="4409">
      <c r="A4409" s="397" t="str">
        <f t="array" ref="A4409">INDIRECT("Tableau!$A$62")</f>
        <v/>
      </c>
      <c r="B4409" s="398" t="s">
        <v>480</v>
      </c>
      <c r="C4409" s="400" t="str">
        <f t="array" ref="C4409">INDIRECT("Tableau!$AY$62")</f>
        <v/>
      </c>
      <c r="D4409" s="400" t="str">
        <f t="shared" si="25"/>
        <v>OUT</v>
      </c>
      <c r="E4409" s="403" t="str">
        <f t="array" ref="E4409">INDIRECT("Tableau!$AZ$62")</f>
        <v/>
      </c>
    </row>
    <row r="4410">
      <c r="A4410" s="397" t="str">
        <f t="array" ref="A4410">INDIRECT("Tableau!$A$63")</f>
        <v/>
      </c>
      <c r="B4410" s="398" t="s">
        <v>480</v>
      </c>
      <c r="C4410" s="400" t="str">
        <f t="array" ref="C4410">INDIRECT("Tableau!$AY$63")</f>
        <v/>
      </c>
      <c r="D4410" s="400" t="str">
        <f t="shared" si="25"/>
        <v>OUT</v>
      </c>
      <c r="E4410" s="403" t="str">
        <f t="array" ref="E4410">INDIRECT("Tableau!$AZ$63")</f>
        <v/>
      </c>
    </row>
    <row r="4411">
      <c r="A4411" s="397" t="str">
        <f t="array" ref="A4411">INDIRECT("Tableau!$A$64")</f>
        <v/>
      </c>
      <c r="B4411" s="398" t="s">
        <v>480</v>
      </c>
      <c r="C4411" s="400" t="str">
        <f t="array" ref="C4411">INDIRECT("Tableau!$AY$64")</f>
        <v/>
      </c>
      <c r="D4411" s="400" t="str">
        <f t="shared" si="25"/>
        <v>OUT</v>
      </c>
      <c r="E4411" s="403" t="str">
        <f t="array" ref="E4411">INDIRECT("Tableau!$AZ$64")</f>
        <v/>
      </c>
    </row>
    <row r="4412">
      <c r="A4412" s="402">
        <f t="array" ref="A4412">INDIRECT("Tableau!$A$65")</f>
        <v>301</v>
      </c>
      <c r="B4412" s="398" t="s">
        <v>480</v>
      </c>
      <c r="C4412" s="400" t="str">
        <f t="array" ref="C4412">INDIRECT("Tableau!$AY$65")</f>
        <v/>
      </c>
      <c r="D4412" s="400" t="str">
        <f t="shared" si="25"/>
        <v>OUT</v>
      </c>
      <c r="E4412" s="403" t="str">
        <f t="array" ref="E4412">INDIRECT("Tableau!$AZ$65")</f>
        <v/>
      </c>
    </row>
    <row r="4413">
      <c r="A4413" s="397" t="str">
        <f t="array" ref="A4413">INDIRECT("Tableau!$A$66")</f>
        <v/>
      </c>
      <c r="B4413" s="398" t="s">
        <v>480</v>
      </c>
      <c r="C4413" s="400" t="str">
        <f t="array" ref="C4413">INDIRECT("Tableau!$AY$66")</f>
        <v/>
      </c>
      <c r="D4413" s="400" t="str">
        <f t="shared" si="25"/>
        <v>OUT</v>
      </c>
      <c r="E4413" s="403" t="str">
        <f t="array" ref="E4413">INDIRECT("Tableau!$AZ$66")</f>
        <v/>
      </c>
    </row>
    <row r="4414">
      <c r="A4414" s="402">
        <f t="array" ref="A4414">INDIRECT("Tableau!$A$67")</f>
        <v>303</v>
      </c>
      <c r="B4414" s="398" t="s">
        <v>480</v>
      </c>
      <c r="C4414" s="400" t="str">
        <f t="array" ref="C4414">INDIRECT("Tableau!$AY$67")</f>
        <v/>
      </c>
      <c r="D4414" s="400" t="str">
        <f t="shared" si="25"/>
        <v>OUT</v>
      </c>
      <c r="E4414" s="403" t="str">
        <f t="array" ref="E4414">INDIRECT("Tableau!$AZ$67")</f>
        <v/>
      </c>
    </row>
    <row r="4415">
      <c r="A4415" s="402">
        <f t="array" ref="A4415">INDIRECT("Tableau!$A$68")</f>
        <v>304</v>
      </c>
      <c r="B4415" s="398" t="s">
        <v>480</v>
      </c>
      <c r="C4415" s="400" t="str">
        <f t="array" ref="C4415">INDIRECT("Tableau!$AY$68")</f>
        <v/>
      </c>
      <c r="D4415" s="400" t="str">
        <f t="shared" si="25"/>
        <v>OUT</v>
      </c>
      <c r="E4415" s="403" t="str">
        <f t="array" ref="E4415">INDIRECT("Tableau!$AZ$68")</f>
        <v/>
      </c>
    </row>
    <row r="4416">
      <c r="A4416" s="402">
        <f t="array" ref="A4416">INDIRECT("Tableau!$A$69")</f>
        <v>305</v>
      </c>
      <c r="B4416" s="398" t="s">
        <v>480</v>
      </c>
      <c r="C4416" s="400" t="str">
        <f t="array" ref="C4416">INDIRECT("Tableau!$AY$69")</f>
        <v/>
      </c>
      <c r="D4416" s="400" t="str">
        <f t="shared" si="25"/>
        <v>OUT</v>
      </c>
      <c r="E4416" s="403" t="str">
        <f t="array" ref="E4416">INDIRECT("Tableau!$AZ$69")</f>
        <v/>
      </c>
    </row>
    <row r="4417">
      <c r="A4417" s="402">
        <f t="array" ref="A4417">INDIRECT("Tableau!$A$70")</f>
        <v>306</v>
      </c>
      <c r="B4417" s="398" t="s">
        <v>480</v>
      </c>
      <c r="C4417" s="400" t="str">
        <f t="array" ref="C4417">INDIRECT("Tableau!$AY$70")</f>
        <v/>
      </c>
      <c r="D4417" s="400" t="str">
        <f t="shared" si="25"/>
        <v>OUT</v>
      </c>
      <c r="E4417" s="403" t="str">
        <f t="array" ref="E4417">INDIRECT("Tableau!$AZ$70")</f>
        <v/>
      </c>
    </row>
    <row r="4418">
      <c r="A4418" s="402">
        <f t="array" ref="A4418">INDIRECT("Tableau!$A$71")</f>
        <v>307</v>
      </c>
      <c r="B4418" s="398" t="s">
        <v>480</v>
      </c>
      <c r="C4418" s="400" t="str">
        <f t="array" ref="C4418">INDIRECT("Tableau!$AY$71")</f>
        <v/>
      </c>
      <c r="D4418" s="400" t="str">
        <f t="shared" si="25"/>
        <v>OUT</v>
      </c>
      <c r="E4418" s="403" t="str">
        <f t="array" ref="E4418">INDIRECT("Tableau!$AZ$71")</f>
        <v/>
      </c>
    </row>
    <row r="4419">
      <c r="A4419" s="397">
        <f t="array" ref="A4419">INDIRECT("Tableau!$A$72")</f>
        <v>367</v>
      </c>
      <c r="B4419" s="398" t="s">
        <v>480</v>
      </c>
      <c r="C4419" s="400" t="str">
        <f t="array" ref="C4419">INDIRECT("Tableau!$AY$72")</f>
        <v/>
      </c>
      <c r="D4419" s="400" t="str">
        <f t="shared" si="25"/>
        <v>OUT</v>
      </c>
      <c r="E4419" s="403" t="str">
        <f t="array" ref="E4419">INDIRECT("Tableau!$AZ$72")</f>
        <v/>
      </c>
    </row>
    <row r="4420">
      <c r="A4420" s="402">
        <f t="array" ref="A4420">INDIRECT("Tableau!$A$73")</f>
        <v>308</v>
      </c>
      <c r="B4420" s="398" t="s">
        <v>480</v>
      </c>
      <c r="C4420" s="400" t="str">
        <f t="array" ref="C4420">INDIRECT("Tableau!$AY$73")</f>
        <v/>
      </c>
      <c r="D4420" s="400" t="str">
        <f t="shared" si="25"/>
        <v>OUT</v>
      </c>
      <c r="E4420" s="403" t="str">
        <f t="array" ref="E4420">INDIRECT("Tableau!$AZ$73")</f>
        <v/>
      </c>
    </row>
    <row r="4421">
      <c r="A4421" s="397">
        <f t="array" ref="A4421">INDIRECT("Tableau!$A$74")</f>
        <v>319</v>
      </c>
      <c r="B4421" s="398" t="s">
        <v>480</v>
      </c>
      <c r="C4421" s="400" t="str">
        <f t="array" ref="C4421">INDIRECT("Tableau!$AY$74")</f>
        <v/>
      </c>
      <c r="D4421" s="400" t="str">
        <f t="shared" si="25"/>
        <v>OUT</v>
      </c>
      <c r="E4421" s="403" t="str">
        <f t="array" ref="E4421">INDIRECT("Tableau!$AZ$74")</f>
        <v/>
      </c>
    </row>
    <row r="4422">
      <c r="A4422" s="402">
        <f t="array" ref="A4422">INDIRECT("Tableau!$A$75")</f>
        <v>309</v>
      </c>
      <c r="B4422" s="398" t="s">
        <v>480</v>
      </c>
      <c r="C4422" s="400" t="str">
        <f t="array" ref="C4422">INDIRECT("Tableau!$AY$75")</f>
        <v/>
      </c>
      <c r="D4422" s="400" t="str">
        <f t="shared" si="25"/>
        <v>OUT</v>
      </c>
      <c r="E4422" s="403" t="str">
        <f t="array" ref="E4422">INDIRECT("Tableau!$AZ$75")</f>
        <v/>
      </c>
    </row>
    <row r="4423">
      <c r="A4423" s="402">
        <f t="array" ref="A4423">INDIRECT("Tableau!$A$76")</f>
        <v>310</v>
      </c>
      <c r="B4423" s="398" t="s">
        <v>480</v>
      </c>
      <c r="C4423" s="400" t="str">
        <f t="array" ref="C4423">INDIRECT("Tableau!$AY$76")</f>
        <v/>
      </c>
      <c r="D4423" s="400" t="str">
        <f t="shared" si="25"/>
        <v>OUT</v>
      </c>
      <c r="E4423" s="403" t="str">
        <f t="array" ref="E4423">INDIRECT("Tableau!$AZ$76")</f>
        <v/>
      </c>
    </row>
    <row r="4424">
      <c r="A4424" s="402">
        <f t="array" ref="A4424">INDIRECT("Tableau!$A$77")</f>
        <v>311</v>
      </c>
      <c r="B4424" s="398" t="s">
        <v>480</v>
      </c>
      <c r="C4424" s="400" t="str">
        <f t="array" ref="C4424">INDIRECT("Tableau!$AY$77")</f>
        <v/>
      </c>
      <c r="D4424" s="400" t="str">
        <f t="shared" si="25"/>
        <v>OUT</v>
      </c>
      <c r="E4424" s="403" t="str">
        <f t="array" ref="E4424">INDIRECT("Tableau!$AZ$77")</f>
        <v/>
      </c>
    </row>
    <row r="4425">
      <c r="A4425" s="402">
        <f t="array" ref="A4425">INDIRECT("Tableau!$A$78")</f>
        <v>312</v>
      </c>
      <c r="B4425" s="398" t="s">
        <v>480</v>
      </c>
      <c r="C4425" s="400" t="str">
        <f t="array" ref="C4425">INDIRECT("Tableau!$AY$78")</f>
        <v/>
      </c>
      <c r="D4425" s="400" t="str">
        <f t="shared" si="25"/>
        <v>OUT</v>
      </c>
      <c r="E4425" s="403" t="str">
        <f t="array" ref="E4425">INDIRECT("Tableau!$AZ$78")</f>
        <v/>
      </c>
    </row>
    <row r="4426">
      <c r="A4426" s="402">
        <f t="array" ref="A4426">INDIRECT("Tableau!$A$79")</f>
        <v>313</v>
      </c>
      <c r="B4426" s="398" t="s">
        <v>480</v>
      </c>
      <c r="C4426" s="400" t="str">
        <f t="array" ref="C4426">INDIRECT("Tableau!$AY$79")</f>
        <v/>
      </c>
      <c r="D4426" s="400" t="str">
        <f t="shared" si="25"/>
        <v>OUT</v>
      </c>
      <c r="E4426" s="403" t="str">
        <f t="array" ref="E4426">INDIRECT("Tableau!$AZ$79")</f>
        <v/>
      </c>
    </row>
    <row r="4427">
      <c r="A4427" s="402">
        <f t="array" ref="A4427">INDIRECT("Tableau!$A$80")</f>
        <v>314</v>
      </c>
      <c r="B4427" s="398" t="s">
        <v>480</v>
      </c>
      <c r="C4427" s="400" t="str">
        <f t="array" ref="C4427">INDIRECT("Tableau!$AY$80")</f>
        <v/>
      </c>
      <c r="D4427" s="400" t="str">
        <f t="shared" si="25"/>
        <v>OUT</v>
      </c>
      <c r="E4427" s="403" t="str">
        <f t="array" ref="E4427">INDIRECT("Tableau!$AZ$80")</f>
        <v/>
      </c>
    </row>
    <row r="4428">
      <c r="A4428" s="402">
        <f t="array" ref="A4428">INDIRECT("Tableau!$A$81")</f>
        <v>315</v>
      </c>
      <c r="B4428" s="398" t="s">
        <v>480</v>
      </c>
      <c r="C4428" s="400" t="str">
        <f t="array" ref="C4428">INDIRECT("Tableau!$AY$81")</f>
        <v/>
      </c>
      <c r="D4428" s="400" t="str">
        <f t="shared" si="25"/>
        <v>OUT</v>
      </c>
      <c r="E4428" s="403" t="str">
        <f t="array" ref="E4428">INDIRECT("Tableau!$AZ$81")</f>
        <v/>
      </c>
    </row>
    <row r="4429">
      <c r="A4429" s="402">
        <f t="array" ref="A4429">INDIRECT("Tableau!$A$82")</f>
        <v>316</v>
      </c>
      <c r="B4429" s="398" t="s">
        <v>480</v>
      </c>
      <c r="C4429" s="400" t="str">
        <f t="array" ref="C4429">INDIRECT("Tableau!$AY$82")</f>
        <v/>
      </c>
      <c r="D4429" s="400" t="str">
        <f t="shared" si="25"/>
        <v>OUT</v>
      </c>
      <c r="E4429" s="403" t="str">
        <f t="array" ref="E4429">INDIRECT("Tableau!$AZ$82")</f>
        <v/>
      </c>
    </row>
    <row r="4430">
      <c r="A4430" s="402">
        <f t="array" ref="A4430">INDIRECT("Tableau!$A$83")</f>
        <v>317</v>
      </c>
      <c r="B4430" s="398" t="s">
        <v>480</v>
      </c>
      <c r="C4430" s="400" t="str">
        <f t="array" ref="C4430">INDIRECT("Tableau!$AY$83")</f>
        <v/>
      </c>
      <c r="D4430" s="400" t="str">
        <f t="shared" si="25"/>
        <v>OUT</v>
      </c>
      <c r="E4430" s="403" t="str">
        <f t="array" ref="E4430">INDIRECT("Tableau!$AZ$83")</f>
        <v/>
      </c>
    </row>
    <row r="4431">
      <c r="A4431" s="402">
        <f t="array" ref="A4431">INDIRECT("Tableau!$A$84")</f>
        <v>318</v>
      </c>
      <c r="B4431" s="398" t="s">
        <v>480</v>
      </c>
      <c r="C4431" s="400" t="str">
        <f t="array" ref="C4431">INDIRECT("Tableau!$AY$84")</f>
        <v/>
      </c>
      <c r="D4431" s="400" t="str">
        <f t="shared" si="25"/>
        <v>OUT</v>
      </c>
      <c r="E4431" s="403" t="str">
        <f t="array" ref="E4431">INDIRECT("Tableau!$AZ$84")</f>
        <v/>
      </c>
    </row>
    <row r="4432">
      <c r="A4432" s="402">
        <f t="array" ref="A4432">INDIRECT("Tableau!$A$85")</f>
        <v>320</v>
      </c>
      <c r="B4432" s="398" t="s">
        <v>480</v>
      </c>
      <c r="C4432" s="400" t="str">
        <f t="array" ref="C4432">INDIRECT("Tableau!$AY$85")</f>
        <v/>
      </c>
      <c r="D4432" s="400" t="str">
        <f t="shared" si="25"/>
        <v>OUT</v>
      </c>
      <c r="E4432" s="403" t="str">
        <f t="array" ref="E4432">INDIRECT("Tableau!$AZ$85")</f>
        <v/>
      </c>
    </row>
    <row r="4433">
      <c r="A4433" s="402">
        <f t="array" ref="A4433">INDIRECT("Tableau!$A$86")</f>
        <v>321</v>
      </c>
      <c r="B4433" s="398" t="s">
        <v>480</v>
      </c>
      <c r="C4433" s="400" t="str">
        <f t="array" ref="C4433">INDIRECT("Tableau!$AY$86")</f>
        <v/>
      </c>
      <c r="D4433" s="400" t="str">
        <f t="shared" si="25"/>
        <v>OUT</v>
      </c>
      <c r="E4433" s="403" t="str">
        <f t="array" ref="E4433">INDIRECT("Tableau!$AZ$86")</f>
        <v/>
      </c>
    </row>
    <row r="4434">
      <c r="A4434" s="397" t="str">
        <f t="array" ref="A4434">INDIRECT("Tableau!$A$87")</f>
        <v/>
      </c>
      <c r="B4434" s="398" t="s">
        <v>480</v>
      </c>
      <c r="C4434" s="400" t="str">
        <f t="array" ref="C4434">INDIRECT("Tableau!$AY$87")</f>
        <v/>
      </c>
      <c r="D4434" s="400" t="str">
        <f t="shared" si="25"/>
        <v>OUT</v>
      </c>
      <c r="E4434" s="403" t="str">
        <f t="array" ref="E4434">INDIRECT("Tableau!$AZ$87")</f>
        <v/>
      </c>
    </row>
    <row r="4435">
      <c r="A4435" s="402">
        <f t="array" ref="A4435">INDIRECT("Tableau!$A$88")</f>
        <v>323</v>
      </c>
      <c r="B4435" s="398" t="s">
        <v>480</v>
      </c>
      <c r="C4435" s="400" t="str">
        <f t="array" ref="C4435">INDIRECT("Tableau!$AY$88")</f>
        <v/>
      </c>
      <c r="D4435" s="400" t="str">
        <f t="shared" si="25"/>
        <v>OUT</v>
      </c>
      <c r="E4435" s="403" t="str">
        <f t="array" ref="E4435">INDIRECT("Tableau!$AZ$88")</f>
        <v/>
      </c>
    </row>
    <row r="4436">
      <c r="A4436" s="402">
        <f t="array" ref="A4436">INDIRECT("Tableau!$A$89")</f>
        <v>324</v>
      </c>
      <c r="B4436" s="398" t="s">
        <v>480</v>
      </c>
      <c r="C4436" s="400" t="str">
        <f t="array" ref="C4436">INDIRECT("Tableau!$AY$89")</f>
        <v/>
      </c>
      <c r="D4436" s="400" t="str">
        <f t="shared" si="25"/>
        <v>OUT</v>
      </c>
      <c r="E4436" s="403" t="str">
        <f t="array" ref="E4436">INDIRECT("Tableau!$AZ$89")</f>
        <v/>
      </c>
    </row>
    <row r="4437">
      <c r="A4437" s="402">
        <f t="array" ref="A4437">INDIRECT("Tableau!$A$90")</f>
        <v>325</v>
      </c>
      <c r="B4437" s="398" t="s">
        <v>480</v>
      </c>
      <c r="C4437" s="400" t="str">
        <f t="array" ref="C4437">INDIRECT("Tableau!$AY$90")</f>
        <v>DEMA</v>
      </c>
      <c r="D4437" s="400" t="str">
        <f t="shared" si="25"/>
        <v>OUT</v>
      </c>
      <c r="E4437" s="403" t="str">
        <f t="array" ref="E4437">INDIRECT("Tableau!$AZ$90")</f>
        <v/>
      </c>
    </row>
    <row r="4438">
      <c r="A4438" s="402">
        <f t="array" ref="A4438">INDIRECT("Tableau!$A$91")</f>
        <v>326</v>
      </c>
      <c r="B4438" s="398" t="s">
        <v>480</v>
      </c>
      <c r="C4438" s="400" t="str">
        <f t="array" ref="C4438">INDIRECT("Tableau!$AY$91")</f>
        <v/>
      </c>
      <c r="D4438" s="400" t="str">
        <f t="shared" si="25"/>
        <v>OUT</v>
      </c>
      <c r="E4438" s="403" t="str">
        <f t="array" ref="E4438">INDIRECT("Tableau!$AZ$91")</f>
        <v/>
      </c>
    </row>
    <row r="4439">
      <c r="A4439" s="402">
        <f t="array" ref="A4439">INDIRECT("Tableau!$A$92")</f>
        <v>327</v>
      </c>
      <c r="B4439" s="398" t="s">
        <v>480</v>
      </c>
      <c r="C4439" s="400" t="str">
        <f t="array" ref="C4439">INDIRECT("Tableau!$AY$92")</f>
        <v/>
      </c>
      <c r="D4439" s="400" t="str">
        <f t="shared" si="25"/>
        <v>OUT</v>
      </c>
      <c r="E4439" s="403" t="str">
        <f t="array" ref="E4439">INDIRECT("Tableau!$AZ$92")</f>
        <v/>
      </c>
    </row>
    <row r="4440">
      <c r="A4440" s="402">
        <f t="array" ref="A4440">INDIRECT("Tableau!$A$93")</f>
        <v>328</v>
      </c>
      <c r="B4440" s="398" t="s">
        <v>480</v>
      </c>
      <c r="C4440" s="400" t="str">
        <f t="array" ref="C4440">INDIRECT("Tableau!$AY$93")</f>
        <v/>
      </c>
      <c r="D4440" s="400" t="str">
        <f t="shared" si="25"/>
        <v>OUT</v>
      </c>
      <c r="E4440" s="403" t="str">
        <f t="array" ref="E4440">INDIRECT("Tableau!$AZ$93")</f>
        <v/>
      </c>
    </row>
    <row r="4441">
      <c r="A4441" s="402">
        <f t="array" ref="A4441">INDIRECT("Tableau!$A$94")</f>
        <v>329</v>
      </c>
      <c r="B4441" s="398" t="s">
        <v>480</v>
      </c>
      <c r="C4441" s="400" t="str">
        <f t="array" ref="C4441">INDIRECT("Tableau!$AY$94")</f>
        <v/>
      </c>
      <c r="D4441" s="400" t="str">
        <f t="shared" si="25"/>
        <v>OUT</v>
      </c>
      <c r="E4441" s="403" t="str">
        <f t="array" ref="E4441">INDIRECT("Tableau!$AZ$94")</f>
        <v/>
      </c>
    </row>
    <row r="4442">
      <c r="A4442" s="402">
        <f t="array" ref="A4442">INDIRECT("Tableau!$A$95")</f>
        <v>330</v>
      </c>
      <c r="B4442" s="398" t="s">
        <v>480</v>
      </c>
      <c r="C4442" s="400" t="str">
        <f t="array" ref="C4442">INDIRECT("Tableau!$AY$95")</f>
        <v/>
      </c>
      <c r="D4442" s="400" t="str">
        <f t="shared" si="25"/>
        <v>OUT</v>
      </c>
      <c r="E4442" s="403" t="str">
        <f t="array" ref="E4442">INDIRECT("Tableau!$AZ$95")</f>
        <v/>
      </c>
    </row>
    <row r="4443">
      <c r="A4443" s="402">
        <f t="array" ref="A4443">INDIRECT("Tableau!$A$96")</f>
        <v>331</v>
      </c>
      <c r="B4443" s="398" t="s">
        <v>480</v>
      </c>
      <c r="C4443" s="400" t="str">
        <f t="array" ref="C4443">INDIRECT("Tableau!$AY$96")</f>
        <v/>
      </c>
      <c r="D4443" s="400" t="str">
        <f t="shared" si="25"/>
        <v>OUT</v>
      </c>
      <c r="E4443" s="403" t="str">
        <f t="array" ref="E4443">INDIRECT("Tableau!$AZ$96")</f>
        <v/>
      </c>
    </row>
    <row r="4444">
      <c r="A4444" s="402">
        <f t="array" ref="A4444">INDIRECT("Tableau!$A$97")</f>
        <v>332</v>
      </c>
      <c r="B4444" s="398" t="s">
        <v>480</v>
      </c>
      <c r="C4444" s="400" t="str">
        <f t="array" ref="C4444">INDIRECT("Tableau!$AY$97")</f>
        <v/>
      </c>
      <c r="D4444" s="400" t="str">
        <f t="shared" si="25"/>
        <v>OUT</v>
      </c>
      <c r="E4444" s="403" t="str">
        <f t="array" ref="E4444">INDIRECT("Tableau!$AZ$97")</f>
        <v/>
      </c>
    </row>
    <row r="4445">
      <c r="A4445" s="402">
        <f t="array" ref="A4445">INDIRECT("Tableau!$A$98")</f>
        <v>333</v>
      </c>
      <c r="B4445" s="398" t="s">
        <v>480</v>
      </c>
      <c r="C4445" s="400" t="str">
        <f t="array" ref="C4445">INDIRECT("Tableau!$AY$98")</f>
        <v/>
      </c>
      <c r="D4445" s="400" t="str">
        <f t="shared" si="25"/>
        <v>OUT</v>
      </c>
      <c r="E4445" s="403" t="str">
        <f t="array" ref="E4445">INDIRECT("Tableau!$AZ$98")</f>
        <v/>
      </c>
    </row>
    <row r="4446">
      <c r="A4446" s="402">
        <f t="array" ref="A4446">INDIRECT("Tableau!$A$99")</f>
        <v>334</v>
      </c>
      <c r="B4446" s="398" t="s">
        <v>480</v>
      </c>
      <c r="C4446" s="400" t="str">
        <f t="array" ref="C4446">INDIRECT("Tableau!$AY$99")</f>
        <v>Bloqué</v>
      </c>
      <c r="D4446" s="400" t="str">
        <f t="shared" si="25"/>
        <v>OUT</v>
      </c>
      <c r="E4446" s="403" t="str">
        <f t="array" ref="E4446">INDIRECT("Tableau!$AZ$99")</f>
        <v/>
      </c>
    </row>
    <row r="4447">
      <c r="A4447" s="402">
        <f t="array" ref="A4447">INDIRECT("Tableau!$A$100")</f>
        <v>335</v>
      </c>
      <c r="B4447" s="398" t="s">
        <v>480</v>
      </c>
      <c r="C4447" s="400" t="str">
        <f t="array" ref="C4447">INDIRECT("Tableau!$AY$100")</f>
        <v/>
      </c>
      <c r="D4447" s="400" t="str">
        <f t="shared" si="25"/>
        <v>OUT</v>
      </c>
      <c r="E4447" s="403" t="str">
        <f t="array" ref="E4447">INDIRECT("Tableau!$AZ$100")</f>
        <v/>
      </c>
    </row>
    <row r="4448">
      <c r="A4448" s="402">
        <f t="array" ref="A4448">INDIRECT("Tableau!$A$101")</f>
        <v>336</v>
      </c>
      <c r="B4448" s="398" t="s">
        <v>480</v>
      </c>
      <c r="C4448" s="400" t="str">
        <f t="array" ref="C4448">INDIRECT("Tableau!$AY$101")</f>
        <v/>
      </c>
      <c r="D4448" s="400" t="str">
        <f t="shared" si="25"/>
        <v>OUT</v>
      </c>
      <c r="E4448" s="403" t="str">
        <f t="array" ref="E4448">INDIRECT("Tableau!$AZ$101")</f>
        <v/>
      </c>
    </row>
    <row r="4449">
      <c r="A4449" s="402">
        <f t="array" ref="A4449">INDIRECT("Tableau!$A$102")</f>
        <v>337</v>
      </c>
      <c r="B4449" s="398" t="s">
        <v>480</v>
      </c>
      <c r="C4449" s="400" t="str">
        <f t="array" ref="C4449">INDIRECT("Tableau!$AY$102")</f>
        <v/>
      </c>
      <c r="D4449" s="400" t="str">
        <f t="shared" si="25"/>
        <v>OUT</v>
      </c>
      <c r="E4449" s="403" t="str">
        <f t="array" ref="E4449">INDIRECT("Tableau!$AZ$102")</f>
        <v/>
      </c>
    </row>
    <row r="4450">
      <c r="A4450" s="402">
        <f t="array" ref="A4450">INDIRECT("Tableau!$A$103")</f>
        <v>338</v>
      </c>
      <c r="B4450" s="398" t="s">
        <v>480</v>
      </c>
      <c r="C4450" s="400" t="str">
        <f t="array" ref="C4450">INDIRECT("Tableau!$AY$103")</f>
        <v/>
      </c>
      <c r="D4450" s="400" t="str">
        <f t="shared" si="25"/>
        <v>OUT</v>
      </c>
      <c r="E4450" s="403" t="str">
        <f t="array" ref="E4450">INDIRECT("Tableau!$AZ$103")</f>
        <v/>
      </c>
    </row>
    <row r="4451">
      <c r="A4451" s="402">
        <f t="array" ref="A4451">INDIRECT("Tableau!$A$104")</f>
        <v>339</v>
      </c>
      <c r="B4451" s="398" t="s">
        <v>480</v>
      </c>
      <c r="C4451" s="400" t="str">
        <f t="array" ref="C4451">INDIRECT("Tableau!$AY$104")</f>
        <v/>
      </c>
      <c r="D4451" s="400" t="str">
        <f t="shared" si="25"/>
        <v>OUT</v>
      </c>
      <c r="E4451" s="403" t="str">
        <f t="array" ref="E4451">INDIRECT("Tableau!$AZ$104")</f>
        <v/>
      </c>
    </row>
    <row r="4452">
      <c r="A4452" s="402">
        <f t="array" ref="A4452">INDIRECT("Tableau!$A$105")</f>
        <v>340</v>
      </c>
      <c r="B4452" s="398" t="s">
        <v>480</v>
      </c>
      <c r="C4452" s="400" t="str">
        <f t="array" ref="C4452">INDIRECT("Tableau!$AY$105")</f>
        <v/>
      </c>
      <c r="D4452" s="400" t="str">
        <f t="shared" si="25"/>
        <v>OUT</v>
      </c>
      <c r="E4452" s="403" t="str">
        <f t="array" ref="E4452">INDIRECT("Tableau!$AZ$105")</f>
        <v/>
      </c>
    </row>
    <row r="4453">
      <c r="A4453" s="402">
        <f t="array" ref="A4453">INDIRECT("Tableau!$A$106")</f>
        <v>341</v>
      </c>
      <c r="B4453" s="398" t="s">
        <v>480</v>
      </c>
      <c r="C4453" s="400" t="str">
        <f t="array" ref="C4453">INDIRECT("Tableau!$AY$106")</f>
        <v/>
      </c>
      <c r="D4453" s="400" t="str">
        <f t="shared" si="25"/>
        <v>OUT</v>
      </c>
      <c r="E4453" s="403" t="str">
        <f t="array" ref="E4453">INDIRECT("Tableau!$AZ$106")</f>
        <v/>
      </c>
    </row>
    <row r="4454">
      <c r="A4454" s="402">
        <f t="array" ref="A4454">INDIRECT("Tableau!$A$107")</f>
        <v>365</v>
      </c>
      <c r="B4454" s="398" t="s">
        <v>480</v>
      </c>
      <c r="C4454" s="400" t="str">
        <f t="array" ref="C4454">INDIRECT("Tableau!$AY$107")</f>
        <v/>
      </c>
      <c r="D4454" s="400" t="str">
        <f t="shared" si="25"/>
        <v>OUT</v>
      </c>
      <c r="E4454" s="403" t="str">
        <f t="array" ref="E4454">INDIRECT("Tableau!$AZ$107")</f>
        <v/>
      </c>
    </row>
    <row r="4455">
      <c r="A4455" s="402">
        <f t="array" ref="A4455">INDIRECT("Tableau!$A$108")</f>
        <v>342</v>
      </c>
      <c r="B4455" s="398" t="s">
        <v>480</v>
      </c>
      <c r="C4455" s="400" t="str">
        <f t="array" ref="C4455">INDIRECT("Tableau!$AY$108")</f>
        <v/>
      </c>
      <c r="D4455" s="400" t="str">
        <f t="shared" si="25"/>
        <v>OUT</v>
      </c>
      <c r="E4455" s="403" t="str">
        <f t="array" ref="E4455">INDIRECT("Tableau!$AZ$108")</f>
        <v/>
      </c>
    </row>
    <row r="4456">
      <c r="A4456" s="402">
        <f t="array" ref="A4456">INDIRECT("Tableau!$A$109")</f>
        <v>343</v>
      </c>
      <c r="B4456" s="398" t="s">
        <v>480</v>
      </c>
      <c r="C4456" s="400" t="str">
        <f t="array" ref="C4456">INDIRECT("Tableau!$AY$109")</f>
        <v/>
      </c>
      <c r="D4456" s="400" t="str">
        <f t="shared" si="25"/>
        <v>OUT</v>
      </c>
      <c r="E4456" s="403" t="str">
        <f t="array" ref="E4456">INDIRECT("Tableau!$AZ$109")</f>
        <v/>
      </c>
    </row>
    <row r="4457">
      <c r="A4457" s="402">
        <f t="array" ref="A4457">INDIRECT("Tableau!$A$110")</f>
        <v>344</v>
      </c>
      <c r="B4457" s="398" t="s">
        <v>480</v>
      </c>
      <c r="C4457" s="400" t="str">
        <f t="array" ref="C4457">INDIRECT("Tableau!$AY$110")</f>
        <v/>
      </c>
      <c r="D4457" s="400" t="str">
        <f t="shared" si="25"/>
        <v>OUT</v>
      </c>
      <c r="E4457" s="403" t="str">
        <f t="array" ref="E4457">INDIRECT("Tableau!$AZ$110")</f>
        <v/>
      </c>
    </row>
    <row r="4458">
      <c r="A4458" s="402">
        <f t="array" ref="A4458">INDIRECT("Tableau!$A$111")</f>
        <v>363</v>
      </c>
      <c r="B4458" s="398" t="s">
        <v>480</v>
      </c>
      <c r="C4458" s="400" t="str">
        <f t="array" ref="C4458">INDIRECT("Tableau!$AY$111")</f>
        <v>DPS</v>
      </c>
      <c r="D4458" s="400" t="str">
        <f t="shared" si="25"/>
        <v>OUT</v>
      </c>
      <c r="E4458" s="403" t="str">
        <f t="array" ref="E4458">INDIRECT("Tableau!$AZ$111")</f>
        <v/>
      </c>
    </row>
    <row r="4459">
      <c r="A4459" s="402">
        <f t="array" ref="A4459">INDIRECT("Tableau!$A$112")</f>
        <v>345</v>
      </c>
      <c r="B4459" s="398" t="s">
        <v>480</v>
      </c>
      <c r="C4459" s="400" t="str">
        <f t="array" ref="C4459">INDIRECT("Tableau!$AY$112")</f>
        <v/>
      </c>
      <c r="D4459" s="400" t="str">
        <f t="shared" si="25"/>
        <v>OUT</v>
      </c>
      <c r="E4459" s="403" t="str">
        <f t="array" ref="E4459">INDIRECT("Tableau!$AZ$112")</f>
        <v/>
      </c>
    </row>
    <row r="4460">
      <c r="A4460" s="402">
        <f t="array" ref="A4460">INDIRECT("Tableau!$A$113")</f>
        <v>346</v>
      </c>
      <c r="B4460" s="398" t="s">
        <v>480</v>
      </c>
      <c r="C4460" s="400" t="str">
        <f t="array" ref="C4460">INDIRECT("Tableau!$AY$113")</f>
        <v/>
      </c>
      <c r="D4460" s="400" t="str">
        <f t="shared" si="25"/>
        <v>OUT</v>
      </c>
      <c r="E4460" s="403" t="str">
        <f t="array" ref="E4460">INDIRECT("Tableau!$AZ$113")</f>
        <v/>
      </c>
    </row>
    <row r="4461">
      <c r="A4461" s="402">
        <f t="array" ref="A4461">INDIRECT("Tableau!$A$114")</f>
        <v>359</v>
      </c>
      <c r="B4461" s="398" t="s">
        <v>480</v>
      </c>
      <c r="C4461" s="400" t="str">
        <f t="array" ref="C4461">INDIRECT("Tableau!$AY$114")</f>
        <v/>
      </c>
      <c r="D4461" s="400" t="str">
        <f t="shared" si="25"/>
        <v>OUT</v>
      </c>
      <c r="E4461" s="403" t="str">
        <f t="array" ref="E4461">INDIRECT("Tableau!$AZ$114")</f>
        <v/>
      </c>
    </row>
    <row r="4462">
      <c r="A4462" s="402">
        <f t="array" ref="A4462">INDIRECT("Tableau!$A$115")</f>
        <v>360</v>
      </c>
      <c r="B4462" s="398" t="s">
        <v>480</v>
      </c>
      <c r="C4462" s="400" t="str">
        <f t="array" ref="C4462">INDIRECT("Tableau!$AY$115")</f>
        <v/>
      </c>
      <c r="D4462" s="400" t="str">
        <f t="shared" si="25"/>
        <v>OUT</v>
      </c>
      <c r="E4462" s="403" t="str">
        <f t="array" ref="E4462">INDIRECT("Tableau!$AZ$115")</f>
        <v/>
      </c>
    </row>
    <row r="4463">
      <c r="A4463" s="402">
        <f t="array" ref="A4463">INDIRECT("Tableau!$A$116")</f>
        <v>361</v>
      </c>
      <c r="B4463" s="398" t="s">
        <v>480</v>
      </c>
      <c r="C4463" s="400" t="str">
        <f t="array" ref="C4463">INDIRECT("Tableau!$AY$116")</f>
        <v/>
      </c>
      <c r="D4463" s="400" t="str">
        <f t="shared" si="25"/>
        <v>OUT</v>
      </c>
      <c r="E4463" s="403" t="str">
        <f t="array" ref="E4463">INDIRECT("Tableau!$AZ$116")</f>
        <v/>
      </c>
    </row>
    <row r="4464">
      <c r="A4464" s="397" t="str">
        <f t="array" ref="A4464">INDIRECT("Tableau!$A$117")</f>
        <v/>
      </c>
      <c r="B4464" s="398" t="s">
        <v>480</v>
      </c>
      <c r="C4464" s="400" t="str">
        <f t="array" ref="C4464">INDIRECT("Tableau!$AY$117")</f>
        <v/>
      </c>
      <c r="D4464" s="400" t="str">
        <f t="shared" si="25"/>
        <v>OUT</v>
      </c>
      <c r="E4464" s="403" t="str">
        <f t="array" ref="E4464">INDIRECT("Tableau!$AZ$117")</f>
        <v/>
      </c>
    </row>
    <row r="4465">
      <c r="A4465" s="402">
        <f t="array" ref="A4465">INDIRECT("Tableau!$A$118")</f>
        <v>347</v>
      </c>
      <c r="B4465" s="398" t="s">
        <v>480</v>
      </c>
      <c r="C4465" s="400" t="str">
        <f t="array" ref="C4465">INDIRECT("Tableau!$AY$118")</f>
        <v/>
      </c>
      <c r="D4465" s="400" t="str">
        <f t="shared" si="25"/>
        <v>OUT</v>
      </c>
      <c r="E4465" s="403" t="str">
        <f t="array" ref="E4465">INDIRECT("Tableau!$AZ$118")</f>
        <v/>
      </c>
    </row>
    <row r="4466">
      <c r="A4466" s="402">
        <f t="array" ref="A4466">INDIRECT("Tableau!$A$119")</f>
        <v>348</v>
      </c>
      <c r="B4466" s="398" t="s">
        <v>480</v>
      </c>
      <c r="C4466" s="400" t="str">
        <f t="array" ref="C4466">INDIRECT("Tableau!$AY$119")</f>
        <v/>
      </c>
      <c r="D4466" s="400" t="str">
        <f t="shared" si="25"/>
        <v>OUT</v>
      </c>
      <c r="E4466" s="403" t="str">
        <f t="array" ref="E4466">INDIRECT("Tableau!$AZ$119")</f>
        <v/>
      </c>
    </row>
    <row r="4467">
      <c r="A4467" s="402">
        <f t="array" ref="A4467">INDIRECT("Tableau!$A$120")</f>
        <v>349</v>
      </c>
      <c r="B4467" s="398" t="s">
        <v>480</v>
      </c>
      <c r="C4467" s="400" t="str">
        <f t="array" ref="C4467">INDIRECT("Tableau!$AY$120")</f>
        <v/>
      </c>
      <c r="D4467" s="400" t="str">
        <f t="shared" si="25"/>
        <v>OUT</v>
      </c>
      <c r="E4467" s="403" t="str">
        <f t="array" ref="E4467">INDIRECT("Tableau!$AZ$120")</f>
        <v/>
      </c>
    </row>
    <row r="4468">
      <c r="A4468" s="402">
        <f t="array" ref="A4468">INDIRECT("Tableau!$A$121")</f>
        <v>350</v>
      </c>
      <c r="B4468" s="398" t="s">
        <v>480</v>
      </c>
      <c r="C4468" s="400" t="str">
        <f t="array" ref="C4468">INDIRECT("Tableau!$AY$121")</f>
        <v>DEMA</v>
      </c>
      <c r="D4468" s="400" t="str">
        <f t="shared" si="25"/>
        <v>OUT</v>
      </c>
      <c r="E4468" s="403" t="str">
        <f t="array" ref="E4468">INDIRECT("Tableau!$AZ$121")</f>
        <v/>
      </c>
    </row>
    <row r="4469">
      <c r="A4469" s="402">
        <f t="array" ref="A4469">INDIRECT("Tableau!$A$122")</f>
        <v>351</v>
      </c>
      <c r="B4469" s="398" t="s">
        <v>480</v>
      </c>
      <c r="C4469" s="400" t="str">
        <f t="array" ref="C4469">INDIRECT("Tableau!$AY$122")</f>
        <v/>
      </c>
      <c r="D4469" s="400" t="str">
        <f t="shared" si="25"/>
        <v>OUT</v>
      </c>
      <c r="E4469" s="403" t="str">
        <f t="array" ref="E4469">INDIRECT("Tableau!$AZ$122")</f>
        <v/>
      </c>
    </row>
    <row r="4470">
      <c r="A4470" s="402">
        <f t="array" ref="A4470">INDIRECT("Tableau!$A$123")</f>
        <v>352</v>
      </c>
      <c r="B4470" s="398" t="s">
        <v>480</v>
      </c>
      <c r="C4470" s="400" t="str">
        <f t="array" ref="C4470">INDIRECT("Tableau!$AY$123")</f>
        <v/>
      </c>
      <c r="D4470" s="400" t="str">
        <f t="shared" si="25"/>
        <v>OUT</v>
      </c>
      <c r="E4470" s="403" t="str">
        <f t="array" ref="E4470">INDIRECT("Tableau!$AZ$123")</f>
        <v/>
      </c>
    </row>
    <row r="4471">
      <c r="A4471" s="402">
        <f t="array" ref="A4471">INDIRECT("Tableau!$A$124")</f>
        <v>353</v>
      </c>
      <c r="B4471" s="398" t="s">
        <v>480</v>
      </c>
      <c r="C4471" s="400" t="str">
        <f t="array" ref="C4471">INDIRECT("Tableau!$AY$124")</f>
        <v/>
      </c>
      <c r="D4471" s="400" t="str">
        <f t="shared" si="25"/>
        <v>OUT</v>
      </c>
      <c r="E4471" s="403" t="str">
        <f t="array" ref="E4471">INDIRECT("Tableau!$AZ$124")</f>
        <v/>
      </c>
    </row>
    <row r="4472">
      <c r="A4472" s="397" t="str">
        <f t="array" ref="A4472">INDIRECT("Tableau!$A$125")</f>
        <v/>
      </c>
      <c r="B4472" s="398" t="s">
        <v>480</v>
      </c>
      <c r="C4472" s="400" t="str">
        <f t="array" ref="C4472">INDIRECT("Tableau!$AY$125")</f>
        <v/>
      </c>
      <c r="D4472" s="400" t="str">
        <f t="shared" si="25"/>
        <v>OUT</v>
      </c>
      <c r="E4472" s="403" t="str">
        <f t="array" ref="E4472">INDIRECT("Tableau!$AZ$125")</f>
        <v/>
      </c>
    </row>
    <row r="4473">
      <c r="A4473" s="402">
        <f t="array" ref="A4473">INDIRECT("Tableau!$A$126")</f>
        <v>354</v>
      </c>
      <c r="B4473" s="398" t="s">
        <v>480</v>
      </c>
      <c r="C4473" s="400" t="str">
        <f t="array" ref="C4473">INDIRECT("Tableau!$AY$126")</f>
        <v/>
      </c>
      <c r="D4473" s="400" t="str">
        <f t="shared" si="25"/>
        <v>OUT</v>
      </c>
      <c r="E4473" s="403" t="str">
        <f t="array" ref="E4473">INDIRECT("Tableau!$AZ$126")</f>
        <v/>
      </c>
    </row>
    <row r="4474">
      <c r="A4474" s="402">
        <f t="array" ref="A4474">INDIRECT("Tableau!$A$127")</f>
        <v>355</v>
      </c>
      <c r="B4474" s="398" t="s">
        <v>480</v>
      </c>
      <c r="C4474" s="400" t="str">
        <f t="array" ref="C4474">INDIRECT("Tableau!$AY$127")</f>
        <v/>
      </c>
      <c r="D4474" s="400" t="str">
        <f t="shared" si="25"/>
        <v>OUT</v>
      </c>
      <c r="E4474" s="403" t="str">
        <f t="array" ref="E4474">INDIRECT("Tableau!$AZ$127")</f>
        <v/>
      </c>
    </row>
    <row r="4475">
      <c r="A4475" s="402">
        <f t="array" ref="A4475">INDIRECT("Tableau!$A$128")</f>
        <v>356</v>
      </c>
      <c r="B4475" s="398" t="s">
        <v>480</v>
      </c>
      <c r="C4475" s="400" t="str">
        <f t="array" ref="C4475">INDIRECT("Tableau!$AY$128")</f>
        <v/>
      </c>
      <c r="D4475" s="400" t="str">
        <f t="shared" si="25"/>
        <v>OUT</v>
      </c>
      <c r="E4475" s="403" t="str">
        <f t="array" ref="E4475">INDIRECT("Tableau!$AZ$128")</f>
        <v/>
      </c>
    </row>
    <row r="4476">
      <c r="A4476" s="402">
        <f t="array" ref="A4476">INDIRECT("Tableau!$A$129")</f>
        <v>357</v>
      </c>
      <c r="B4476" s="398" t="s">
        <v>480</v>
      </c>
      <c r="C4476" s="400" t="str">
        <f t="array" ref="C4476">INDIRECT("Tableau!$AY$129")</f>
        <v/>
      </c>
      <c r="D4476" s="400" t="str">
        <f t="shared" si="25"/>
        <v>OUT</v>
      </c>
      <c r="E4476" s="403" t="str">
        <f t="array" ref="E4476">INDIRECT("Tableau!$AZ$129")</f>
        <v/>
      </c>
    </row>
    <row r="4477">
      <c r="A4477" s="397" t="str">
        <f t="array" ref="A4477">INDIRECT("Tableau!$A$130")</f>
        <v/>
      </c>
      <c r="B4477" s="398" t="s">
        <v>480</v>
      </c>
      <c r="C4477" s="400" t="str">
        <f t="array" ref="C4477">INDIRECT("Tableau!$AY$130")</f>
        <v/>
      </c>
      <c r="D4477" s="400" t="str">
        <f t="shared" si="25"/>
        <v>OUT</v>
      </c>
      <c r="E4477" s="403" t="str">
        <f t="array" ref="E4477">INDIRECT("Tableau!$AZ$130")</f>
        <v/>
      </c>
    </row>
    <row r="4478">
      <c r="A4478" s="397" t="str">
        <f t="array" ref="A4478">INDIRECT("Tableau!$A$131")</f>
        <v/>
      </c>
      <c r="B4478" s="398" t="s">
        <v>480</v>
      </c>
      <c r="C4478" s="400" t="str">
        <f t="array" ref="C4478">INDIRECT("Tableau!$AY$131")</f>
        <v/>
      </c>
      <c r="D4478" s="400" t="str">
        <f t="shared" si="25"/>
        <v>OUT</v>
      </c>
      <c r="E4478" s="403" t="str">
        <f t="array" ref="E4478">INDIRECT("Tableau!$AZ$131")</f>
        <v/>
      </c>
    </row>
    <row r="4479">
      <c r="A4479" s="397" t="str">
        <f t="array" ref="A4479">INDIRECT("Tableau!$A$132")</f>
        <v/>
      </c>
      <c r="B4479" s="398" t="s">
        <v>480</v>
      </c>
      <c r="C4479" s="400" t="str">
        <f t="array" ref="C4479">INDIRECT("Tableau!$AY$132")</f>
        <v/>
      </c>
      <c r="D4479" s="400" t="str">
        <f t="shared" si="25"/>
        <v>OUT</v>
      </c>
      <c r="E4479" s="403" t="str">
        <f t="array" ref="E4479">INDIRECT("Tableau!$AZ$132")</f>
        <v/>
      </c>
    </row>
    <row r="4480">
      <c r="A4480" s="397" t="str">
        <f t="array" ref="A4480">INDIRECT("Tableau!$A$133")</f>
        <v/>
      </c>
      <c r="B4480" s="398" t="s">
        <v>480</v>
      </c>
      <c r="C4480" s="400" t="str">
        <f t="array" ref="C4480">INDIRECT("Tableau!$AY$133")</f>
        <v/>
      </c>
      <c r="D4480" s="400" t="str">
        <f t="shared" si="25"/>
        <v>OUT</v>
      </c>
      <c r="E4480" s="403" t="str">
        <f t="array" ref="E4480">INDIRECT("Tableau!$AZ$133")</f>
        <v/>
      </c>
    </row>
    <row r="4481">
      <c r="A4481" s="397" t="str">
        <f t="array" ref="A4481">INDIRECT("Tableau!$A$134")</f>
        <v/>
      </c>
      <c r="B4481" s="398" t="s">
        <v>480</v>
      </c>
      <c r="C4481" s="400" t="str">
        <f t="array" ref="C4481">INDIRECT("Tableau!$AY$134")</f>
        <v/>
      </c>
      <c r="D4481" s="400" t="str">
        <f t="shared" si="25"/>
        <v>OUT</v>
      </c>
      <c r="E4481" s="403" t="str">
        <f t="array" ref="E4481">INDIRECT("Tableau!$AZ$134")</f>
        <v/>
      </c>
    </row>
    <row r="4482">
      <c r="A4482" s="402">
        <f t="array" ref="A4482">INDIRECT("Tableau!$A$135")</f>
        <v>401</v>
      </c>
      <c r="B4482" s="398" t="s">
        <v>480</v>
      </c>
      <c r="C4482" s="400" t="str">
        <f t="array" ref="C4482">INDIRECT("Tableau!$AY$135")</f>
        <v/>
      </c>
      <c r="D4482" s="400" t="str">
        <f t="shared" si="25"/>
        <v>OUT</v>
      </c>
      <c r="E4482" s="403" t="str">
        <f t="array" ref="E4482">INDIRECT("Tableau!$AZ$135")</f>
        <v/>
      </c>
    </row>
    <row r="4483">
      <c r="A4483" s="402">
        <f t="array" ref="A4483">INDIRECT("Tableau!$A$136")</f>
        <v>402</v>
      </c>
      <c r="B4483" s="398" t="s">
        <v>480</v>
      </c>
      <c r="C4483" s="400" t="str">
        <f t="array" ref="C4483">INDIRECT("Tableau!$AY$136")</f>
        <v/>
      </c>
      <c r="D4483" s="400" t="str">
        <f t="shared" si="25"/>
        <v>OUT</v>
      </c>
      <c r="E4483" s="403" t="str">
        <f t="array" ref="E4483">INDIRECT("Tableau!$AZ$136")</f>
        <v/>
      </c>
    </row>
    <row r="4484">
      <c r="A4484" s="402">
        <f t="array" ref="A4484">INDIRECT("Tableau!$A$137")</f>
        <v>403</v>
      </c>
      <c r="B4484" s="398" t="s">
        <v>480</v>
      </c>
      <c r="C4484" s="400" t="str">
        <f t="array" ref="C4484">INDIRECT("Tableau!$AY$137")</f>
        <v/>
      </c>
      <c r="D4484" s="400" t="str">
        <f t="shared" si="25"/>
        <v>OUT</v>
      </c>
      <c r="E4484" s="403" t="str">
        <f t="array" ref="E4484">INDIRECT("Tableau!$AZ$137")</f>
        <v/>
      </c>
    </row>
    <row r="4485">
      <c r="A4485" s="402">
        <f t="array" ref="A4485">INDIRECT("Tableau!$A$138")</f>
        <v>404</v>
      </c>
      <c r="B4485" s="398" t="s">
        <v>480</v>
      </c>
      <c r="C4485" s="400" t="str">
        <f t="array" ref="C4485">INDIRECT("Tableau!$AY$138")</f>
        <v/>
      </c>
      <c r="D4485" s="400" t="str">
        <f t="shared" si="25"/>
        <v>OUT</v>
      </c>
      <c r="E4485" s="403" t="str">
        <f t="array" ref="E4485">INDIRECT("Tableau!$AZ$138")</f>
        <v/>
      </c>
    </row>
    <row r="4486">
      <c r="A4486" s="402">
        <f t="array" ref="A4486">INDIRECT("Tableau!$A$139")</f>
        <v>405</v>
      </c>
      <c r="B4486" s="398" t="s">
        <v>480</v>
      </c>
      <c r="C4486" s="400" t="str">
        <f t="array" ref="C4486">INDIRECT("Tableau!$AY$139")</f>
        <v>DEMA</v>
      </c>
      <c r="D4486" s="400" t="str">
        <f t="shared" si="25"/>
        <v>OUT</v>
      </c>
      <c r="E4486" s="403" t="str">
        <f t="array" ref="E4486">INDIRECT("Tableau!$AZ$139")</f>
        <v/>
      </c>
    </row>
    <row r="4487">
      <c r="A4487" s="402">
        <f t="array" ref="A4487">INDIRECT("Tableau!$A$140")</f>
        <v>406</v>
      </c>
      <c r="B4487" s="398" t="s">
        <v>480</v>
      </c>
      <c r="C4487" s="400" t="str">
        <f t="array" ref="C4487">INDIRECT("Tableau!$AY$140")</f>
        <v/>
      </c>
      <c r="D4487" s="400" t="str">
        <f t="shared" si="25"/>
        <v>OUT</v>
      </c>
      <c r="E4487" s="403" t="str">
        <f t="array" ref="E4487">INDIRECT("Tableau!$AZ$140")</f>
        <v/>
      </c>
    </row>
    <row r="4488">
      <c r="A4488" s="402">
        <f t="array" ref="A4488">INDIRECT("Tableau!$A$141")</f>
        <v>407</v>
      </c>
      <c r="B4488" s="398" t="s">
        <v>480</v>
      </c>
      <c r="C4488" s="400" t="str">
        <f t="array" ref="C4488">INDIRECT("Tableau!$AY$141")</f>
        <v/>
      </c>
      <c r="D4488" s="400" t="str">
        <f t="shared" si="25"/>
        <v>OUT</v>
      </c>
      <c r="E4488" s="403" t="str">
        <f t="array" ref="E4488">INDIRECT("Tableau!$AZ$141")</f>
        <v/>
      </c>
    </row>
    <row r="4489">
      <c r="A4489" s="402">
        <f t="array" ref="A4489">INDIRECT("Tableau!$A$142")</f>
        <v>408</v>
      </c>
      <c r="B4489" s="398" t="s">
        <v>480</v>
      </c>
      <c r="C4489" s="400" t="str">
        <f t="array" ref="C4489">INDIRECT("Tableau!$AY$142")</f>
        <v/>
      </c>
      <c r="D4489" s="400" t="str">
        <f t="shared" si="25"/>
        <v>OUT</v>
      </c>
      <c r="E4489" s="403" t="str">
        <f t="array" ref="E4489">INDIRECT("Tableau!$AZ$142")</f>
        <v/>
      </c>
    </row>
    <row r="4490">
      <c r="A4490" s="402">
        <f t="array" ref="A4490">INDIRECT("Tableau!$A$143")</f>
        <v>409</v>
      </c>
      <c r="B4490" s="398" t="s">
        <v>480</v>
      </c>
      <c r="C4490" s="400" t="str">
        <f t="array" ref="C4490">INDIRECT("Tableau!$AY$143")</f>
        <v/>
      </c>
      <c r="D4490" s="400" t="str">
        <f t="shared" si="25"/>
        <v>OUT</v>
      </c>
      <c r="E4490" s="403" t="str">
        <f t="array" ref="E4490">INDIRECT("Tableau!$AZ$143")</f>
        <v/>
      </c>
    </row>
    <row r="4491">
      <c r="A4491" s="397">
        <f t="array" ref="A4491">INDIRECT("Tableau!$A$144")</f>
        <v>415</v>
      </c>
      <c r="B4491" s="398" t="s">
        <v>480</v>
      </c>
      <c r="C4491" s="400" t="str">
        <f t="array" ref="C4491">INDIRECT("Tableau!$AY$144")</f>
        <v/>
      </c>
      <c r="D4491" s="400" t="str">
        <f t="shared" si="25"/>
        <v>OUT</v>
      </c>
      <c r="E4491" s="403" t="str">
        <f t="array" ref="E4491">INDIRECT("Tableau!$AZ$144")</f>
        <v/>
      </c>
    </row>
    <row r="4492">
      <c r="A4492" s="397" t="str">
        <f t="array" ref="A4492">INDIRECT("Tableau!$A$145")</f>
        <v/>
      </c>
      <c r="B4492" s="398" t="s">
        <v>480</v>
      </c>
      <c r="C4492" s="400" t="str">
        <f t="array" ref="C4492">INDIRECT("Tableau!$AY$145")</f>
        <v/>
      </c>
      <c r="D4492" s="400" t="str">
        <f t="shared" si="25"/>
        <v>OUT</v>
      </c>
      <c r="E4492" s="403" t="str">
        <f t="array" ref="E4492">INDIRECT("Tableau!$AZ$145")</f>
        <v/>
      </c>
    </row>
    <row r="4493">
      <c r="A4493" s="397" t="str">
        <f t="array" ref="A4493">INDIRECT("Tableau!$A$146")</f>
        <v/>
      </c>
      <c r="B4493" s="398" t="s">
        <v>480</v>
      </c>
      <c r="C4493" s="400" t="str">
        <f t="array" ref="C4493">INDIRECT("Tableau!$AY$146")</f>
        <v/>
      </c>
      <c r="D4493" s="400" t="str">
        <f t="shared" si="25"/>
        <v>OUT</v>
      </c>
      <c r="E4493" s="403" t="str">
        <f t="array" ref="E4493">INDIRECT("Tableau!$AZ$146")</f>
        <v/>
      </c>
    </row>
    <row r="4494">
      <c r="A4494" s="397" t="str">
        <f t="array" ref="A4494">INDIRECT("Tableau!$A$147")</f>
        <v/>
      </c>
      <c r="B4494" s="398" t="s">
        <v>480</v>
      </c>
      <c r="C4494" s="400" t="str">
        <f t="array" ref="C4494">INDIRECT("Tableau!$AY$147")</f>
        <v/>
      </c>
      <c r="D4494" s="400" t="str">
        <f t="shared" si="25"/>
        <v>OUT</v>
      </c>
      <c r="E4494" s="403" t="str">
        <f t="array" ref="E4494">INDIRECT("Tableau!$AZ$147")</f>
        <v/>
      </c>
    </row>
    <row r="4495">
      <c r="A4495" s="397" t="str">
        <f t="array" ref="A4495">INDIRECT("Tableau!$A$148")</f>
        <v/>
      </c>
      <c r="B4495" s="398" t="s">
        <v>480</v>
      </c>
      <c r="C4495" s="400" t="str">
        <f t="array" ref="C4495">INDIRECT("Tableau!$AY$148")</f>
        <v/>
      </c>
      <c r="D4495" s="400" t="str">
        <f t="shared" si="25"/>
        <v>OUT</v>
      </c>
      <c r="E4495" s="403" t="str">
        <f t="array" ref="E4495">INDIRECT("Tableau!$AZ$148")</f>
        <v/>
      </c>
    </row>
    <row r="4496">
      <c r="A4496" s="397" t="str">
        <f t="array" ref="A4496">INDIRECT("Tableau!$A$149")</f>
        <v/>
      </c>
      <c r="B4496" s="398" t="s">
        <v>480</v>
      </c>
      <c r="C4496" s="400" t="str">
        <f t="array" ref="C4496">INDIRECT("Tableau!$AY$149")</f>
        <v/>
      </c>
      <c r="D4496" s="400" t="str">
        <f t="shared" si="25"/>
        <v>OUT</v>
      </c>
      <c r="E4496" s="403" t="str">
        <f t="array" ref="E4496">INDIRECT("Tableau!$AZ$149")</f>
        <v/>
      </c>
    </row>
    <row r="4497">
      <c r="A4497" s="397" t="str">
        <f t="array" ref="A4497">INDIRECT("Tableau!$A$150")</f>
        <v/>
      </c>
      <c r="B4497" s="398" t="s">
        <v>480</v>
      </c>
      <c r="C4497" s="400" t="str">
        <f t="array" ref="C4497">INDIRECT("Tableau!$AY$150")</f>
        <v/>
      </c>
      <c r="D4497" s="400" t="str">
        <f t="shared" si="25"/>
        <v>OUT</v>
      </c>
      <c r="E4497" s="403" t="str">
        <f t="array" ref="E4497">INDIRECT("Tableau!$AZ$150")</f>
        <v/>
      </c>
    </row>
    <row r="4498">
      <c r="A4498" s="397" t="str">
        <f t="array" ref="A4498">INDIRECT("Tableau!$A$151")</f>
        <v/>
      </c>
      <c r="B4498" s="398" t="s">
        <v>480</v>
      </c>
      <c r="C4498" s="400" t="str">
        <f t="array" ref="C4498">INDIRECT("Tableau!$AY$151")</f>
        <v/>
      </c>
      <c r="D4498" s="400" t="str">
        <f t="shared" si="25"/>
        <v>OUT</v>
      </c>
      <c r="E4498" s="403" t="str">
        <f t="array" ref="E4498">INDIRECT("Tableau!$AZ$151")</f>
        <v/>
      </c>
    </row>
    <row r="4499">
      <c r="A4499" s="397" t="str">
        <f t="array" ref="A4499">INDIRECT("Tableau!$A$152")</f>
        <v/>
      </c>
      <c r="B4499" s="398" t="s">
        <v>480</v>
      </c>
      <c r="C4499" s="400" t="str">
        <f t="array" ref="C4499">INDIRECT("Tableau!$AY$152")</f>
        <v/>
      </c>
      <c r="D4499" s="400" t="str">
        <f t="shared" si="25"/>
        <v>OUT</v>
      </c>
      <c r="E4499" s="403" t="str">
        <f t="array" ref="E4499">INDIRECT("Tableau!$AZ$152")</f>
        <v/>
      </c>
    </row>
    <row r="4500">
      <c r="A4500" s="397" t="str">
        <f t="array" ref="A4500">INDIRECT("Tableau!$A$153")</f>
        <v/>
      </c>
      <c r="B4500" s="398" t="s">
        <v>480</v>
      </c>
      <c r="C4500" s="400" t="str">
        <f t="array" ref="C4500">INDIRECT("Tableau!$AY$153")</f>
        <v/>
      </c>
      <c r="D4500" s="400" t="str">
        <f t="shared" si="25"/>
        <v>OUT</v>
      </c>
      <c r="E4500" s="403" t="str">
        <f t="array" ref="E4500">INDIRECT("Tableau!$AZ$153")</f>
        <v/>
      </c>
    </row>
    <row r="4501">
      <c r="A4501" s="402">
        <f t="array" ref="A4501">INDIRECT("Tableau!$A$154")</f>
        <v>501</v>
      </c>
      <c r="B4501" s="398" t="s">
        <v>480</v>
      </c>
      <c r="C4501" s="400" t="str">
        <f t="array" ref="C4501">INDIRECT("Tableau!$AY$154")</f>
        <v>DPS</v>
      </c>
      <c r="D4501" s="400" t="str">
        <f t="shared" si="25"/>
        <v>OUT</v>
      </c>
      <c r="E4501" s="403" t="str">
        <f t="array" ref="E4501">INDIRECT("Tableau!$AZ$154")</f>
        <v/>
      </c>
    </row>
    <row r="4502">
      <c r="A4502" s="402">
        <f t="array" ref="A4502">INDIRECT("Tableau!$A$155")</f>
        <v>502</v>
      </c>
      <c r="B4502" s="398" t="s">
        <v>480</v>
      </c>
      <c r="C4502" s="400" t="str">
        <f t="array" ref="C4502">INDIRECT("Tableau!$AY$155")</f>
        <v/>
      </c>
      <c r="D4502" s="400" t="str">
        <f t="shared" si="25"/>
        <v>OUT</v>
      </c>
      <c r="E4502" s="403" t="str">
        <f t="array" ref="E4502">INDIRECT("Tableau!$AZ$155")</f>
        <v/>
      </c>
    </row>
    <row r="4503">
      <c r="A4503" s="397" t="str">
        <f t="array" ref="A4503">INDIRECT("Tableau!$A$156")</f>
        <v/>
      </c>
      <c r="B4503" s="398" t="s">
        <v>480</v>
      </c>
      <c r="C4503" s="400" t="str">
        <f t="array" ref="C4503">INDIRECT("Tableau!$AY$156")</f>
        <v/>
      </c>
      <c r="D4503" s="400" t="str">
        <f t="shared" si="25"/>
        <v>OUT</v>
      </c>
      <c r="E4503" s="403" t="str">
        <f t="array" ref="E4503">INDIRECT("Tableau!$AZ$156")</f>
        <v/>
      </c>
    </row>
    <row r="4504">
      <c r="A4504" s="397" t="str">
        <f t="array" ref="A4504">INDIRECT("Tableau!$A$157")</f>
        <v/>
      </c>
      <c r="B4504" s="398" t="s">
        <v>480</v>
      </c>
      <c r="C4504" s="400" t="str">
        <f t="array" ref="C4504">INDIRECT("Tableau!$AY$157")</f>
        <v/>
      </c>
      <c r="D4504" s="400" t="str">
        <f t="shared" si="25"/>
        <v>OUT</v>
      </c>
      <c r="E4504" s="403" t="str">
        <f t="array" ref="E4504">INDIRECT("Tableau!$AZ$157")</f>
        <v/>
      </c>
    </row>
    <row r="4505">
      <c r="A4505" s="402">
        <f t="array" ref="A4505">INDIRECT("Tableau!$A$158")</f>
        <v>505</v>
      </c>
      <c r="B4505" s="398" t="s">
        <v>480</v>
      </c>
      <c r="C4505" s="400" t="str">
        <f t="array" ref="C4505">INDIRECT("Tableau!$AY$158")</f>
        <v/>
      </c>
      <c r="D4505" s="400" t="str">
        <f t="shared" si="25"/>
        <v>OUT</v>
      </c>
      <c r="E4505" s="403" t="str">
        <f t="array" ref="E4505">INDIRECT("Tableau!$AZ$158")</f>
        <v/>
      </c>
    </row>
    <row r="4506">
      <c r="A4506" s="402">
        <f t="array" ref="A4506">INDIRECT("Tableau!$A$159")</f>
        <v>506</v>
      </c>
      <c r="B4506" s="398" t="s">
        <v>480</v>
      </c>
      <c r="C4506" s="400" t="str">
        <f t="array" ref="C4506">INDIRECT("Tableau!$AY$159")</f>
        <v>DPS</v>
      </c>
      <c r="D4506" s="400" t="str">
        <f t="shared" si="25"/>
        <v>OUT</v>
      </c>
      <c r="E4506" s="403" t="str">
        <f t="array" ref="E4506">INDIRECT("Tableau!$AZ$159")</f>
        <v/>
      </c>
    </row>
    <row r="4507">
      <c r="A4507" s="402">
        <f t="array" ref="A4507">INDIRECT("Tableau!$A$160")</f>
        <v>507</v>
      </c>
      <c r="B4507" s="398" t="s">
        <v>480</v>
      </c>
      <c r="C4507" s="400" t="str">
        <f t="array" ref="C4507">INDIRECT("Tableau!$AY$160")</f>
        <v/>
      </c>
      <c r="D4507" s="400" t="str">
        <f t="shared" si="25"/>
        <v>OUT</v>
      </c>
      <c r="E4507" s="403" t="str">
        <f t="array" ref="E4507">INDIRECT("Tableau!$AZ$160")</f>
        <v/>
      </c>
    </row>
    <row r="4508">
      <c r="A4508" s="402">
        <f t="array" ref="A4508">INDIRECT("Tableau!$A$161")</f>
        <v>508</v>
      </c>
      <c r="B4508" s="398" t="s">
        <v>480</v>
      </c>
      <c r="C4508" s="400" t="str">
        <f t="array" ref="C4508">INDIRECT("Tableau!$AY$161")</f>
        <v>DPS</v>
      </c>
      <c r="D4508" s="400" t="str">
        <f t="shared" si="25"/>
        <v>OUT</v>
      </c>
      <c r="E4508" s="403" t="str">
        <f t="array" ref="E4508">INDIRECT("Tableau!$AZ$161")</f>
        <v/>
      </c>
    </row>
    <row r="4509">
      <c r="A4509" s="402">
        <f t="array" ref="A4509">INDIRECT("Tableau!$A$162")</f>
        <v>509</v>
      </c>
      <c r="B4509" s="398" t="s">
        <v>480</v>
      </c>
      <c r="C4509" s="400" t="str">
        <f t="array" ref="C4509">INDIRECT("Tableau!$AY$162")</f>
        <v/>
      </c>
      <c r="D4509" s="400" t="str">
        <f t="shared" si="25"/>
        <v>OUT</v>
      </c>
      <c r="E4509" s="403" t="str">
        <f t="array" ref="E4509">INDIRECT("Tableau!$AZ$162")</f>
        <v/>
      </c>
    </row>
    <row r="4510">
      <c r="A4510" s="397">
        <f t="array" ref="A4510">INDIRECT("Tableau!$A$163")</f>
        <v>510</v>
      </c>
      <c r="B4510" s="398" t="s">
        <v>480</v>
      </c>
      <c r="C4510" s="400" t="str">
        <f t="array" ref="C4510">INDIRECT("Tableau!$AY$163")</f>
        <v/>
      </c>
      <c r="D4510" s="400" t="str">
        <f t="shared" si="25"/>
        <v>OUT</v>
      </c>
      <c r="E4510" s="403" t="str">
        <f t="array" ref="E4510">INDIRECT("Tableau!$AZ$163")</f>
        <v/>
      </c>
    </row>
    <row r="4511">
      <c r="A4511" s="397" t="str">
        <f t="array" ref="A4511">INDIRECT("Tableau!$A$164")</f>
        <v/>
      </c>
      <c r="B4511" s="398" t="s">
        <v>480</v>
      </c>
      <c r="C4511" s="400" t="str">
        <f t="array" ref="C4511">INDIRECT("Tableau!$AY$164")</f>
        <v/>
      </c>
      <c r="D4511" s="400" t="str">
        <f t="shared" si="25"/>
        <v>OUT</v>
      </c>
      <c r="E4511" s="403" t="str">
        <f t="array" ref="E4511">INDIRECT("Tableau!$AZ$164")</f>
        <v/>
      </c>
    </row>
    <row r="4512">
      <c r="A4512" s="397" t="str">
        <f t="array" ref="A4512">INDIRECT("Tableau!$A$165")</f>
        <v/>
      </c>
      <c r="B4512" s="398" t="s">
        <v>480</v>
      </c>
      <c r="C4512" s="400" t="str">
        <f t="array" ref="C4512">INDIRECT("Tableau!$AY$165")</f>
        <v/>
      </c>
      <c r="D4512" s="400" t="str">
        <f t="shared" si="25"/>
        <v>OUT</v>
      </c>
      <c r="E4512" s="403" t="str">
        <f t="array" ref="E4512">INDIRECT("Tableau!$AZ$165")</f>
        <v/>
      </c>
    </row>
    <row r="4513">
      <c r="A4513" s="402">
        <f t="array" ref="A4513">INDIRECT("Tableau!$A$166")</f>
        <v>527</v>
      </c>
      <c r="B4513" s="398" t="s">
        <v>480</v>
      </c>
      <c r="C4513" s="400" t="str">
        <f t="array" ref="C4513">INDIRECT("Tableau!$AY$166")</f>
        <v/>
      </c>
      <c r="D4513" s="400" t="str">
        <f t="shared" si="25"/>
        <v>OUT</v>
      </c>
      <c r="E4513" s="403" t="str">
        <f t="array" ref="E4513">INDIRECT("Tableau!$AZ$166")</f>
        <v/>
      </c>
    </row>
    <row r="4514">
      <c r="A4514" s="402">
        <f t="array" ref="A4514">INDIRECT("Tableau!$A$167")</f>
        <v>512</v>
      </c>
      <c r="B4514" s="398" t="s">
        <v>480</v>
      </c>
      <c r="C4514" s="400" t="str">
        <f t="array" ref="C4514">INDIRECT("Tableau!$AY$167")</f>
        <v/>
      </c>
      <c r="D4514" s="400" t="str">
        <f t="shared" si="25"/>
        <v>OUT</v>
      </c>
      <c r="E4514" s="403" t="str">
        <f t="array" ref="E4514">INDIRECT("Tableau!$AZ$167")</f>
        <v/>
      </c>
    </row>
    <row r="4515">
      <c r="A4515" s="402">
        <f t="array" ref="A4515">INDIRECT("Tableau!$A$168")</f>
        <v>513</v>
      </c>
      <c r="B4515" s="398" t="s">
        <v>480</v>
      </c>
      <c r="C4515" s="400" t="str">
        <f t="array" ref="C4515">INDIRECT("Tableau!$AY$168")</f>
        <v/>
      </c>
      <c r="D4515" s="400" t="str">
        <f t="shared" si="25"/>
        <v>OUT</v>
      </c>
      <c r="E4515" s="403" t="str">
        <f t="array" ref="E4515">INDIRECT("Tableau!$AZ$168")</f>
        <v/>
      </c>
    </row>
    <row r="4516">
      <c r="A4516" s="402">
        <f t="array" ref="A4516">INDIRECT("Tableau!$A$169")</f>
        <v>514</v>
      </c>
      <c r="B4516" s="398" t="s">
        <v>480</v>
      </c>
      <c r="C4516" s="400" t="str">
        <f t="array" ref="C4516">INDIRECT("Tableau!$AY$169")</f>
        <v/>
      </c>
      <c r="D4516" s="400" t="str">
        <f t="shared" si="25"/>
        <v>OUT</v>
      </c>
      <c r="E4516" s="403" t="str">
        <f t="array" ref="E4516">INDIRECT("Tableau!$AZ$169")</f>
        <v/>
      </c>
    </row>
    <row r="4517">
      <c r="A4517" s="402">
        <f t="array" ref="A4517">INDIRECT("Tableau!$A$170")</f>
        <v>515</v>
      </c>
      <c r="B4517" s="398" t="s">
        <v>480</v>
      </c>
      <c r="C4517" s="400" t="str">
        <f t="array" ref="C4517">INDIRECT("Tableau!$AY$170")</f>
        <v/>
      </c>
      <c r="D4517" s="400" t="str">
        <f t="shared" si="25"/>
        <v>OUT</v>
      </c>
      <c r="E4517" s="403" t="str">
        <f t="array" ref="E4517">INDIRECT("Tableau!$AZ$170")</f>
        <v/>
      </c>
    </row>
    <row r="4518">
      <c r="A4518" s="402">
        <f t="array" ref="A4518">INDIRECT("Tableau!$A$171")</f>
        <v>517</v>
      </c>
      <c r="B4518" s="398" t="s">
        <v>480</v>
      </c>
      <c r="C4518" s="400" t="str">
        <f t="array" ref="C4518">INDIRECT("Tableau!$AY$171")</f>
        <v/>
      </c>
      <c r="D4518" s="400" t="str">
        <f t="shared" si="25"/>
        <v>OUT</v>
      </c>
      <c r="E4518" s="403" t="str">
        <f t="array" ref="E4518">INDIRECT("Tableau!$AZ$171")</f>
        <v/>
      </c>
    </row>
    <row r="4519">
      <c r="A4519" s="402">
        <f t="array" ref="A4519">INDIRECT("Tableau!$A$172")</f>
        <v>518</v>
      </c>
      <c r="B4519" s="398" t="s">
        <v>480</v>
      </c>
      <c r="C4519" s="400" t="str">
        <f t="array" ref="C4519">INDIRECT("Tableau!$AY$172")</f>
        <v/>
      </c>
      <c r="D4519" s="400" t="str">
        <f t="shared" si="25"/>
        <v>OUT</v>
      </c>
      <c r="E4519" s="403" t="str">
        <f t="array" ref="E4519">INDIRECT("Tableau!$AZ$172")</f>
        <v/>
      </c>
    </row>
    <row r="4520">
      <c r="A4520" s="397" t="str">
        <f t="array" ref="A4520">INDIRECT("Tableau!$A$173")</f>
        <v/>
      </c>
      <c r="B4520" s="398" t="s">
        <v>480</v>
      </c>
      <c r="C4520" s="400" t="str">
        <f t="array" ref="C4520">INDIRECT("Tableau!$AY$173")</f>
        <v/>
      </c>
      <c r="D4520" s="400" t="str">
        <f t="shared" si="25"/>
        <v>OUT</v>
      </c>
      <c r="E4520" s="403" t="str">
        <f t="array" ref="E4520">INDIRECT("Tableau!$AZ$173")</f>
        <v/>
      </c>
    </row>
    <row r="4521">
      <c r="A4521" s="402">
        <f t="array" ref="A4521">INDIRECT("Tableau!$A$174")</f>
        <v>520</v>
      </c>
      <c r="B4521" s="398" t="s">
        <v>480</v>
      </c>
      <c r="C4521" s="400" t="str">
        <f t="array" ref="C4521">INDIRECT("Tableau!$AY$174")</f>
        <v/>
      </c>
      <c r="D4521" s="400" t="str">
        <f t="shared" si="25"/>
        <v>OUT</v>
      </c>
      <c r="E4521" s="403" t="str">
        <f t="array" ref="E4521">INDIRECT("Tableau!$AZ$174")</f>
        <v/>
      </c>
    </row>
    <row r="4522">
      <c r="A4522" s="402">
        <f t="array" ref="A4522">INDIRECT("Tableau!$A$175")</f>
        <v>521</v>
      </c>
      <c r="B4522" s="398" t="s">
        <v>480</v>
      </c>
      <c r="C4522" s="400" t="str">
        <f t="array" ref="C4522">INDIRECT("Tableau!$AY$175")</f>
        <v/>
      </c>
      <c r="D4522" s="400" t="str">
        <f t="shared" si="25"/>
        <v>OUT</v>
      </c>
      <c r="E4522" s="403" t="str">
        <f t="array" ref="E4522">INDIRECT("Tableau!$AZ$175")</f>
        <v/>
      </c>
    </row>
    <row r="4523">
      <c r="A4523" s="402">
        <f t="array" ref="A4523">INDIRECT("Tableau!$A$176")</f>
        <v>525</v>
      </c>
      <c r="B4523" s="398" t="s">
        <v>480</v>
      </c>
      <c r="C4523" s="400" t="str">
        <f t="array" ref="C4523">INDIRECT("Tableau!$AY$176")</f>
        <v>DEMA</v>
      </c>
      <c r="D4523" s="400" t="str">
        <f t="shared" si="25"/>
        <v>OUT</v>
      </c>
      <c r="E4523" s="403" t="str">
        <f t="array" ref="E4523">INDIRECT("Tableau!$AZ$176")</f>
        <v/>
      </c>
    </row>
    <row r="4524">
      <c r="A4524" s="402">
        <f t="array" ref="A4524">INDIRECT("Tableau!$A$177")</f>
        <v>530</v>
      </c>
      <c r="B4524" s="398" t="s">
        <v>480</v>
      </c>
      <c r="C4524" s="400" t="str">
        <f t="array" ref="C4524">INDIRECT("Tableau!$AY$177")</f>
        <v/>
      </c>
      <c r="D4524" s="400" t="str">
        <f t="shared" si="25"/>
        <v>OUT</v>
      </c>
      <c r="E4524" s="403" t="str">
        <f t="array" ref="E4524">INDIRECT("Tableau!$AZ$177")</f>
        <v/>
      </c>
    </row>
    <row r="4525">
      <c r="A4525" s="397" t="str">
        <f t="array" ref="A4525">INDIRECT("Tableau!$A$178")</f>
        <v/>
      </c>
      <c r="B4525" s="398" t="s">
        <v>480</v>
      </c>
      <c r="C4525" s="400" t="str">
        <f t="array" ref="C4525">INDIRECT("Tableau!$AY$178")</f>
        <v/>
      </c>
      <c r="D4525" s="400" t="str">
        <f t="shared" si="25"/>
        <v>OUT</v>
      </c>
      <c r="E4525" s="403" t="str">
        <f t="array" ref="E4525">INDIRECT("Tableau!$AZ$178")</f>
        <v/>
      </c>
    </row>
    <row r="4526">
      <c r="A4526" s="397" t="str">
        <f t="array" ref="A4526">INDIRECT("Tableau!$A$179")</f>
        <v/>
      </c>
      <c r="B4526" s="398" t="s">
        <v>480</v>
      </c>
      <c r="C4526" s="400" t="str">
        <f t="array" ref="C4526">INDIRECT("Tableau!$AY$179")</f>
        <v/>
      </c>
      <c r="D4526" s="400" t="str">
        <f t="shared" si="25"/>
        <v>OUT</v>
      </c>
      <c r="E4526" s="403" t="str">
        <f t="array" ref="E4526">INDIRECT("Tableau!$AZ$179")</f>
        <v/>
      </c>
    </row>
    <row r="4527">
      <c r="A4527" s="397" t="str">
        <f t="array" ref="A4527">INDIRECT("Tableau!$A$180")</f>
        <v/>
      </c>
      <c r="B4527" s="398" t="s">
        <v>480</v>
      </c>
      <c r="C4527" s="400" t="str">
        <f t="array" ref="C4527">INDIRECT("Tableau!$AY$180")</f>
        <v/>
      </c>
      <c r="D4527" s="400" t="str">
        <f t="shared" si="25"/>
        <v>OUT</v>
      </c>
      <c r="E4527" s="403" t="str">
        <f t="array" ref="E4527">INDIRECT("Tableau!$AZ$180")</f>
        <v/>
      </c>
    </row>
    <row r="4528">
      <c r="A4528" s="397" t="str">
        <f t="array" ref="A4528">INDIRECT("Tableau!$A$181")</f>
        <v/>
      </c>
      <c r="B4528" s="398" t="s">
        <v>480</v>
      </c>
      <c r="C4528" s="400" t="str">
        <f t="array" ref="C4528">INDIRECT("Tableau!$AY$181")</f>
        <v/>
      </c>
      <c r="D4528" s="400" t="str">
        <f t="shared" si="25"/>
        <v>OUT</v>
      </c>
      <c r="E4528" s="403" t="str">
        <f t="array" ref="E4528">INDIRECT("Tableau!$AZ$181")</f>
        <v/>
      </c>
    </row>
    <row r="4529">
      <c r="A4529" s="397" t="str">
        <f t="array" ref="A4529">INDIRECT("Tableau!$A$182")</f>
        <v/>
      </c>
      <c r="B4529" s="398" t="s">
        <v>480</v>
      </c>
      <c r="C4529" s="400" t="str">
        <f t="array" ref="C4529">INDIRECT("Tableau!$AY$182")</f>
        <v/>
      </c>
      <c r="D4529" s="400" t="str">
        <f t="shared" si="25"/>
        <v>OUT</v>
      </c>
      <c r="E4529" s="403" t="str">
        <f t="array" ref="E4529">INDIRECT("Tableau!$AZ$182")</f>
        <v/>
      </c>
    </row>
    <row r="4530">
      <c r="A4530" s="397" t="str">
        <f t="array" ref="A4530">INDIRECT("Tableau!$A$183")</f>
        <v/>
      </c>
      <c r="B4530" s="398" t="s">
        <v>480</v>
      </c>
      <c r="C4530" s="400" t="str">
        <f t="array" ref="C4530">INDIRECT("Tableau!$AY$183")</f>
        <v/>
      </c>
      <c r="D4530" s="400" t="str">
        <f t="shared" si="25"/>
        <v>OUT</v>
      </c>
      <c r="E4530" s="403" t="str">
        <f t="array" ref="E4530">INDIRECT("Tableau!$AZ$183")</f>
        <v/>
      </c>
    </row>
    <row r="4531">
      <c r="A4531" s="397" t="str">
        <f t="array" ref="A4531">INDIRECT("Tableau!$A$184")</f>
        <v/>
      </c>
      <c r="B4531" s="398" t="s">
        <v>480</v>
      </c>
      <c r="C4531" s="400" t="str">
        <f t="array" ref="C4531">INDIRECT("Tableau!$AY$184")</f>
        <v/>
      </c>
      <c r="D4531" s="400" t="str">
        <f t="shared" si="25"/>
        <v>OUT</v>
      </c>
      <c r="E4531" s="403" t="str">
        <f t="array" ref="E4531">INDIRECT("Tableau!$AZ$184")</f>
        <v/>
      </c>
    </row>
    <row r="4532">
      <c r="A4532" s="397" t="str">
        <f t="array" ref="A4532">INDIRECT("Tableau!$A$185")</f>
        <v/>
      </c>
      <c r="B4532" s="398" t="s">
        <v>480</v>
      </c>
      <c r="C4532" s="400" t="str">
        <f t="array" ref="C4532">INDIRECT("Tableau!$AY$185")</f>
        <v/>
      </c>
      <c r="D4532" s="400" t="str">
        <f t="shared" si="25"/>
        <v>OUT</v>
      </c>
      <c r="E4532" s="403" t="str">
        <f t="array" ref="E4532">INDIRECT("Tableau!$AZ$185")</f>
        <v/>
      </c>
    </row>
    <row r="4533">
      <c r="A4533" s="397" t="str">
        <f t="array" ref="A4533">INDIRECT("Tableau!$A$186")</f>
        <v/>
      </c>
      <c r="B4533" s="398" t="s">
        <v>480</v>
      </c>
      <c r="C4533" s="400" t="str">
        <f t="array" ref="C4533">INDIRECT("Tableau!$AY$186")</f>
        <v/>
      </c>
      <c r="D4533" s="400" t="str">
        <f t="shared" si="25"/>
        <v>OUT</v>
      </c>
      <c r="E4533" s="403" t="str">
        <f t="array" ref="E4533">INDIRECT("Tableau!$AZ$186")</f>
        <v/>
      </c>
    </row>
    <row r="4534">
      <c r="A4534" s="397" t="str">
        <f t="array" ref="A4534">INDIRECT("Tableau!$A$187")</f>
        <v/>
      </c>
      <c r="B4534" s="398" t="s">
        <v>480</v>
      </c>
      <c r="C4534" s="400" t="str">
        <f t="array" ref="C4534">INDIRECT("Tableau!$AY$187")</f>
        <v/>
      </c>
      <c r="D4534" s="400" t="str">
        <f t="shared" si="25"/>
        <v>OUT</v>
      </c>
      <c r="E4534" s="403" t="str">
        <f t="array" ref="E4534">INDIRECT("Tableau!$AZ$187")</f>
        <v/>
      </c>
    </row>
    <row r="4535">
      <c r="A4535" s="397" t="str">
        <f t="array" ref="A4535">INDIRECT("Tableau!$A$188")</f>
        <v/>
      </c>
      <c r="B4535" s="398" t="s">
        <v>480</v>
      </c>
      <c r="C4535" s="400" t="str">
        <f t="array" ref="C4535">INDIRECT("Tableau!$AY$188")</f>
        <v/>
      </c>
      <c r="D4535" s="400" t="str">
        <f t="shared" si="25"/>
        <v>OUT</v>
      </c>
      <c r="E4535" s="403" t="str">
        <f t="array" ref="E4535">INDIRECT("Tableau!$AZ$188")</f>
        <v/>
      </c>
    </row>
    <row r="4536">
      <c r="A4536" s="397" t="str">
        <f t="array" ref="A4536">INDIRECT("Tableau!$A$189")</f>
        <v/>
      </c>
      <c r="B4536" s="398" t="s">
        <v>480</v>
      </c>
      <c r="C4536" s="400" t="str">
        <f t="array" ref="C4536">INDIRECT("Tableau!$AY$189")</f>
        <v/>
      </c>
      <c r="D4536" s="400" t="str">
        <f t="shared" si="25"/>
        <v>OUT</v>
      </c>
      <c r="E4536" s="403" t="str">
        <f t="array" ref="E4536">INDIRECT("Tableau!$AZ$189")</f>
        <v/>
      </c>
    </row>
    <row r="4537">
      <c r="A4537" s="397" t="str">
        <f t="array" ref="A4537">INDIRECT("Tableau!$A$190")</f>
        <v/>
      </c>
      <c r="B4537" s="398" t="s">
        <v>480</v>
      </c>
      <c r="C4537" s="400" t="str">
        <f t="array" ref="C4537">INDIRECT("Tableau!$AY$190")</f>
        <v/>
      </c>
      <c r="D4537" s="400" t="str">
        <f t="shared" si="25"/>
        <v>OUT</v>
      </c>
      <c r="E4537" s="403" t="str">
        <f t="array" ref="E4537">INDIRECT("Tableau!$AZ$190")</f>
        <v/>
      </c>
    </row>
  </sheetData>
  <customSheetViews>
    <customSheetView guid="{F12B3805-9B7D-4C79-B0E3-888D22CF56BA}" filter="1" showAutoFilter="1">
      <autoFilter ref="$C$1:$C$4537">
        <filterColumn colId="0">
          <filters>
            <filter val="BP Martelange"/>
            <filter val="Carbelle / Urbaine"/>
            <filter val="Carbelle / DEMA"/>
            <filter val="Bloqué"/>
            <filter val="Carbelle"/>
            <filter val="Batimoi"/>
            <filter val="Decorex"/>
            <filter val="Immmo Toma"/>
            <filter val="Hanse Meubles"/>
            <filter val="Immo Toma"/>
            <filter val="Schmidt cuisines- Wavre"/>
            <filter val="JDW"/>
          </filters>
        </filterColumn>
      </autoFilter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16.5"/>
    <col customWidth="1" min="4" max="4" width="29.0"/>
  </cols>
  <sheetData>
    <row r="1" ht="23.25" customHeight="1">
      <c r="A1" s="475" t="s">
        <v>467</v>
      </c>
      <c r="B1" s="476" t="s">
        <v>468</v>
      </c>
      <c r="C1" s="476" t="s">
        <v>469</v>
      </c>
      <c r="D1" s="476" t="s">
        <v>470</v>
      </c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</row>
    <row r="2">
      <c r="A2" s="478">
        <f t="array" ref="A2">INDIRECT("Tableau!$A$65")</f>
        <v>301</v>
      </c>
      <c r="B2" s="479" t="str">
        <f>VLOOKUP($A2,LocalisationRemorque,2,0)</f>
        <v>Andenne</v>
      </c>
      <c r="C2" s="480" t="str">
        <f>VLOOKUP($A2,LocalisationRemorque,3,0)</f>
        <v>Sclayn pas de garage</v>
      </c>
      <c r="D2" s="480" t="str">
        <f>CONCATENATE(VLOOKUP($A2,LocalisationRemorque,6,0)," ► ",VLOOKUP($A2,LocalisationRemorque,5,0))</f>
        <v>Andenne ► Namur</v>
      </c>
    </row>
    <row r="3">
      <c r="A3" s="481" t="str">
        <f t="array" ref="A3">INDIRECT("Tableau!$A$66")</f>
        <v/>
      </c>
      <c r="B3" s="482" t="str">
        <f>VLOOKUP($A3,LocalisationRemorque,2,0)</f>
        <v> Remorque non listée</v>
      </c>
      <c r="C3" s="483" t="str">
        <f>VLOOKUP($A3,LocalisationRemorque,3,0)</f>
        <v/>
      </c>
      <c r="D3" s="483" t="str">
        <f>CONCATENATE(VLOOKUP($A3,LocalisationRemorque,6,0)," ► ",VLOOKUP($A3,LocalisationRemorque,5,0))</f>
        <v> ► </v>
      </c>
    </row>
    <row r="4">
      <c r="A4" s="478">
        <f t="shared" ref="A4:A5" si="1">INDIRECT("Tableau!$A$67")</f>
        <v>303</v>
      </c>
      <c r="B4" s="482" t="str">
        <f>VLOOKUP($A4,LocalisationRemorque,2,0)</f>
        <v>Andenne</v>
      </c>
      <c r="C4" s="483" t="str">
        <f>VLOOKUP($A4,LocalisationRemorque,3,0)</f>
        <v>Haute Bise</v>
      </c>
      <c r="D4" s="483" t="str">
        <f>CONCATENATE(VLOOKUP($A4,LocalisationRemorque,6,0)," ► ",VLOOKUP($A4,LocalisationRemorque,5,0))</f>
        <v>Andenne ► Ciney</v>
      </c>
    </row>
    <row r="5">
      <c r="A5" s="478">
        <f t="shared" si="1"/>
        <v>303</v>
      </c>
      <c r="B5" s="482" t="str">
        <f>VLOOKUP($A5,LocalisationRemorque,2,0)</f>
        <v>Andenne</v>
      </c>
      <c r="C5" s="483" t="str">
        <f>VLOOKUP($A5,LocalisationRemorque,3,0)</f>
        <v>Haute Bise</v>
      </c>
      <c r="D5" s="483" t="str">
        <f>CONCATENATE(VLOOKUP($A5,LocalisationRemorque,6,0)," ► ",VLOOKUP($A5,LocalisationRemorque,5,0))</f>
        <v>Andenne ► Ciney</v>
      </c>
    </row>
    <row r="6">
      <c r="A6" s="478">
        <f t="shared" ref="A6:A7" si="2">INDIRECT("Tableau!$A$69")</f>
        <v>305</v>
      </c>
      <c r="B6" s="482" t="str">
        <f>VLOOKUP($A6,LocalisationRemorque,2,0)</f>
        <v>Andenne</v>
      </c>
      <c r="C6" s="483" t="str">
        <f>VLOOKUP($A6,LocalisationRemorque,3,0)</f>
        <v>Bierwart</v>
      </c>
      <c r="D6" s="483" t="str">
        <f>CONCATENATE(VLOOKUP($A6,LocalisationRemorque,6,0)," ► ",VLOOKUP($A6,LocalisationRemorque,5,0))</f>
        <v>Hannut ► Fernelmont</v>
      </c>
    </row>
    <row r="7">
      <c r="A7" s="478">
        <f t="shared" si="2"/>
        <v>305</v>
      </c>
      <c r="B7" s="482" t="str">
        <f>VLOOKUP($A7,LocalisationRemorque,2,0)</f>
        <v>Andenne</v>
      </c>
      <c r="C7" s="483" t="str">
        <f>VLOOKUP($A7,LocalisationRemorque,3,0)</f>
        <v>Bierwart</v>
      </c>
      <c r="D7" s="483" t="str">
        <f>CONCATENATE(VLOOKUP($A7,LocalisationRemorque,6,0)," ► ",VLOOKUP($A7,LocalisationRemorque,5,0))</f>
        <v>Hannut ► Fernelmont</v>
      </c>
    </row>
    <row r="8">
      <c r="A8" s="478">
        <f t="shared" ref="A8:A9" si="3">INDIRECT("Tableau!$A$70")</f>
        <v>306</v>
      </c>
      <c r="B8" s="482" t="str">
        <f>VLOOKUP($A8,LocalisationRemorque,2,0)</f>
        <v>Beauraing</v>
      </c>
      <c r="C8" s="483" t="str">
        <f>VLOOKUP($A8,LocalisationRemorque,3,0)</f>
        <v>Focant</v>
      </c>
      <c r="D8" s="483" t="str">
        <f>CONCATENATE(VLOOKUP($A8,LocalisationRemorque,6,0)," ► ",VLOOKUP($A8,LocalisationRemorque,5,0))</f>
        <v>Beauraing ► Rochefort</v>
      </c>
    </row>
    <row r="9">
      <c r="A9" s="478">
        <f t="shared" si="3"/>
        <v>306</v>
      </c>
      <c r="B9" s="482" t="str">
        <f>VLOOKUP($A9,LocalisationRemorque,2,0)</f>
        <v>Beauraing</v>
      </c>
      <c r="C9" s="483" t="str">
        <f>VLOOKUP($A9,LocalisationRemorque,3,0)</f>
        <v>Focant</v>
      </c>
      <c r="D9" s="483" t="str">
        <f>CONCATENATE(VLOOKUP($A9,LocalisationRemorque,6,0)," ► ",VLOOKUP($A9,LocalisationRemorque,5,0))</f>
        <v>Beauraing ► Rochefort</v>
      </c>
    </row>
    <row r="10">
      <c r="A10" s="478">
        <f t="array" ref="A10">INDIRECT("Tableau!$A$71")</f>
        <v>307</v>
      </c>
      <c r="B10" s="482" t="str">
        <f>VLOOKUP($A10,LocalisationRemorque,2,0)</f>
        <v>Hamois</v>
      </c>
      <c r="C10" s="483" t="str">
        <f>VLOOKUP($A10,LocalisationRemorque,3,0)</f>
        <v>Hamois</v>
      </c>
      <c r="D10" s="483" t="str">
        <f>CONCATENATE(VLOOKUP($A10,LocalisationRemorque,6,0)," ► ",VLOOKUP($A10,LocalisationRemorque,5,0))</f>
        <v>Ciney ► Havelange</v>
      </c>
    </row>
    <row r="11">
      <c r="A11" s="481">
        <f t="array" ref="A11">INDIRECT("Tableau!$A$72")</f>
        <v>367</v>
      </c>
      <c r="B11" s="482" t="str">
        <f>VLOOKUP($A11,LocalisationRemorque,2,0)</f>
        <v>Hamois</v>
      </c>
      <c r="C11" s="483" t="str">
        <f>VLOOKUP($A11,LocalisationRemorque,3,0)</f>
        <v>Hamois 2</v>
      </c>
      <c r="D11" s="483" t="str">
        <f>CONCATENATE(VLOOKUP($A11,LocalisationRemorque,6,0)," ► ",VLOOKUP($A11,LocalisationRemorque,5,0))</f>
        <v>Havelange ► Ciney</v>
      </c>
    </row>
    <row r="12">
      <c r="A12" s="478">
        <f t="array" ref="A12">INDIRECT("Tableau!$A$75")</f>
        <v>309</v>
      </c>
      <c r="B12" s="482" t="str">
        <f>VLOOKUP($A12,LocalisationRemorque,2,0)</f>
        <v>Ciney</v>
      </c>
      <c r="C12" s="483" t="str">
        <f>VLOOKUP($A12,LocalisationRemorque,3,0)</f>
        <v>Lienne Bas</v>
      </c>
      <c r="D12" s="483" t="str">
        <f>CONCATENATE(VLOOKUP($A12,LocalisationRemorque,6,0)," ► ",VLOOKUP($A12,LocalisationRemorque,5,0))</f>
        <v>Andenne ► Ciney Centre</v>
      </c>
    </row>
    <row r="13">
      <c r="A13" s="478">
        <f t="array" ref="A13">INDIRECT("Tableau!$A$76")</f>
        <v>310</v>
      </c>
      <c r="B13" s="482" t="str">
        <f>VLOOKUP($A13,LocalisationRemorque,2,0)</f>
        <v>Ciney</v>
      </c>
      <c r="C13" s="483" t="str">
        <f>VLOOKUP($A13,LocalisationRemorque,3,0)</f>
        <v>Biron Bas</v>
      </c>
      <c r="D13" s="483" t="str">
        <f>CONCATENATE(VLOOKUP($A13,LocalisationRemorque,6,0)," ► ",VLOOKUP($A13,LocalisationRemorque,5,0))</f>
        <v>Ciney ► N4</v>
      </c>
    </row>
    <row r="14">
      <c r="A14" s="478">
        <f t="array" ref="A14">INDIRECT("Tableau!$A$77")</f>
        <v>311</v>
      </c>
      <c r="B14" s="482" t="str">
        <f>VLOOKUP($A14,LocalisationRemorque,2,0)</f>
        <v>Ciney</v>
      </c>
      <c r="C14" s="483" t="str">
        <f>VLOOKUP($A14,LocalisationRemorque,3,0)</f>
        <v>N4 Sanseau</v>
      </c>
      <c r="D14" s="483" t="str">
        <f>CONCATENATE(VLOOKUP($A14,LocalisationRemorque,6,0)," ► ",VLOOKUP($A14,LocalisationRemorque,5,0))</f>
        <v>Namur ► Marche-en-Famenne</v>
      </c>
    </row>
    <row r="15">
      <c r="A15" s="478">
        <f t="array" ref="A15">INDIRECT("Tableau!$A$78")</f>
        <v>312</v>
      </c>
      <c r="B15" s="482" t="str">
        <f>VLOOKUP($A15,LocalisationRemorque,2,0)</f>
        <v>Dinant</v>
      </c>
      <c r="C15" s="483" t="str">
        <f>VLOOKUP($A15,LocalisationRemorque,3,0)</f>
        <v>Sorinnes Achêne</v>
      </c>
      <c r="D15" s="483" t="str">
        <f>CONCATENATE(VLOOKUP($A15,LocalisationRemorque,6,0)," ► ",VLOOKUP($A15,LocalisationRemorque,5,0))</f>
        <v>Dinant ► Ciney</v>
      </c>
    </row>
    <row r="16">
      <c r="A16" s="478">
        <f t="shared" ref="A16:A17" si="4">INDIRECT("Tableau!$A$81")</f>
        <v>315</v>
      </c>
      <c r="B16" s="482" t="str">
        <f>VLOOKUP($A16,LocalisationRemorque,2,0)</f>
        <v>Dinant</v>
      </c>
      <c r="C16" s="483" t="str">
        <f>VLOOKUP($A16,LocalisationRemorque,3,0)</f>
        <v>Anhée</v>
      </c>
      <c r="D16" s="483" t="str">
        <f>CONCATENATE(VLOOKUP($A16,LocalisationRemorque,6,0)," ► ",VLOOKUP($A16,LocalisationRemorque,5,0))</f>
        <v>Namur ► Dinant</v>
      </c>
    </row>
    <row r="17">
      <c r="A17" s="478">
        <f t="shared" si="4"/>
        <v>315</v>
      </c>
      <c r="B17" s="482" t="str">
        <f>VLOOKUP($A17,LocalisationRemorque,2,0)</f>
        <v>Dinant</v>
      </c>
      <c r="C17" s="483" t="str">
        <f>VLOOKUP($A17,LocalisationRemorque,3,0)</f>
        <v>Anhée</v>
      </c>
      <c r="D17" s="483" t="str">
        <f>CONCATENATE(VLOOKUP($A17,LocalisationRemorque,6,0)," ► ",VLOOKUP($A17,LocalisationRemorque,5,0))</f>
        <v>Namur ► Dinant</v>
      </c>
    </row>
    <row r="18">
      <c r="A18" s="478">
        <f t="array" ref="A18">INDIRECT("Tableau!$A$82")</f>
        <v>316</v>
      </c>
      <c r="B18" s="482" t="str">
        <f>VLOOKUP($A18,LocalisationRemorque,2,0)</f>
        <v>Dinant</v>
      </c>
      <c r="C18" s="483" t="str">
        <f>VLOOKUP($A18,LocalisationRemorque,3,0)</f>
        <v>Falmignoul</v>
      </c>
      <c r="D18" s="483" t="str">
        <f>CONCATENATE(VLOOKUP($A18,LocalisationRemorque,6,0)," ► ",VLOOKUP($A18,LocalisationRemorque,5,0))</f>
        <v>Dinant ► Beauraing</v>
      </c>
    </row>
    <row r="19">
      <c r="A19" s="478">
        <f t="shared" ref="A19:A20" si="5">INDIRECT("Tableau!$A$83")</f>
        <v>317</v>
      </c>
      <c r="B19" s="482" t="str">
        <f>VLOOKUP($A19,LocalisationRemorque,2,0)</f>
        <v>Dinant</v>
      </c>
      <c r="C19" s="483" t="str">
        <f>VLOOKUP($A19,LocalisationRemorque,3,0)</f>
        <v>Anthée</v>
      </c>
      <c r="D19" s="483" t="str">
        <f>CONCATENATE(VLOOKUP($A19,LocalisationRemorque,6,0)," ► ",VLOOKUP($A19,LocalisationRemorque,5,0))</f>
        <v>Dinant ► Philippeville</v>
      </c>
    </row>
    <row r="20">
      <c r="A20" s="478">
        <f t="shared" si="5"/>
        <v>317</v>
      </c>
      <c r="B20" s="482" t="str">
        <f>VLOOKUP($A20,LocalisationRemorque,2,0)</f>
        <v>Dinant</v>
      </c>
      <c r="C20" s="483" t="str">
        <f>VLOOKUP($A20,LocalisationRemorque,3,0)</f>
        <v>Anthée</v>
      </c>
      <c r="D20" s="483" t="str">
        <f>CONCATENATE(VLOOKUP($A20,LocalisationRemorque,6,0)," ► ",VLOOKUP($A20,LocalisationRemorque,5,0))</f>
        <v>Dinant ► Philippeville</v>
      </c>
    </row>
    <row r="21">
      <c r="A21" s="488">
        <v>319.0</v>
      </c>
      <c r="B21" s="482" t="str">
        <f>VLOOKUP($A21,LocalisationRemorque,2,0)</f>
        <v>Ciney</v>
      </c>
      <c r="C21" s="483" t="str">
        <f>VLOOKUP($A21,LocalisationRemorque,3,0)</f>
        <v>Lienne Haut</v>
      </c>
      <c r="D21" s="483" t="str">
        <f>CONCATENATE(VLOOKUP($A21,LocalisationRemorque,6,0)," ► ",VLOOKUP($A21,LocalisationRemorque,5,0))</f>
        <v>Ciney ► Andenne</v>
      </c>
    </row>
    <row r="22">
      <c r="A22" s="478">
        <f t="array" ref="A22">INDIRECT("Tableau!$A$84")</f>
        <v>318</v>
      </c>
      <c r="B22" s="482" t="str">
        <f>VLOOKUP($A22,LocalisationRemorque,2,0)</f>
        <v>Eghezée</v>
      </c>
      <c r="C22" s="483" t="str">
        <f>VLOOKUP($A22,LocalisationRemorque,3,0)</f>
        <v>Eghezée </v>
      </c>
      <c r="D22" s="483" t="str">
        <f>CONCATENATE(VLOOKUP($A22,LocalisationRemorque,6,0)," ► ",VLOOKUP($A22,LocalisationRemorque,5,0))</f>
        <v>Éghezée ► Andenne</v>
      </c>
    </row>
    <row r="23">
      <c r="A23" s="478">
        <f t="array" ref="A23">INDIRECT("Tableau!$A$85")</f>
        <v>320</v>
      </c>
      <c r="B23" s="482" t="str">
        <f>VLOOKUP($A23,LocalisationRemorque,2,0)</f>
        <v>Eghezée</v>
      </c>
      <c r="C23" s="483" t="str">
        <f>VLOOKUP($A23,LocalisationRemorque,3,0)</f>
        <v>Eghezée</v>
      </c>
      <c r="D23" s="483" t="str">
        <f>CONCATENATE(VLOOKUP($A23,LocalisationRemorque,6,0)," ► ",VLOOKUP($A23,LocalisationRemorque,5,0))</f>
        <v>Namur ► Eghezee</v>
      </c>
    </row>
    <row r="24">
      <c r="A24" s="478">
        <f t="array" ref="A24">INDIRECT("Tableau!$A$86")</f>
        <v>321</v>
      </c>
      <c r="B24" s="482" t="str">
        <f>VLOOKUP($A24,LocalisationRemorque,2,0)</f>
        <v>Eghezée</v>
      </c>
      <c r="C24" s="483" t="str">
        <f>VLOOKUP($A24,LocalisationRemorque,3,0)</f>
        <v>Longchamps N912</v>
      </c>
      <c r="D24" s="483" t="str">
        <f>CONCATENATE(VLOOKUP($A24,LocalisationRemorque,6,0)," ► ",VLOOKUP($A24,LocalisationRemorque,5,0))</f>
        <v>Éghezée ► E411</v>
      </c>
    </row>
    <row r="25">
      <c r="A25" s="481" t="str">
        <f t="array" ref="A25">INDIRECT("Tableau!$A$87")</f>
        <v/>
      </c>
      <c r="B25" s="482" t="str">
        <f>VLOOKUP($A25,LocalisationRemorque,2,0)</f>
        <v> Remorque non listée</v>
      </c>
      <c r="C25" s="483" t="str">
        <f>VLOOKUP($A25,LocalisationRemorque,3,0)</f>
        <v/>
      </c>
      <c r="D25" s="483" t="str">
        <f>CONCATENATE(VLOOKUP($A25,LocalisationRemorque,6,0)," ► ",VLOOKUP($A25,LocalisationRemorque,5,0))</f>
        <v> ► </v>
      </c>
    </row>
    <row r="26">
      <c r="A26" s="478">
        <f t="array" ref="A26">INDIRECT("Tableau!$A$88")</f>
        <v>323</v>
      </c>
      <c r="B26" s="482" t="str">
        <f>VLOOKUP($A26,LocalisationRemorque,2,0)</f>
        <v>Gembloux</v>
      </c>
      <c r="C26" s="483" t="str">
        <f>VLOOKUP($A26,LocalisationRemorque,3,0)</f>
        <v>Sauvenière 2</v>
      </c>
      <c r="D26" s="483" t="str">
        <f>CONCATENATE(VLOOKUP($A26,LocalisationRemorque,6,0)," ► ",VLOOKUP($A26,LocalisationRemorque,5,0))</f>
        <v>E411 ► Gembloux</v>
      </c>
    </row>
    <row r="27">
      <c r="A27" s="478">
        <f t="array" ref="A27">INDIRECT("Tableau!$A$89")</f>
        <v>324</v>
      </c>
      <c r="B27" s="482" t="str">
        <f>VLOOKUP($A27,LocalisationRemorque,2,0)</f>
        <v>Gembloux</v>
      </c>
      <c r="C27" s="483" t="str">
        <f>VLOOKUP($A27,LocalisationRemorque,3,0)</f>
        <v>Meux</v>
      </c>
      <c r="D27" s="483" t="str">
        <f>CONCATENATE(VLOOKUP($A27,LocalisationRemorque,6,0)," ► ",VLOOKUP($A27,LocalisationRemorque,5,0))</f>
        <v>Gembloux ► E411</v>
      </c>
    </row>
    <row r="28">
      <c r="A28" s="478">
        <f t="array" ref="A28">INDIRECT("Tableau!$A$90")</f>
        <v>325</v>
      </c>
      <c r="B28" s="482" t="str">
        <f>VLOOKUP($A28,LocalisationRemorque,2,0)</f>
        <v>Gembloux</v>
      </c>
      <c r="C28" s="483" t="str">
        <f>VLOOKUP($A28,LocalisationRemorque,3,0)</f>
        <v>Corroy-le-Château</v>
      </c>
      <c r="D28" s="483" t="str">
        <f>CONCATENATE(VLOOKUP($A28,LocalisationRemorque,6,0)," ► ",VLOOKUP($A28,LocalisationRemorque,5,0))</f>
        <v>Charleroi ► Gembloux</v>
      </c>
    </row>
    <row r="29">
      <c r="A29" s="478">
        <f t="array" ref="A29">INDIRECT("Tableau!$A$91")</f>
        <v>326</v>
      </c>
      <c r="B29" s="482" t="str">
        <f>VLOOKUP($A29,LocalisationRemorque,2,0)</f>
        <v>Gembloux</v>
      </c>
      <c r="C29" s="483" t="str">
        <f>VLOOKUP($A29,LocalisationRemorque,3,0)</f>
        <v>Carrefour Didi - Les Isnes</v>
      </c>
      <c r="D29" s="483" t="str">
        <f>CONCATENATE(VLOOKUP($A29,LocalisationRemorque,6,0)," ► ",VLOOKUP($A29,LocalisationRemorque,5,0))</f>
        <v>E42 ► Eghezée</v>
      </c>
    </row>
    <row r="30">
      <c r="A30" s="478">
        <f t="array" ref="A30">INDIRECT("Tableau!$A$92")</f>
        <v>327</v>
      </c>
      <c r="B30" s="482" t="str">
        <f>VLOOKUP($A30,LocalisationRemorque,2,0)</f>
        <v>Gembloux</v>
      </c>
      <c r="C30" s="483" t="str">
        <f>VLOOKUP($A30,LocalisationRemorque,3,0)</f>
        <v>Carrefour Didi - Gembloux</v>
      </c>
      <c r="D30" s="483" t="str">
        <f>CONCATENATE(VLOOKUP($A30,LocalisationRemorque,6,0)," ► ",VLOOKUP($A30,LocalisationRemorque,5,0))</f>
        <v>Gembloux ► Namur</v>
      </c>
    </row>
    <row r="31">
      <c r="A31" s="478">
        <f t="array" ref="A31">INDIRECT("Tableau!$A$94")</f>
        <v>329</v>
      </c>
      <c r="B31" s="482" t="str">
        <f>VLOOKUP($A31,LocalisationRemorque,2,0)</f>
        <v>Gembloux</v>
      </c>
      <c r="C31" s="483" t="str">
        <f>VLOOKUP($A31,LocalisationRemorque,3,0)</f>
        <v>Ernage/Walhain</v>
      </c>
      <c r="D31" s="483" t="str">
        <f>CONCATENATE(VLOOKUP($A31,LocalisationRemorque,6,0)," ► ",VLOOKUP($A31,LocalisationRemorque,5,0))</f>
        <v>Gembloux ► LLN</v>
      </c>
    </row>
    <row r="32">
      <c r="A32" s="478">
        <f t="shared" ref="A32:A33" si="6">INDIRECT("Tableau!$A$100")</f>
        <v>335</v>
      </c>
      <c r="B32" s="482" t="str">
        <f>VLOOKUP($A32,LocalisationRemorque,2,0)</f>
        <v>Namur</v>
      </c>
      <c r="C32" s="483" t="str">
        <f>VLOOKUP($A32,LocalisationRemorque,3,0)</f>
        <v>Temploux</v>
      </c>
      <c r="D32" s="483" t="str">
        <f>CONCATENATE(VLOOKUP($A32,LocalisationRemorque,6,0)," ► ",VLOOKUP($A32,LocalisationRemorque,5,0))</f>
        <v>Nivelles ► Namur</v>
      </c>
    </row>
    <row r="33">
      <c r="A33" s="478">
        <f t="shared" si="6"/>
        <v>335</v>
      </c>
      <c r="B33" s="482" t="str">
        <f>VLOOKUP($A33,LocalisationRemorque,2,0)</f>
        <v>Namur</v>
      </c>
      <c r="C33" s="483" t="str">
        <f>VLOOKUP($A33,LocalisationRemorque,3,0)</f>
        <v>Temploux</v>
      </c>
      <c r="D33" s="483" t="str">
        <f>CONCATENATE(VLOOKUP($A33,LocalisationRemorque,6,0)," ► ",VLOOKUP($A33,LocalisationRemorque,5,0))</f>
        <v>Nivelles ► Namur</v>
      </c>
    </row>
    <row r="34">
      <c r="A34" s="478">
        <f t="shared" ref="A34:A35" si="7">INDIRECT("Tableau!$A$103")</f>
        <v>338</v>
      </c>
      <c r="B34" s="482" t="str">
        <f>VLOOKUP($A34,LocalisationRemorque,2,0)</f>
        <v>Namur</v>
      </c>
      <c r="C34" s="483" t="str">
        <f>VLOOKUP($A34,LocalisationRemorque,3,0)</f>
        <v>Floriffoux</v>
      </c>
      <c r="D34" s="483" t="str">
        <f>CONCATENATE(VLOOKUP($A34,LocalisationRemorque,6,0)," ► ",VLOOKUP($A34,LocalisationRemorque,5,0))</f>
        <v>Suarlée ► Floreffe</v>
      </c>
    </row>
    <row r="35">
      <c r="A35" s="478">
        <f t="shared" si="7"/>
        <v>338</v>
      </c>
      <c r="B35" s="482" t="str">
        <f>VLOOKUP($A35,LocalisationRemorque,2,0)</f>
        <v>Namur</v>
      </c>
      <c r="C35" s="483" t="str">
        <f>VLOOKUP($A35,LocalisationRemorque,3,0)</f>
        <v>Floriffoux</v>
      </c>
      <c r="D35" s="483" t="str">
        <f>CONCATENATE(VLOOKUP($A35,LocalisationRemorque,6,0)," ► ",VLOOKUP($A35,LocalisationRemorque,5,0))</f>
        <v>Suarlée ► Floreffe</v>
      </c>
    </row>
    <row r="36">
      <c r="A36" s="478">
        <f t="array" ref="A36">INDIRECT("Tableau!$A$107")</f>
        <v>365</v>
      </c>
      <c r="B36" s="482" t="str">
        <f>VLOOKUP($A36,LocalisationRemorque,2,0)</f>
        <v>Namur</v>
      </c>
      <c r="C36" s="483" t="str">
        <f>VLOOKUP($A36,LocalisationRemorque,3,0)</f>
        <v>Courrière 2</v>
      </c>
      <c r="D36" s="483" t="str">
        <f>CONCATENATE(VLOOKUP($A36,LocalisationRemorque,6,0)," ► ",VLOOKUP($A36,LocalisationRemorque,5,0))</f>
        <v>Namur ► Ciney</v>
      </c>
    </row>
    <row r="37">
      <c r="A37" s="478">
        <f t="array" ref="A37">INDIRECT("Tableau!$A$111")</f>
        <v>363</v>
      </c>
      <c r="B37" s="482" t="str">
        <f>VLOOKUP($A37,LocalisationRemorque,2,0)</f>
        <v>Namur</v>
      </c>
      <c r="C37" s="483" t="str">
        <f>VLOOKUP($A37,LocalisationRemorque,3,0)</f>
        <v>Erpent</v>
      </c>
      <c r="D37" s="483" t="str">
        <f>CONCATENATE(VLOOKUP($A37,LocalisationRemorque,6,0)," ► ",VLOOKUP($A37,LocalisationRemorque,5,0))</f>
        <v>Marche-en-Famenne ► Namur</v>
      </c>
    </row>
    <row r="38">
      <c r="A38" s="478">
        <f t="array" ref="A38">INDIRECT("Tableau!$A$112")</f>
        <v>345</v>
      </c>
      <c r="B38" s="482" t="str">
        <f>VLOOKUP($A38,LocalisationRemorque,2,0)</f>
        <v>Philippeville</v>
      </c>
      <c r="C38" s="483" t="str">
        <f>VLOOKUP($A38,LocalisationRemorque,3,0)</f>
        <v>Philippeville</v>
      </c>
      <c r="D38" s="483" t="str">
        <f>CONCATENATE(VLOOKUP($A38,LocalisationRemorque,6,0)," ► ",VLOOKUP($A38,LocalisationRemorque,5,0))</f>
        <v>Philippeville ► Dinant</v>
      </c>
    </row>
    <row r="39">
      <c r="A39" s="481" t="str">
        <f t="shared" ref="A39:A40" si="8">INDIRECT("Tableau!$A$117")</f>
        <v/>
      </c>
      <c r="B39" s="482" t="str">
        <f>VLOOKUP($A39,LocalisationRemorque,2,0)</f>
        <v> Remorque non listée</v>
      </c>
      <c r="C39" s="483" t="str">
        <f>VLOOKUP($A39,LocalisationRemorque,3,0)</f>
        <v/>
      </c>
      <c r="D39" s="483" t="str">
        <f>CONCATENATE(VLOOKUP($A39,LocalisationRemorque,6,0)," ► ",VLOOKUP($A39,LocalisationRemorque,5,0))</f>
        <v> ► </v>
      </c>
    </row>
    <row r="40">
      <c r="A40" s="481" t="str">
        <f t="shared" si="8"/>
        <v/>
      </c>
      <c r="B40" s="482" t="str">
        <f>VLOOKUP($A40,LocalisationRemorque,2,0)</f>
        <v> Remorque non listée</v>
      </c>
      <c r="C40" s="483" t="str">
        <f>VLOOKUP($A40,LocalisationRemorque,3,0)</f>
        <v/>
      </c>
      <c r="D40" s="483" t="str">
        <f>CONCATENATE(VLOOKUP($A40,LocalisationRemorque,6,0)," ► ",VLOOKUP($A40,LocalisationRemorque,5,0))</f>
        <v> ► </v>
      </c>
    </row>
    <row r="41">
      <c r="A41" s="478">
        <f t="array" ref="A41">INDIRECT("Tableau!$A$122")</f>
        <v>351</v>
      </c>
      <c r="B41" s="482" t="str">
        <f>VLOOKUP($A41,LocalisationRemorque,2,0)</f>
        <v>Marche</v>
      </c>
      <c r="C41" s="483" t="str">
        <f>VLOOKUP($A41,LocalisationRemorque,3,0)</f>
        <v>Bourdon</v>
      </c>
      <c r="D41" s="483" t="str">
        <f>CONCATENATE(VLOOKUP($A41,LocalisationRemorque,6,0)," ► ",VLOOKUP($A41,LocalisationRemorque,5,0))</f>
        <v>Hotton ► Marche</v>
      </c>
    </row>
    <row r="42">
      <c r="A42" s="481" t="str">
        <f t="shared" ref="A42:A43" si="9">INDIRECT("Tableau!$A$125")</f>
        <v/>
      </c>
      <c r="B42" s="482" t="str">
        <f>VLOOKUP($A42,LocalisationRemorque,2,0)</f>
        <v> Remorque non listée</v>
      </c>
      <c r="C42" s="483" t="str">
        <f>VLOOKUP($A42,LocalisationRemorque,3,0)</f>
        <v/>
      </c>
      <c r="D42" s="483" t="str">
        <f>CONCATENATE(VLOOKUP($A42,LocalisationRemorque,6,0)," ► ",VLOOKUP($A42,LocalisationRemorque,5,0))</f>
        <v> ► </v>
      </c>
    </row>
    <row r="43">
      <c r="A43" s="481" t="str">
        <f t="shared" si="9"/>
        <v/>
      </c>
      <c r="B43" s="482" t="str">
        <f>VLOOKUP($A43,LocalisationRemorque,2,0)</f>
        <v> Remorque non listée</v>
      </c>
      <c r="C43" s="483" t="str">
        <f>VLOOKUP($A43,LocalisationRemorque,3,0)</f>
        <v/>
      </c>
      <c r="D43" s="483" t="str">
        <f>CONCATENATE(VLOOKUP($A43,LocalisationRemorque,6,0)," ► ",VLOOKUP($A43,LocalisationRemorque,5,0))</f>
        <v> ► </v>
      </c>
    </row>
    <row r="44">
      <c r="A44" s="478">
        <f t="array" ref="A44">INDIRECT("Tableau!$A$126")</f>
        <v>354</v>
      </c>
      <c r="B44" s="482" t="str">
        <f>VLOOKUP($A44,LocalisationRemorque,2,0)</f>
        <v>Basse Sambre</v>
      </c>
      <c r="C44" s="483" t="str">
        <f>VLOOKUP($A44,LocalisationRemorque,3,0)</f>
        <v>Sambreville 1</v>
      </c>
      <c r="D44" s="483" t="str">
        <f>CONCATENATE(VLOOKUP($A44,LocalisationRemorque,6,0)," ► ",VLOOKUP($A44,LocalisationRemorque,5,0))</f>
        <v>Jemeppe-sur-Sambre ► Sombreffe</v>
      </c>
    </row>
    <row r="45">
      <c r="A45" s="478">
        <f t="shared" ref="A45:A46" si="10">INDIRECT("Tableau!$A$127")</f>
        <v>355</v>
      </c>
      <c r="B45" s="482" t="str">
        <f>VLOOKUP($A45,LocalisationRemorque,2,0)</f>
        <v>Basse Sambre</v>
      </c>
      <c r="C45" s="483" t="str">
        <f>VLOOKUP($A45,LocalisationRemorque,3,0)</f>
        <v>Sambreville 2</v>
      </c>
      <c r="D45" s="483" t="str">
        <f>CONCATENATE(VLOOKUP($A45,LocalisationRemorque,6,0)," ► ",VLOOKUP($A45,LocalisationRemorque,5,0))</f>
        <v>E42 Velaine ► Mettet</v>
      </c>
    </row>
    <row r="46">
      <c r="A46" s="478">
        <f t="shared" si="10"/>
        <v>355</v>
      </c>
      <c r="B46" s="482" t="str">
        <f>VLOOKUP($A46,LocalisationRemorque,2,0)</f>
        <v>Basse Sambre</v>
      </c>
      <c r="C46" s="483" t="str">
        <f>VLOOKUP($A46,LocalisationRemorque,3,0)</f>
        <v>Sambreville 2</v>
      </c>
      <c r="D46" s="483" t="str">
        <f>CONCATENATE(VLOOKUP($A46,LocalisationRemorque,6,0)," ► ",VLOOKUP($A46,LocalisationRemorque,5,0))</f>
        <v>E42 Velaine ► Mettet</v>
      </c>
    </row>
    <row r="47">
      <c r="A47" s="478">
        <f t="array" ref="A47">INDIRECT("Tableau!$A$128")</f>
        <v>356</v>
      </c>
      <c r="B47" s="482" t="str">
        <f>VLOOKUP($A47,LocalisationRemorque,2,0)</f>
        <v>Basse Sambre</v>
      </c>
      <c r="C47" s="483" t="str">
        <f>VLOOKUP($A47,LocalisationRemorque,3,0)</f>
        <v>Moustier</v>
      </c>
      <c r="D47" s="483" t="str">
        <f>CONCATENATE(VLOOKUP($A47,LocalisationRemorque,6,0)," ► ",VLOOKUP($A47,LocalisationRemorque,5,0))</f>
        <v>Charleroi ► Namur</v>
      </c>
    </row>
    <row r="48">
      <c r="A48" s="478">
        <f t="shared" ref="A48:A49" si="11">INDIRECT("Tableau!$A$113")</f>
        <v>346</v>
      </c>
      <c r="B48" s="482" t="str">
        <f>VLOOKUP($A48,LocalisationRemorque,2,0)</f>
        <v>Mettet</v>
      </c>
      <c r="C48" s="483" t="str">
        <f>VLOOKUP($A48,LocalisationRemorque,3,0)</f>
        <v>Rond point circuit</v>
      </c>
      <c r="D48" s="483" t="str">
        <f>CONCATENATE(VLOOKUP($A48,LocalisationRemorque,6,0)," ► ",VLOOKUP($A48,LocalisationRemorque,5,0))</f>
        <v>Annevoie ► Circuit</v>
      </c>
    </row>
    <row r="49">
      <c r="A49" s="478">
        <f t="shared" si="11"/>
        <v>346</v>
      </c>
      <c r="B49" s="482" t="str">
        <f>VLOOKUP($A49,LocalisationRemorque,2,0)</f>
        <v>Mettet</v>
      </c>
      <c r="C49" s="483" t="str">
        <f>VLOOKUP($A49,LocalisationRemorque,3,0)</f>
        <v>Rond point circuit</v>
      </c>
      <c r="D49" s="483" t="str">
        <f>CONCATENATE(VLOOKUP($A49,LocalisationRemorque,6,0)," ► ",VLOOKUP($A49,LocalisationRemorque,5,0))</f>
        <v>Annevoie ► Circuit</v>
      </c>
    </row>
    <row r="50">
      <c r="A50" s="478">
        <f t="array" ref="A50">INDIRECT("Tableau!$A$114")</f>
        <v>359</v>
      </c>
      <c r="B50" s="482" t="str">
        <f>VLOOKUP($A50,LocalisationRemorque,2,0)</f>
        <v>Florenne</v>
      </c>
      <c r="C50" s="483" t="str">
        <f>VLOOKUP($A50,LocalisationRemorque,3,0)</f>
        <v>Mettet</v>
      </c>
      <c r="D50" s="483" t="str">
        <f>CONCATENATE(VLOOKUP($A50,LocalisationRemorque,6,0)," ► ",VLOOKUP($A50,LocalisationRemorque,5,0))</f>
        <v>Mettet ► Florennes</v>
      </c>
    </row>
    <row r="51">
      <c r="A51" s="478">
        <f t="shared" ref="A51:A52" si="12">INDIRECT("Tableau!$A$115")</f>
        <v>360</v>
      </c>
      <c r="B51" s="482" t="str">
        <f>VLOOKUP($A51,LocalisationRemorque,2,0)</f>
        <v>Neuville</v>
      </c>
      <c r="C51" s="483" t="str">
        <f>VLOOKUP($A51,LocalisationRemorque,3,0)</f>
        <v>Philippeville-Couvin</v>
      </c>
      <c r="D51" s="483" t="str">
        <f>CONCATENATE(VLOOKUP($A51,LocalisationRemorque,6,0)," ► ",VLOOKUP($A51,LocalisationRemorque,5,0))</f>
        <v>Philippeville ► Couvin</v>
      </c>
    </row>
    <row r="52">
      <c r="A52" s="478">
        <f t="shared" si="12"/>
        <v>360</v>
      </c>
      <c r="B52" s="482" t="str">
        <f>VLOOKUP($A52,LocalisationRemorque,2,0)</f>
        <v>Neuville</v>
      </c>
      <c r="C52" s="483" t="str">
        <f>VLOOKUP($A52,LocalisationRemorque,3,0)</f>
        <v>Philippeville-Couvin</v>
      </c>
      <c r="D52" s="483" t="str">
        <f>CONCATENATE(VLOOKUP($A52,LocalisationRemorque,6,0)," ► ",VLOOKUP($A52,LocalisationRemorque,5,0))</f>
        <v>Philippeville ► Couvin</v>
      </c>
    </row>
    <row r="53">
      <c r="A53" s="478">
        <f t="array" ref="A53">INDIRECT("Tableau!$A$116")</f>
        <v>361</v>
      </c>
      <c r="B53" s="482" t="str">
        <f>VLOOKUP($A53,LocalisationRemorque,2,0)</f>
        <v>Lacs de l'Eau d'Heure</v>
      </c>
      <c r="C53" s="483" t="str">
        <f>VLOOKUP($A53,LocalisationRemorque,3,0)</f>
        <v>Silenrieux</v>
      </c>
      <c r="D53" s="483" t="str">
        <f>CONCATENATE(VLOOKUP($A53,LocalisationRemorque,6,0)," ► ",VLOOKUP($A53,LocalisationRemorque,5,0))</f>
        <v>Philippeville ► Silenrieux</v>
      </c>
    </row>
    <row r="54">
      <c r="A54" s="491">
        <f t="array" ref="A54">INDIRECT("Tableau!$A$106")</f>
        <v>341</v>
      </c>
      <c r="B54" s="492" t="str">
        <f>VLOOKUP($A54,LocalisationRemorque,2,0)</f>
        <v>Namur</v>
      </c>
      <c r="C54" s="493" t="str">
        <f>VLOOKUP($A54,LocalisationRemorque,3,0)</f>
        <v>Courrière</v>
      </c>
      <c r="D54" s="493" t="str">
        <f>CONCATENATE(VLOOKUP($A54,LocalisationRemorque,6,0)," ► ",VLOOKUP($A54,LocalisationRemorque,5,0))</f>
        <v>Namur ► Ciney</v>
      </c>
    </row>
    <row r="55">
      <c r="A55" s="158"/>
    </row>
    <row r="56">
      <c r="A56" s="158"/>
    </row>
    <row r="57">
      <c r="A57" s="158"/>
    </row>
    <row r="58">
      <c r="A58" s="158"/>
    </row>
    <row r="59">
      <c r="A59" s="158"/>
    </row>
    <row r="60">
      <c r="A60" s="158"/>
    </row>
    <row r="61">
      <c r="A61" s="158"/>
    </row>
    <row r="62">
      <c r="A62" s="158"/>
    </row>
    <row r="63">
      <c r="A63" s="158"/>
    </row>
    <row r="64">
      <c r="A64" s="158"/>
    </row>
    <row r="65">
      <c r="A65" s="158"/>
    </row>
    <row r="66">
      <c r="A66" s="158"/>
    </row>
    <row r="67">
      <c r="A67" s="158"/>
    </row>
    <row r="68">
      <c r="A68" s="158"/>
    </row>
    <row r="69">
      <c r="A69" s="158"/>
    </row>
    <row r="70">
      <c r="A70" s="158"/>
    </row>
    <row r="71">
      <c r="A71" s="158"/>
    </row>
    <row r="72">
      <c r="A72" s="158"/>
    </row>
    <row r="73">
      <c r="A73" s="158"/>
    </row>
    <row r="74">
      <c r="A74" s="158"/>
    </row>
    <row r="75">
      <c r="A75" s="158"/>
    </row>
    <row r="76">
      <c r="A76" s="158"/>
    </row>
    <row r="77">
      <c r="A77" s="158"/>
    </row>
    <row r="78">
      <c r="A78" s="158"/>
    </row>
    <row r="79">
      <c r="A79" s="158"/>
    </row>
    <row r="80">
      <c r="A80" s="158"/>
    </row>
    <row r="81">
      <c r="A81" s="158"/>
    </row>
    <row r="82">
      <c r="A82" s="158"/>
    </row>
    <row r="83">
      <c r="A83" s="158"/>
    </row>
    <row r="84">
      <c r="A84" s="158"/>
    </row>
    <row r="85">
      <c r="A85" s="158"/>
    </row>
    <row r="86">
      <c r="A86" s="158"/>
    </row>
    <row r="87">
      <c r="A87" s="158"/>
    </row>
    <row r="88">
      <c r="A88" s="158"/>
    </row>
    <row r="89">
      <c r="A89" s="158"/>
    </row>
    <row r="90">
      <c r="A90" s="158"/>
    </row>
    <row r="91">
      <c r="A91" s="158"/>
    </row>
    <row r="92">
      <c r="A92" s="158"/>
    </row>
    <row r="93">
      <c r="A93" s="158"/>
    </row>
    <row r="94">
      <c r="A94" s="158"/>
    </row>
    <row r="95">
      <c r="A95" s="158"/>
    </row>
    <row r="96">
      <c r="A96" s="158"/>
    </row>
    <row r="97">
      <c r="A97" s="158"/>
    </row>
    <row r="98">
      <c r="A98" s="158"/>
    </row>
    <row r="99">
      <c r="A99" s="158"/>
    </row>
    <row r="100">
      <c r="A100" s="158"/>
    </row>
    <row r="101">
      <c r="A101" s="158"/>
    </row>
    <row r="102">
      <c r="A102" s="158"/>
    </row>
    <row r="103">
      <c r="A103" s="158"/>
    </row>
    <row r="104">
      <c r="A104" s="158"/>
    </row>
    <row r="105">
      <c r="A105" s="158"/>
    </row>
    <row r="106">
      <c r="A106" s="158"/>
    </row>
    <row r="107">
      <c r="A107" s="158"/>
    </row>
    <row r="108">
      <c r="A108" s="158"/>
    </row>
    <row r="109">
      <c r="A109" s="158"/>
    </row>
    <row r="110">
      <c r="A110" s="158"/>
    </row>
    <row r="111">
      <c r="A111" s="158"/>
    </row>
    <row r="112">
      <c r="A112" s="158"/>
    </row>
    <row r="113">
      <c r="A113" s="158"/>
    </row>
    <row r="114">
      <c r="A114" s="158"/>
    </row>
    <row r="115">
      <c r="A115" s="158"/>
    </row>
    <row r="116">
      <c r="A116" s="158"/>
    </row>
    <row r="117">
      <c r="A117" s="158"/>
    </row>
    <row r="118">
      <c r="A118" s="158"/>
    </row>
    <row r="119">
      <c r="A119" s="158"/>
    </row>
    <row r="120">
      <c r="A120" s="158"/>
    </row>
    <row r="121">
      <c r="A121" s="158"/>
    </row>
    <row r="122">
      <c r="A122" s="158"/>
    </row>
    <row r="123">
      <c r="A123" s="158"/>
    </row>
    <row r="124">
      <c r="A124" s="158"/>
    </row>
    <row r="125">
      <c r="A125" s="158"/>
    </row>
    <row r="126">
      <c r="A126" s="158"/>
    </row>
    <row r="127">
      <c r="A127" s="158"/>
    </row>
    <row r="128">
      <c r="A128" s="158"/>
    </row>
    <row r="129">
      <c r="A129" s="158"/>
    </row>
    <row r="130">
      <c r="A130" s="158"/>
    </row>
    <row r="131">
      <c r="A131" s="158"/>
    </row>
    <row r="132">
      <c r="A132" s="158"/>
    </row>
    <row r="133">
      <c r="A133" s="158"/>
    </row>
    <row r="134">
      <c r="A134" s="158"/>
    </row>
    <row r="135">
      <c r="A135" s="158"/>
    </row>
    <row r="136">
      <c r="A136" s="158"/>
    </row>
    <row r="137">
      <c r="A137" s="158"/>
    </row>
    <row r="138">
      <c r="A138" s="158"/>
    </row>
    <row r="139">
      <c r="A139" s="158"/>
    </row>
    <row r="140">
      <c r="A140" s="158"/>
    </row>
    <row r="141">
      <c r="A141" s="158"/>
    </row>
    <row r="142">
      <c r="A142" s="158"/>
    </row>
    <row r="143">
      <c r="A143" s="158"/>
    </row>
    <row r="144">
      <c r="A144" s="158"/>
    </row>
    <row r="145">
      <c r="A145" s="158"/>
    </row>
    <row r="146">
      <c r="A146" s="158"/>
    </row>
    <row r="147">
      <c r="A147" s="158"/>
    </row>
    <row r="148">
      <c r="A148" s="158"/>
    </row>
    <row r="149">
      <c r="A149" s="158"/>
    </row>
    <row r="150">
      <c r="A150" s="158"/>
    </row>
    <row r="151">
      <c r="A151" s="158"/>
    </row>
    <row r="152">
      <c r="A152" s="158"/>
    </row>
    <row r="153">
      <c r="A153" s="158"/>
    </row>
    <row r="154">
      <c r="A154" s="158"/>
    </row>
    <row r="155">
      <c r="A155" s="158"/>
    </row>
    <row r="156">
      <c r="A156" s="158"/>
    </row>
    <row r="157">
      <c r="A157" s="158"/>
    </row>
    <row r="158">
      <c r="A158" s="158"/>
    </row>
    <row r="159">
      <c r="A159" s="158"/>
    </row>
    <row r="160">
      <c r="A160" s="158"/>
    </row>
    <row r="161">
      <c r="A161" s="158"/>
    </row>
    <row r="162">
      <c r="A162" s="158"/>
    </row>
    <row r="163">
      <c r="A163" s="158"/>
    </row>
    <row r="164">
      <c r="A164" s="158"/>
    </row>
    <row r="165">
      <c r="A165" s="158"/>
    </row>
    <row r="166">
      <c r="A166" s="158"/>
    </row>
    <row r="167">
      <c r="A167" s="158"/>
    </row>
    <row r="168">
      <c r="A168" s="158"/>
    </row>
    <row r="169">
      <c r="A169" s="158"/>
    </row>
    <row r="170">
      <c r="A170" s="158"/>
    </row>
    <row r="171">
      <c r="A171" s="158"/>
    </row>
    <row r="172">
      <c r="A172" s="158"/>
    </row>
    <row r="173">
      <c r="A173" s="158"/>
    </row>
    <row r="174">
      <c r="A174" s="158"/>
    </row>
    <row r="175">
      <c r="A175" s="158"/>
    </row>
    <row r="176">
      <c r="A176" s="158"/>
    </row>
    <row r="177">
      <c r="A177" s="158"/>
    </row>
    <row r="178">
      <c r="A178" s="158"/>
    </row>
    <row r="179">
      <c r="A179" s="158"/>
    </row>
    <row r="180">
      <c r="A180" s="158"/>
    </row>
    <row r="181">
      <c r="A181" s="158"/>
    </row>
    <row r="182">
      <c r="A182" s="158"/>
    </row>
    <row r="183">
      <c r="A183" s="158"/>
    </row>
    <row r="184">
      <c r="A184" s="158"/>
    </row>
    <row r="185">
      <c r="A185" s="158"/>
    </row>
    <row r="186">
      <c r="A186" s="158"/>
    </row>
    <row r="187">
      <c r="A187" s="158"/>
    </row>
    <row r="188">
      <c r="A188" s="158"/>
    </row>
    <row r="189">
      <c r="A189" s="158"/>
    </row>
    <row r="190">
      <c r="A190" s="158"/>
    </row>
    <row r="191">
      <c r="A191" s="158"/>
    </row>
    <row r="192">
      <c r="A192" s="158"/>
    </row>
    <row r="193">
      <c r="A193" s="158"/>
    </row>
    <row r="194">
      <c r="A194" s="158"/>
    </row>
    <row r="195">
      <c r="A195" s="158"/>
    </row>
    <row r="196">
      <c r="A196" s="158"/>
    </row>
    <row r="197">
      <c r="A197" s="158"/>
    </row>
    <row r="198">
      <c r="A198" s="158"/>
    </row>
    <row r="199">
      <c r="A199" s="158"/>
    </row>
    <row r="200">
      <c r="A200" s="158"/>
    </row>
    <row r="201">
      <c r="A201" s="158"/>
    </row>
    <row r="202">
      <c r="A202" s="158"/>
    </row>
    <row r="203">
      <c r="A203" s="158"/>
    </row>
    <row r="204">
      <c r="A204" s="158"/>
    </row>
    <row r="205">
      <c r="A205" s="158"/>
    </row>
    <row r="206">
      <c r="A206" s="158"/>
    </row>
    <row r="207">
      <c r="A207" s="158"/>
    </row>
    <row r="208">
      <c r="A208" s="158"/>
    </row>
    <row r="209">
      <c r="A209" s="158"/>
    </row>
    <row r="210">
      <c r="A210" s="158"/>
    </row>
    <row r="211">
      <c r="A211" s="158"/>
    </row>
    <row r="212">
      <c r="A212" s="158"/>
    </row>
    <row r="213">
      <c r="A213" s="158"/>
    </row>
    <row r="214">
      <c r="A214" s="158"/>
    </row>
    <row r="215">
      <c r="A215" s="158"/>
    </row>
    <row r="216">
      <c r="A216" s="158"/>
    </row>
    <row r="217">
      <c r="A217" s="158"/>
    </row>
    <row r="218">
      <c r="A218" s="158"/>
    </row>
    <row r="219">
      <c r="A219" s="158"/>
    </row>
    <row r="220">
      <c r="A220" s="158"/>
    </row>
    <row r="221">
      <c r="A221" s="158"/>
    </row>
    <row r="222">
      <c r="A222" s="158"/>
    </row>
    <row r="223">
      <c r="A223" s="158"/>
    </row>
    <row r="224">
      <c r="A224" s="158"/>
    </row>
    <row r="225">
      <c r="A225" s="158"/>
    </row>
    <row r="226">
      <c r="A226" s="158"/>
    </row>
    <row r="227">
      <c r="A227" s="158"/>
    </row>
    <row r="228">
      <c r="A228" s="158"/>
    </row>
    <row r="229">
      <c r="A229" s="158"/>
    </row>
    <row r="230">
      <c r="A230" s="158"/>
    </row>
    <row r="231">
      <c r="A231" s="158"/>
    </row>
    <row r="232">
      <c r="A232" s="158"/>
    </row>
    <row r="233">
      <c r="A233" s="158"/>
    </row>
    <row r="234">
      <c r="A234" s="158"/>
    </row>
    <row r="235">
      <c r="A235" s="158"/>
    </row>
    <row r="236">
      <c r="A236" s="158"/>
    </row>
    <row r="237">
      <c r="A237" s="158"/>
    </row>
    <row r="238">
      <c r="A238" s="158"/>
    </row>
    <row r="239">
      <c r="A239" s="158"/>
    </row>
    <row r="240">
      <c r="A240" s="158"/>
    </row>
    <row r="241">
      <c r="A241" s="158"/>
    </row>
    <row r="242">
      <c r="A242" s="158"/>
    </row>
    <row r="243">
      <c r="A243" s="158"/>
    </row>
    <row r="244">
      <c r="A244" s="158"/>
    </row>
    <row r="245">
      <c r="A245" s="158"/>
    </row>
    <row r="246">
      <c r="A246" s="158"/>
    </row>
    <row r="247">
      <c r="A247" s="158"/>
    </row>
    <row r="248">
      <c r="A248" s="158"/>
    </row>
    <row r="249">
      <c r="A249" s="158"/>
    </row>
    <row r="250">
      <c r="A250" s="158"/>
    </row>
    <row r="251">
      <c r="A251" s="158"/>
    </row>
    <row r="252">
      <c r="A252" s="158"/>
    </row>
    <row r="253">
      <c r="A253" s="158"/>
    </row>
    <row r="254">
      <c r="A254" s="158"/>
    </row>
    <row r="255">
      <c r="A255" s="158"/>
    </row>
    <row r="256">
      <c r="A256" s="158"/>
    </row>
    <row r="257">
      <c r="A257" s="158"/>
    </row>
    <row r="258">
      <c r="A258" s="158"/>
    </row>
    <row r="259">
      <c r="A259" s="158"/>
    </row>
    <row r="260">
      <c r="A260" s="158"/>
    </row>
    <row r="261">
      <c r="A261" s="158"/>
    </row>
    <row r="262">
      <c r="A262" s="158"/>
    </row>
    <row r="263">
      <c r="A263" s="158"/>
    </row>
    <row r="264">
      <c r="A264" s="158"/>
    </row>
    <row r="265">
      <c r="A265" s="158"/>
    </row>
    <row r="266">
      <c r="A266" s="158"/>
    </row>
    <row r="267">
      <c r="A267" s="158"/>
    </row>
    <row r="268">
      <c r="A268" s="158"/>
    </row>
    <row r="269">
      <c r="A269" s="158"/>
    </row>
    <row r="270">
      <c r="A270" s="158"/>
    </row>
    <row r="271">
      <c r="A271" s="158"/>
    </row>
    <row r="272">
      <c r="A272" s="158"/>
    </row>
    <row r="273">
      <c r="A273" s="158"/>
    </row>
    <row r="274">
      <c r="A274" s="158"/>
    </row>
    <row r="275">
      <c r="A275" s="158"/>
    </row>
    <row r="276">
      <c r="A276" s="158"/>
    </row>
    <row r="277">
      <c r="A277" s="158"/>
    </row>
    <row r="278">
      <c r="A278" s="158"/>
    </row>
    <row r="279">
      <c r="A279" s="158"/>
    </row>
    <row r="280">
      <c r="A280" s="158"/>
    </row>
    <row r="281">
      <c r="A281" s="158"/>
    </row>
    <row r="282">
      <c r="A282" s="158"/>
    </row>
    <row r="283">
      <c r="A283" s="158"/>
    </row>
    <row r="284">
      <c r="A284" s="158"/>
    </row>
    <row r="285">
      <c r="A285" s="158"/>
    </row>
    <row r="286">
      <c r="A286" s="158"/>
    </row>
    <row r="287">
      <c r="A287" s="158"/>
    </row>
    <row r="288">
      <c r="A288" s="158"/>
    </row>
    <row r="289">
      <c r="A289" s="158"/>
    </row>
    <row r="290">
      <c r="A290" s="158"/>
    </row>
    <row r="291">
      <c r="A291" s="158"/>
    </row>
    <row r="292">
      <c r="A292" s="158"/>
    </row>
    <row r="293">
      <c r="A293" s="158"/>
    </row>
    <row r="294">
      <c r="A294" s="158"/>
    </row>
    <row r="295">
      <c r="A295" s="158"/>
    </row>
    <row r="296">
      <c r="A296" s="158"/>
    </row>
    <row r="297">
      <c r="A297" s="158"/>
    </row>
    <row r="298">
      <c r="A298" s="158"/>
    </row>
    <row r="299">
      <c r="A299" s="158"/>
    </row>
    <row r="300">
      <c r="A300" s="158"/>
    </row>
    <row r="301">
      <c r="A301" s="158"/>
    </row>
    <row r="302">
      <c r="A302" s="158"/>
    </row>
    <row r="303">
      <c r="A303" s="158"/>
    </row>
    <row r="304">
      <c r="A304" s="158"/>
    </row>
    <row r="305">
      <c r="A305" s="158"/>
    </row>
    <row r="306">
      <c r="A306" s="158"/>
    </row>
    <row r="307">
      <c r="A307" s="158"/>
    </row>
    <row r="308">
      <c r="A308" s="158"/>
    </row>
    <row r="309">
      <c r="A309" s="158"/>
    </row>
    <row r="310">
      <c r="A310" s="158"/>
    </row>
    <row r="311">
      <c r="A311" s="158"/>
    </row>
    <row r="312">
      <c r="A312" s="158"/>
    </row>
    <row r="313">
      <c r="A313" s="158"/>
    </row>
    <row r="314">
      <c r="A314" s="158"/>
    </row>
    <row r="315">
      <c r="A315" s="158"/>
    </row>
    <row r="316">
      <c r="A316" s="158"/>
    </row>
    <row r="317">
      <c r="A317" s="158"/>
    </row>
    <row r="318">
      <c r="A318" s="158"/>
    </row>
    <row r="319">
      <c r="A319" s="158"/>
    </row>
    <row r="320">
      <c r="A320" s="158"/>
    </row>
    <row r="321">
      <c r="A321" s="158"/>
    </row>
    <row r="322">
      <c r="A322" s="158"/>
    </row>
    <row r="323">
      <c r="A323" s="158"/>
    </row>
    <row r="324">
      <c r="A324" s="158"/>
    </row>
    <row r="325">
      <c r="A325" s="158"/>
    </row>
    <row r="326">
      <c r="A326" s="158"/>
    </row>
    <row r="327">
      <c r="A327" s="158"/>
    </row>
    <row r="328">
      <c r="A328" s="158"/>
    </row>
    <row r="329">
      <c r="A329" s="158"/>
    </row>
    <row r="330">
      <c r="A330" s="158"/>
    </row>
    <row r="331">
      <c r="A331" s="158"/>
    </row>
    <row r="332">
      <c r="A332" s="158"/>
    </row>
    <row r="333">
      <c r="A333" s="158"/>
    </row>
    <row r="334">
      <c r="A334" s="158"/>
    </row>
    <row r="335">
      <c r="A335" s="158"/>
    </row>
    <row r="336">
      <c r="A336" s="158"/>
    </row>
    <row r="337">
      <c r="A337" s="158"/>
    </row>
    <row r="338">
      <c r="A338" s="158"/>
    </row>
    <row r="339">
      <c r="A339" s="158"/>
    </row>
    <row r="340">
      <c r="A340" s="158"/>
    </row>
    <row r="341">
      <c r="A341" s="158"/>
    </row>
    <row r="342">
      <c r="A342" s="158"/>
    </row>
    <row r="343">
      <c r="A343" s="158"/>
    </row>
    <row r="344">
      <c r="A344" s="158"/>
    </row>
    <row r="345">
      <c r="A345" s="158"/>
    </row>
    <row r="346">
      <c r="A346" s="158"/>
    </row>
    <row r="347">
      <c r="A347" s="158"/>
    </row>
    <row r="348">
      <c r="A348" s="158"/>
    </row>
    <row r="349">
      <c r="A349" s="158"/>
    </row>
    <row r="350">
      <c r="A350" s="158"/>
    </row>
    <row r="351">
      <c r="A351" s="158"/>
    </row>
    <row r="352">
      <c r="A352" s="158"/>
    </row>
    <row r="353">
      <c r="A353" s="158"/>
    </row>
    <row r="354">
      <c r="A354" s="158"/>
    </row>
    <row r="355">
      <c r="A355" s="158"/>
    </row>
    <row r="356">
      <c r="A356" s="158"/>
    </row>
    <row r="357">
      <c r="A357" s="158"/>
    </row>
    <row r="358">
      <c r="A358" s="158"/>
    </row>
    <row r="359">
      <c r="A359" s="158"/>
    </row>
    <row r="360">
      <c r="A360" s="158"/>
    </row>
    <row r="361">
      <c r="A361" s="158"/>
    </row>
    <row r="362">
      <c r="A362" s="158"/>
    </row>
    <row r="363">
      <c r="A363" s="158"/>
    </row>
    <row r="364">
      <c r="A364" s="158"/>
    </row>
    <row r="365">
      <c r="A365" s="158"/>
    </row>
    <row r="366">
      <c r="A366" s="158"/>
    </row>
    <row r="367">
      <c r="A367" s="158"/>
    </row>
    <row r="368">
      <c r="A368" s="158"/>
    </row>
    <row r="369">
      <c r="A369" s="158"/>
    </row>
    <row r="370">
      <c r="A370" s="158"/>
    </row>
    <row r="371">
      <c r="A371" s="158"/>
    </row>
    <row r="372">
      <c r="A372" s="158"/>
    </row>
    <row r="373">
      <c r="A373" s="158"/>
    </row>
    <row r="374">
      <c r="A374" s="158"/>
    </row>
    <row r="375">
      <c r="A375" s="158"/>
    </row>
    <row r="376">
      <c r="A376" s="158"/>
    </row>
    <row r="377">
      <c r="A377" s="158"/>
    </row>
    <row r="378">
      <c r="A378" s="158"/>
    </row>
    <row r="379">
      <c r="A379" s="158"/>
    </row>
    <row r="380">
      <c r="A380" s="158"/>
    </row>
    <row r="381">
      <c r="A381" s="158"/>
    </row>
    <row r="382">
      <c r="A382" s="158"/>
    </row>
    <row r="383">
      <c r="A383" s="158"/>
    </row>
    <row r="384">
      <c r="A384" s="158"/>
    </row>
    <row r="385">
      <c r="A385" s="158"/>
    </row>
    <row r="386">
      <c r="A386" s="158"/>
    </row>
    <row r="387">
      <c r="A387" s="158"/>
    </row>
    <row r="388">
      <c r="A388" s="158"/>
    </row>
    <row r="389">
      <c r="A389" s="158"/>
    </row>
    <row r="390">
      <c r="A390" s="158"/>
    </row>
    <row r="391">
      <c r="A391" s="158"/>
    </row>
    <row r="392">
      <c r="A392" s="158"/>
    </row>
    <row r="393">
      <c r="A393" s="158"/>
    </row>
    <row r="394">
      <c r="A394" s="158"/>
    </row>
    <row r="395">
      <c r="A395" s="158"/>
    </row>
    <row r="396">
      <c r="A396" s="158"/>
    </row>
    <row r="397">
      <c r="A397" s="158"/>
    </row>
    <row r="398">
      <c r="A398" s="158"/>
    </row>
    <row r="399">
      <c r="A399" s="158"/>
    </row>
    <row r="400">
      <c r="A400" s="158"/>
    </row>
    <row r="401">
      <c r="A401" s="158"/>
    </row>
    <row r="402">
      <c r="A402" s="158"/>
    </row>
    <row r="403">
      <c r="A403" s="158"/>
    </row>
    <row r="404">
      <c r="A404" s="158"/>
    </row>
    <row r="405">
      <c r="A405" s="158"/>
    </row>
    <row r="406">
      <c r="A406" s="158"/>
    </row>
    <row r="407">
      <c r="A407" s="158"/>
    </row>
    <row r="408">
      <c r="A408" s="158"/>
    </row>
    <row r="409">
      <c r="A409" s="158"/>
    </row>
    <row r="410">
      <c r="A410" s="158"/>
    </row>
    <row r="411">
      <c r="A411" s="158"/>
    </row>
    <row r="412">
      <c r="A412" s="158"/>
    </row>
    <row r="413">
      <c r="A413" s="158"/>
    </row>
    <row r="414">
      <c r="A414" s="158"/>
    </row>
    <row r="415">
      <c r="A415" s="158"/>
    </row>
    <row r="416">
      <c r="A416" s="158"/>
    </row>
    <row r="417">
      <c r="A417" s="158"/>
    </row>
    <row r="418">
      <c r="A418" s="158"/>
    </row>
    <row r="419">
      <c r="A419" s="158"/>
    </row>
    <row r="420">
      <c r="A420" s="158"/>
    </row>
    <row r="421">
      <c r="A421" s="158"/>
    </row>
    <row r="422">
      <c r="A422" s="158"/>
    </row>
    <row r="423">
      <c r="A423" s="158"/>
    </row>
    <row r="424">
      <c r="A424" s="158"/>
    </row>
    <row r="425">
      <c r="A425" s="158"/>
    </row>
    <row r="426">
      <c r="A426" s="158"/>
    </row>
    <row r="427">
      <c r="A427" s="158"/>
    </row>
    <row r="428">
      <c r="A428" s="158"/>
    </row>
    <row r="429">
      <c r="A429" s="158"/>
    </row>
    <row r="430">
      <c r="A430" s="158"/>
    </row>
    <row r="431">
      <c r="A431" s="158"/>
    </row>
    <row r="432">
      <c r="A432" s="158"/>
    </row>
    <row r="433">
      <c r="A433" s="158"/>
    </row>
    <row r="434">
      <c r="A434" s="158"/>
    </row>
    <row r="435">
      <c r="A435" s="158"/>
    </row>
    <row r="436">
      <c r="A436" s="158"/>
    </row>
    <row r="437">
      <c r="A437" s="158"/>
    </row>
    <row r="438">
      <c r="A438" s="158"/>
    </row>
    <row r="439">
      <c r="A439" s="158"/>
    </row>
    <row r="440">
      <c r="A440" s="158"/>
    </row>
    <row r="441">
      <c r="A441" s="158"/>
    </row>
    <row r="442">
      <c r="A442" s="158"/>
    </row>
    <row r="443">
      <c r="A443" s="158"/>
    </row>
    <row r="444">
      <c r="A444" s="158"/>
    </row>
    <row r="445">
      <c r="A445" s="158"/>
    </row>
    <row r="446">
      <c r="A446" s="158"/>
    </row>
    <row r="447">
      <c r="A447" s="158"/>
    </row>
    <row r="448">
      <c r="A448" s="158"/>
    </row>
    <row r="449">
      <c r="A449" s="158"/>
    </row>
    <row r="450">
      <c r="A450" s="158"/>
    </row>
    <row r="451">
      <c r="A451" s="158"/>
    </row>
    <row r="452">
      <c r="A452" s="158"/>
    </row>
    <row r="453">
      <c r="A453" s="158"/>
    </row>
    <row r="454">
      <c r="A454" s="158"/>
    </row>
    <row r="455">
      <c r="A455" s="158"/>
    </row>
    <row r="456">
      <c r="A456" s="158"/>
    </row>
    <row r="457">
      <c r="A457" s="158"/>
    </row>
    <row r="458">
      <c r="A458" s="158"/>
    </row>
    <row r="459">
      <c r="A459" s="158"/>
    </row>
    <row r="460">
      <c r="A460" s="158"/>
    </row>
    <row r="461">
      <c r="A461" s="158"/>
    </row>
    <row r="462">
      <c r="A462" s="158"/>
    </row>
    <row r="463">
      <c r="A463" s="158"/>
    </row>
    <row r="464">
      <c r="A464" s="158"/>
    </row>
    <row r="465">
      <c r="A465" s="158"/>
    </row>
    <row r="466">
      <c r="A466" s="158"/>
    </row>
    <row r="467">
      <c r="A467" s="158"/>
    </row>
    <row r="468">
      <c r="A468" s="158"/>
    </row>
    <row r="469">
      <c r="A469" s="158"/>
    </row>
    <row r="470">
      <c r="A470" s="158"/>
    </row>
    <row r="471">
      <c r="A471" s="158"/>
    </row>
    <row r="472">
      <c r="A472" s="158"/>
    </row>
    <row r="473">
      <c r="A473" s="158"/>
    </row>
    <row r="474">
      <c r="A474" s="158"/>
    </row>
    <row r="475">
      <c r="A475" s="158"/>
    </row>
    <row r="476">
      <c r="A476" s="158"/>
    </row>
    <row r="477">
      <c r="A477" s="158"/>
    </row>
    <row r="478">
      <c r="A478" s="158"/>
    </row>
    <row r="479">
      <c r="A479" s="158"/>
    </row>
    <row r="480">
      <c r="A480" s="158"/>
    </row>
    <row r="481">
      <c r="A481" s="158"/>
    </row>
    <row r="482">
      <c r="A482" s="158"/>
    </row>
    <row r="483">
      <c r="A483" s="158"/>
    </row>
    <row r="484">
      <c r="A484" s="158"/>
    </row>
    <row r="485">
      <c r="A485" s="158"/>
    </row>
    <row r="486">
      <c r="A486" s="158"/>
    </row>
    <row r="487">
      <c r="A487" s="158"/>
    </row>
    <row r="488">
      <c r="A488" s="158"/>
    </row>
    <row r="489">
      <c r="A489" s="158"/>
    </row>
    <row r="490">
      <c r="A490" s="158"/>
    </row>
    <row r="491">
      <c r="A491" s="158"/>
    </row>
    <row r="492">
      <c r="A492" s="158"/>
    </row>
    <row r="493">
      <c r="A493" s="158"/>
    </row>
    <row r="494">
      <c r="A494" s="158"/>
    </row>
    <row r="495">
      <c r="A495" s="158"/>
    </row>
    <row r="496">
      <c r="A496" s="158"/>
    </row>
    <row r="497">
      <c r="A497" s="158"/>
    </row>
    <row r="498">
      <c r="A498" s="158"/>
    </row>
    <row r="499">
      <c r="A499" s="158"/>
    </row>
    <row r="500">
      <c r="A500" s="158"/>
    </row>
    <row r="501">
      <c r="A501" s="158"/>
    </row>
    <row r="502">
      <c r="A502" s="158"/>
    </row>
    <row r="503">
      <c r="A503" s="158"/>
    </row>
    <row r="504">
      <c r="A504" s="158"/>
    </row>
    <row r="505">
      <c r="A505" s="158"/>
    </row>
    <row r="506">
      <c r="A506" s="158"/>
    </row>
    <row r="507">
      <c r="A507" s="158"/>
    </row>
    <row r="508">
      <c r="A508" s="158"/>
    </row>
    <row r="509">
      <c r="A509" s="158"/>
    </row>
    <row r="510">
      <c r="A510" s="158"/>
    </row>
    <row r="511">
      <c r="A511" s="158"/>
    </row>
    <row r="512">
      <c r="A512" s="158"/>
    </row>
    <row r="513">
      <c r="A513" s="158"/>
    </row>
    <row r="514">
      <c r="A514" s="158"/>
    </row>
    <row r="515">
      <c r="A515" s="158"/>
    </row>
    <row r="516">
      <c r="A516" s="158"/>
    </row>
    <row r="517">
      <c r="A517" s="158"/>
    </row>
    <row r="518">
      <c r="A518" s="158"/>
    </row>
    <row r="519">
      <c r="A519" s="158"/>
    </row>
    <row r="520">
      <c r="A520" s="158"/>
    </row>
    <row r="521">
      <c r="A521" s="158"/>
    </row>
    <row r="522">
      <c r="A522" s="158"/>
    </row>
    <row r="523">
      <c r="A523" s="158"/>
    </row>
    <row r="524">
      <c r="A524" s="158"/>
    </row>
    <row r="525">
      <c r="A525" s="158"/>
    </row>
    <row r="526">
      <c r="A526" s="158"/>
    </row>
    <row r="527">
      <c r="A527" s="158"/>
    </row>
    <row r="528">
      <c r="A528" s="158"/>
    </row>
    <row r="529">
      <c r="A529" s="158"/>
    </row>
    <row r="530">
      <c r="A530" s="158"/>
    </row>
    <row r="531">
      <c r="A531" s="158"/>
    </row>
    <row r="532">
      <c r="A532" s="158"/>
    </row>
    <row r="533">
      <c r="A533" s="158"/>
    </row>
    <row r="534">
      <c r="A534" s="158"/>
    </row>
    <row r="535">
      <c r="A535" s="158"/>
    </row>
    <row r="536">
      <c r="A536" s="158"/>
    </row>
    <row r="537">
      <c r="A537" s="158"/>
    </row>
    <row r="538">
      <c r="A538" s="158"/>
    </row>
    <row r="539">
      <c r="A539" s="158"/>
    </row>
    <row r="540">
      <c r="A540" s="158"/>
    </row>
    <row r="541">
      <c r="A541" s="158"/>
    </row>
    <row r="542">
      <c r="A542" s="158"/>
    </row>
    <row r="543">
      <c r="A543" s="158"/>
    </row>
    <row r="544">
      <c r="A544" s="158"/>
    </row>
    <row r="545">
      <c r="A545" s="158"/>
    </row>
    <row r="546">
      <c r="A546" s="158"/>
    </row>
    <row r="547">
      <c r="A547" s="158"/>
    </row>
    <row r="548">
      <c r="A548" s="158"/>
    </row>
    <row r="549">
      <c r="A549" s="158"/>
    </row>
    <row r="550">
      <c r="A550" s="158"/>
    </row>
    <row r="551">
      <c r="A551" s="158"/>
    </row>
    <row r="552">
      <c r="A552" s="158"/>
    </row>
    <row r="553">
      <c r="A553" s="158"/>
    </row>
    <row r="554">
      <c r="A554" s="158"/>
    </row>
    <row r="555">
      <c r="A555" s="158"/>
    </row>
    <row r="556">
      <c r="A556" s="158"/>
    </row>
    <row r="557">
      <c r="A557" s="158"/>
    </row>
    <row r="558">
      <c r="A558" s="158"/>
    </row>
    <row r="559">
      <c r="A559" s="158"/>
    </row>
    <row r="560">
      <c r="A560" s="158"/>
    </row>
    <row r="561">
      <c r="A561" s="158"/>
    </row>
    <row r="562">
      <c r="A562" s="158"/>
    </row>
    <row r="563">
      <c r="A563" s="158"/>
    </row>
    <row r="564">
      <c r="A564" s="158"/>
    </row>
    <row r="565">
      <c r="A565" s="158"/>
    </row>
    <row r="566">
      <c r="A566" s="158"/>
    </row>
    <row r="567">
      <c r="A567" s="158"/>
    </row>
    <row r="568">
      <c r="A568" s="158"/>
    </row>
    <row r="569">
      <c r="A569" s="158"/>
    </row>
    <row r="570">
      <c r="A570" s="158"/>
    </row>
    <row r="571">
      <c r="A571" s="158"/>
    </row>
    <row r="572">
      <c r="A572" s="158"/>
    </row>
    <row r="573">
      <c r="A573" s="158"/>
    </row>
    <row r="574">
      <c r="A574" s="158"/>
    </row>
    <row r="575">
      <c r="A575" s="158"/>
    </row>
    <row r="576">
      <c r="A576" s="158"/>
    </row>
    <row r="577">
      <c r="A577" s="158"/>
    </row>
    <row r="578">
      <c r="A578" s="158"/>
    </row>
    <row r="579">
      <c r="A579" s="158"/>
    </row>
    <row r="580">
      <c r="A580" s="158"/>
    </row>
    <row r="581">
      <c r="A581" s="158"/>
    </row>
    <row r="582">
      <c r="A582" s="158"/>
    </row>
    <row r="583">
      <c r="A583" s="158"/>
    </row>
    <row r="584">
      <c r="A584" s="158"/>
    </row>
    <row r="585">
      <c r="A585" s="158"/>
    </row>
    <row r="586">
      <c r="A586" s="158"/>
    </row>
    <row r="587">
      <c r="A587" s="158"/>
    </row>
    <row r="588">
      <c r="A588" s="158"/>
    </row>
    <row r="589">
      <c r="A589" s="158"/>
    </row>
    <row r="590">
      <c r="A590" s="158"/>
    </row>
    <row r="591">
      <c r="A591" s="158"/>
    </row>
    <row r="592">
      <c r="A592" s="158"/>
    </row>
    <row r="593">
      <c r="A593" s="158"/>
    </row>
    <row r="594">
      <c r="A594" s="158"/>
    </row>
    <row r="595">
      <c r="A595" s="158"/>
    </row>
    <row r="596">
      <c r="A596" s="158"/>
    </row>
    <row r="597">
      <c r="A597" s="158"/>
    </row>
    <row r="598">
      <c r="A598" s="158"/>
    </row>
    <row r="599">
      <c r="A599" s="158"/>
    </row>
    <row r="600">
      <c r="A600" s="158"/>
    </row>
    <row r="601">
      <c r="A601" s="158"/>
    </row>
    <row r="602">
      <c r="A602" s="158"/>
    </row>
    <row r="603">
      <c r="A603" s="158"/>
    </row>
    <row r="604">
      <c r="A604" s="158"/>
    </row>
    <row r="605">
      <c r="A605" s="158"/>
    </row>
    <row r="606">
      <c r="A606" s="158"/>
    </row>
    <row r="607">
      <c r="A607" s="158"/>
    </row>
    <row r="608">
      <c r="A608" s="158"/>
    </row>
    <row r="609">
      <c r="A609" s="158"/>
    </row>
    <row r="610">
      <c r="A610" s="158"/>
    </row>
    <row r="611">
      <c r="A611" s="158"/>
    </row>
    <row r="612">
      <c r="A612" s="158"/>
    </row>
    <row r="613">
      <c r="A613" s="158"/>
    </row>
    <row r="614">
      <c r="A614" s="158"/>
    </row>
    <row r="615">
      <c r="A615" s="158"/>
    </row>
    <row r="616">
      <c r="A616" s="158"/>
    </row>
    <row r="617">
      <c r="A617" s="158"/>
    </row>
    <row r="618">
      <c r="A618" s="158"/>
    </row>
    <row r="619">
      <c r="A619" s="158"/>
    </row>
    <row r="620">
      <c r="A620" s="158"/>
    </row>
    <row r="621">
      <c r="A621" s="158"/>
    </row>
    <row r="622">
      <c r="A622" s="158"/>
    </row>
    <row r="623">
      <c r="A623" s="158"/>
    </row>
    <row r="624">
      <c r="A624" s="158"/>
    </row>
    <row r="625">
      <c r="A625" s="158"/>
    </row>
    <row r="626">
      <c r="A626" s="158"/>
    </row>
    <row r="627">
      <c r="A627" s="158"/>
    </row>
    <row r="628">
      <c r="A628" s="158"/>
    </row>
    <row r="629">
      <c r="A629" s="158"/>
    </row>
    <row r="630">
      <c r="A630" s="158"/>
    </row>
    <row r="631">
      <c r="A631" s="158"/>
    </row>
    <row r="632">
      <c r="A632" s="158"/>
    </row>
    <row r="633">
      <c r="A633" s="158"/>
    </row>
    <row r="634">
      <c r="A634" s="158"/>
    </row>
    <row r="635">
      <c r="A635" s="158"/>
    </row>
    <row r="636">
      <c r="A636" s="158"/>
    </row>
    <row r="637">
      <c r="A637" s="158"/>
    </row>
    <row r="638">
      <c r="A638" s="158"/>
    </row>
    <row r="639">
      <c r="A639" s="158"/>
    </row>
    <row r="640">
      <c r="A640" s="158"/>
    </row>
    <row r="641">
      <c r="A641" s="158"/>
    </row>
    <row r="642">
      <c r="A642" s="158"/>
    </row>
    <row r="643">
      <c r="A643" s="158"/>
    </row>
    <row r="644">
      <c r="A644" s="158"/>
    </row>
    <row r="645">
      <c r="A645" s="158"/>
    </row>
    <row r="646">
      <c r="A646" s="158"/>
    </row>
    <row r="647">
      <c r="A647" s="158"/>
    </row>
    <row r="648">
      <c r="A648" s="158"/>
    </row>
    <row r="649">
      <c r="A649" s="158"/>
    </row>
    <row r="650">
      <c r="A650" s="158"/>
    </row>
    <row r="651">
      <c r="A651" s="158"/>
    </row>
    <row r="652">
      <c r="A652" s="158"/>
    </row>
    <row r="653">
      <c r="A653" s="158"/>
    </row>
    <row r="654">
      <c r="A654" s="158"/>
    </row>
    <row r="655">
      <c r="A655" s="158"/>
    </row>
    <row r="656">
      <c r="A656" s="158"/>
    </row>
    <row r="657">
      <c r="A657" s="158"/>
    </row>
    <row r="658">
      <c r="A658" s="158"/>
    </row>
    <row r="659">
      <c r="A659" s="158"/>
    </row>
    <row r="660">
      <c r="A660" s="158"/>
    </row>
    <row r="661">
      <c r="A661" s="158"/>
    </row>
    <row r="662">
      <c r="A662" s="158"/>
    </row>
    <row r="663">
      <c r="A663" s="158"/>
    </row>
    <row r="664">
      <c r="A664" s="158"/>
    </row>
    <row r="665">
      <c r="A665" s="158"/>
    </row>
    <row r="666">
      <c r="A666" s="158"/>
    </row>
    <row r="667">
      <c r="A667" s="158"/>
    </row>
    <row r="668">
      <c r="A668" s="158"/>
    </row>
    <row r="669">
      <c r="A669" s="158"/>
    </row>
    <row r="670">
      <c r="A670" s="158"/>
    </row>
    <row r="671">
      <c r="A671" s="158"/>
    </row>
    <row r="672">
      <c r="A672" s="158"/>
    </row>
    <row r="673">
      <c r="A673" s="158"/>
    </row>
    <row r="674">
      <c r="A674" s="158"/>
    </row>
    <row r="675">
      <c r="A675" s="158"/>
    </row>
    <row r="676">
      <c r="A676" s="158"/>
    </row>
    <row r="677">
      <c r="A677" s="158"/>
    </row>
    <row r="678">
      <c r="A678" s="158"/>
    </row>
    <row r="679">
      <c r="A679" s="158"/>
    </row>
    <row r="680">
      <c r="A680" s="158"/>
    </row>
    <row r="681">
      <c r="A681" s="158"/>
    </row>
    <row r="682">
      <c r="A682" s="158"/>
    </row>
    <row r="683">
      <c r="A683" s="158"/>
    </row>
    <row r="684">
      <c r="A684" s="158"/>
    </row>
    <row r="685">
      <c r="A685" s="158"/>
    </row>
    <row r="686">
      <c r="A686" s="158"/>
    </row>
    <row r="687">
      <c r="A687" s="158"/>
    </row>
    <row r="688">
      <c r="A688" s="158"/>
    </row>
    <row r="689">
      <c r="A689" s="158"/>
    </row>
    <row r="690">
      <c r="A690" s="158"/>
    </row>
    <row r="691">
      <c r="A691" s="158"/>
    </row>
    <row r="692">
      <c r="A692" s="158"/>
    </row>
    <row r="693">
      <c r="A693" s="158"/>
    </row>
    <row r="694">
      <c r="A694" s="158"/>
    </row>
    <row r="695">
      <c r="A695" s="158"/>
    </row>
    <row r="696">
      <c r="A696" s="158"/>
    </row>
    <row r="697">
      <c r="A697" s="158"/>
    </row>
    <row r="698">
      <c r="A698" s="158"/>
    </row>
    <row r="699">
      <c r="A699" s="158"/>
    </row>
    <row r="700">
      <c r="A700" s="158"/>
    </row>
    <row r="701">
      <c r="A701" s="158"/>
    </row>
    <row r="702">
      <c r="A702" s="158"/>
    </row>
    <row r="703">
      <c r="A703" s="158"/>
    </row>
    <row r="704">
      <c r="A704" s="158"/>
    </row>
    <row r="705">
      <c r="A705" s="158"/>
    </row>
    <row r="706">
      <c r="A706" s="158"/>
    </row>
    <row r="707">
      <c r="A707" s="158"/>
    </row>
    <row r="708">
      <c r="A708" s="158"/>
    </row>
    <row r="709">
      <c r="A709" s="158"/>
    </row>
    <row r="710">
      <c r="A710" s="158"/>
    </row>
    <row r="711">
      <c r="A711" s="158"/>
    </row>
    <row r="712">
      <c r="A712" s="158"/>
    </row>
    <row r="713">
      <c r="A713" s="158"/>
    </row>
    <row r="714">
      <c r="A714" s="158"/>
    </row>
    <row r="715">
      <c r="A715" s="158"/>
    </row>
    <row r="716">
      <c r="A716" s="158"/>
    </row>
    <row r="717">
      <c r="A717" s="158"/>
    </row>
    <row r="718">
      <c r="A718" s="158"/>
    </row>
    <row r="719">
      <c r="A719" s="158"/>
    </row>
    <row r="720">
      <c r="A720" s="158"/>
    </row>
    <row r="721">
      <c r="A721" s="158"/>
    </row>
    <row r="722">
      <c r="A722" s="158"/>
    </row>
    <row r="723">
      <c r="A723" s="158"/>
    </row>
    <row r="724">
      <c r="A724" s="158"/>
    </row>
    <row r="725">
      <c r="A725" s="158"/>
    </row>
    <row r="726">
      <c r="A726" s="158"/>
    </row>
    <row r="727">
      <c r="A727" s="158"/>
    </row>
    <row r="728">
      <c r="A728" s="158"/>
    </row>
    <row r="729">
      <c r="A729" s="158"/>
    </row>
    <row r="730">
      <c r="A730" s="158"/>
    </row>
    <row r="731">
      <c r="A731" s="158"/>
    </row>
    <row r="732">
      <c r="A732" s="158"/>
    </row>
    <row r="733">
      <c r="A733" s="158"/>
    </row>
    <row r="734">
      <c r="A734" s="158"/>
    </row>
    <row r="735">
      <c r="A735" s="158"/>
    </row>
    <row r="736">
      <c r="A736" s="158"/>
    </row>
    <row r="737">
      <c r="A737" s="158"/>
    </row>
    <row r="738">
      <c r="A738" s="158"/>
    </row>
    <row r="739">
      <c r="A739" s="158"/>
    </row>
    <row r="740">
      <c r="A740" s="158"/>
    </row>
    <row r="741">
      <c r="A741" s="158"/>
    </row>
    <row r="742">
      <c r="A742" s="158"/>
    </row>
    <row r="743">
      <c r="A743" s="158"/>
    </row>
    <row r="744">
      <c r="A744" s="158"/>
    </row>
    <row r="745">
      <c r="A745" s="158"/>
    </row>
    <row r="746">
      <c r="A746" s="158"/>
    </row>
    <row r="747">
      <c r="A747" s="158"/>
    </row>
    <row r="748">
      <c r="A748" s="158"/>
    </row>
    <row r="749">
      <c r="A749" s="158"/>
    </row>
    <row r="750">
      <c r="A750" s="158"/>
    </row>
    <row r="751">
      <c r="A751" s="158"/>
    </row>
    <row r="752">
      <c r="A752" s="158"/>
    </row>
    <row r="753">
      <c r="A753" s="158"/>
    </row>
    <row r="754">
      <c r="A754" s="158"/>
    </row>
    <row r="755">
      <c r="A755" s="158"/>
    </row>
    <row r="756">
      <c r="A756" s="158"/>
    </row>
    <row r="757">
      <c r="A757" s="158"/>
    </row>
    <row r="758">
      <c r="A758" s="158"/>
    </row>
    <row r="759">
      <c r="A759" s="158"/>
    </row>
    <row r="760">
      <c r="A760" s="158"/>
    </row>
    <row r="761">
      <c r="A761" s="158"/>
    </row>
    <row r="762">
      <c r="A762" s="158"/>
    </row>
    <row r="763">
      <c r="A763" s="158"/>
    </row>
    <row r="764">
      <c r="A764" s="158"/>
    </row>
    <row r="765">
      <c r="A765" s="158"/>
    </row>
    <row r="766">
      <c r="A766" s="158"/>
    </row>
    <row r="767">
      <c r="A767" s="158"/>
    </row>
    <row r="768">
      <c r="A768" s="158"/>
    </row>
    <row r="769">
      <c r="A769" s="158"/>
    </row>
    <row r="770">
      <c r="A770" s="158"/>
    </row>
    <row r="771">
      <c r="A771" s="158"/>
    </row>
    <row r="772">
      <c r="A772" s="158"/>
    </row>
    <row r="773">
      <c r="A773" s="158"/>
    </row>
    <row r="774">
      <c r="A774" s="158"/>
    </row>
    <row r="775">
      <c r="A775" s="158"/>
    </row>
    <row r="776">
      <c r="A776" s="158"/>
    </row>
    <row r="777">
      <c r="A777" s="158"/>
    </row>
    <row r="778">
      <c r="A778" s="158"/>
    </row>
    <row r="779">
      <c r="A779" s="158"/>
    </row>
    <row r="780">
      <c r="A780" s="158"/>
    </row>
    <row r="781">
      <c r="A781" s="158"/>
    </row>
    <row r="782">
      <c r="A782" s="158"/>
    </row>
    <row r="783">
      <c r="A783" s="158"/>
    </row>
    <row r="784">
      <c r="A784" s="158"/>
    </row>
    <row r="785">
      <c r="A785" s="158"/>
    </row>
    <row r="786">
      <c r="A786" s="158"/>
    </row>
    <row r="787">
      <c r="A787" s="158"/>
    </row>
    <row r="788">
      <c r="A788" s="158"/>
    </row>
    <row r="789">
      <c r="A789" s="158"/>
    </row>
    <row r="790">
      <c r="A790" s="158"/>
    </row>
    <row r="791">
      <c r="A791" s="158"/>
    </row>
    <row r="792">
      <c r="A792" s="158"/>
    </row>
    <row r="793">
      <c r="A793" s="158"/>
    </row>
    <row r="794">
      <c r="A794" s="158"/>
    </row>
    <row r="795">
      <c r="A795" s="158"/>
    </row>
    <row r="796">
      <c r="A796" s="158"/>
    </row>
    <row r="797">
      <c r="A797" s="158"/>
    </row>
    <row r="798">
      <c r="A798" s="158"/>
    </row>
    <row r="799">
      <c r="A799" s="158"/>
    </row>
    <row r="800">
      <c r="A800" s="158"/>
    </row>
    <row r="801">
      <c r="A801" s="158"/>
    </row>
    <row r="802">
      <c r="A802" s="158"/>
    </row>
    <row r="803">
      <c r="A803" s="158"/>
    </row>
    <row r="804">
      <c r="A804" s="158"/>
    </row>
    <row r="805">
      <c r="A805" s="158"/>
    </row>
    <row r="806">
      <c r="A806" s="158"/>
    </row>
    <row r="807">
      <c r="A807" s="158"/>
    </row>
    <row r="808">
      <c r="A808" s="158"/>
    </row>
    <row r="809">
      <c r="A809" s="158"/>
    </row>
    <row r="810">
      <c r="A810" s="158"/>
    </row>
    <row r="811">
      <c r="A811" s="158"/>
    </row>
    <row r="812">
      <c r="A812" s="158"/>
    </row>
    <row r="813">
      <c r="A813" s="158"/>
    </row>
    <row r="814">
      <c r="A814" s="158"/>
    </row>
    <row r="815">
      <c r="A815" s="158"/>
    </row>
    <row r="816">
      <c r="A816" s="158"/>
    </row>
    <row r="817">
      <c r="A817" s="158"/>
    </row>
    <row r="818">
      <c r="A818" s="158"/>
    </row>
    <row r="819">
      <c r="A819" s="158"/>
    </row>
    <row r="820">
      <c r="A820" s="158"/>
    </row>
    <row r="821">
      <c r="A821" s="158"/>
    </row>
    <row r="822">
      <c r="A822" s="158"/>
    </row>
    <row r="823">
      <c r="A823" s="158"/>
    </row>
    <row r="824">
      <c r="A824" s="158"/>
    </row>
    <row r="825">
      <c r="A825" s="158"/>
    </row>
    <row r="826">
      <c r="A826" s="158"/>
    </row>
    <row r="827">
      <c r="A827" s="158"/>
    </row>
    <row r="828">
      <c r="A828" s="158"/>
    </row>
    <row r="829">
      <c r="A829" s="158"/>
    </row>
    <row r="830">
      <c r="A830" s="158"/>
    </row>
    <row r="831">
      <c r="A831" s="158"/>
    </row>
    <row r="832">
      <c r="A832" s="158"/>
    </row>
    <row r="833">
      <c r="A833" s="158"/>
    </row>
    <row r="834">
      <c r="A834" s="158"/>
    </row>
    <row r="835">
      <c r="A835" s="158"/>
    </row>
    <row r="836">
      <c r="A836" s="158"/>
    </row>
    <row r="837">
      <c r="A837" s="158"/>
    </row>
    <row r="838">
      <c r="A838" s="158"/>
    </row>
    <row r="839">
      <c r="A839" s="158"/>
    </row>
    <row r="840">
      <c r="A840" s="158"/>
    </row>
    <row r="841">
      <c r="A841" s="158"/>
    </row>
    <row r="842">
      <c r="A842" s="158"/>
    </row>
    <row r="843">
      <c r="A843" s="158"/>
    </row>
    <row r="844">
      <c r="A844" s="158"/>
    </row>
    <row r="845">
      <c r="A845" s="158"/>
    </row>
    <row r="846">
      <c r="A846" s="158"/>
    </row>
    <row r="847">
      <c r="A847" s="158"/>
    </row>
    <row r="848">
      <c r="A848" s="158"/>
    </row>
    <row r="849">
      <c r="A849" s="158"/>
    </row>
    <row r="850">
      <c r="A850" s="158"/>
    </row>
    <row r="851">
      <c r="A851" s="158"/>
    </row>
    <row r="852">
      <c r="A852" s="158"/>
    </row>
    <row r="853">
      <c r="A853" s="158"/>
    </row>
    <row r="854">
      <c r="A854" s="158"/>
    </row>
    <row r="855">
      <c r="A855" s="158"/>
    </row>
    <row r="856">
      <c r="A856" s="158"/>
    </row>
    <row r="857">
      <c r="A857" s="158"/>
    </row>
    <row r="858">
      <c r="A858" s="158"/>
    </row>
    <row r="859">
      <c r="A859" s="158"/>
    </row>
    <row r="860">
      <c r="A860" s="158"/>
    </row>
    <row r="861">
      <c r="A861" s="158"/>
    </row>
    <row r="862">
      <c r="A862" s="158"/>
    </row>
    <row r="863">
      <c r="A863" s="158"/>
    </row>
    <row r="864">
      <c r="A864" s="158"/>
    </row>
    <row r="865">
      <c r="A865" s="158"/>
    </row>
    <row r="866">
      <c r="A866" s="158"/>
    </row>
    <row r="867">
      <c r="A867" s="158"/>
    </row>
    <row r="868">
      <c r="A868" s="158"/>
    </row>
    <row r="869">
      <c r="A869" s="158"/>
    </row>
    <row r="870">
      <c r="A870" s="158"/>
    </row>
    <row r="871">
      <c r="A871" s="158"/>
    </row>
    <row r="872">
      <c r="A872" s="158"/>
    </row>
    <row r="873">
      <c r="A873" s="158"/>
    </row>
    <row r="874">
      <c r="A874" s="158"/>
    </row>
    <row r="875">
      <c r="A875" s="158"/>
    </row>
    <row r="876">
      <c r="A876" s="158"/>
    </row>
    <row r="877">
      <c r="A877" s="158"/>
    </row>
    <row r="878">
      <c r="A878" s="158"/>
    </row>
    <row r="879">
      <c r="A879" s="158"/>
    </row>
    <row r="880">
      <c r="A880" s="158"/>
    </row>
    <row r="881">
      <c r="A881" s="158"/>
    </row>
    <row r="882">
      <c r="A882" s="158"/>
    </row>
    <row r="883">
      <c r="A883" s="158"/>
    </row>
    <row r="884">
      <c r="A884" s="158"/>
    </row>
    <row r="885">
      <c r="A885" s="158"/>
    </row>
    <row r="886">
      <c r="A886" s="158"/>
    </row>
    <row r="887">
      <c r="A887" s="158"/>
    </row>
    <row r="888">
      <c r="A888" s="158"/>
    </row>
    <row r="889">
      <c r="A889" s="158"/>
    </row>
    <row r="890">
      <c r="A890" s="158"/>
    </row>
    <row r="891">
      <c r="A891" s="158"/>
    </row>
    <row r="892">
      <c r="A892" s="158"/>
    </row>
    <row r="893">
      <c r="A893" s="158"/>
    </row>
    <row r="894">
      <c r="A894" s="158"/>
    </row>
    <row r="895">
      <c r="A895" s="158"/>
    </row>
    <row r="896">
      <c r="A896" s="158"/>
    </row>
    <row r="897">
      <c r="A897" s="158"/>
    </row>
    <row r="898">
      <c r="A898" s="158"/>
    </row>
    <row r="899">
      <c r="A899" s="158"/>
    </row>
    <row r="900">
      <c r="A900" s="158"/>
    </row>
    <row r="901">
      <c r="A901" s="158"/>
    </row>
    <row r="902">
      <c r="A902" s="158"/>
    </row>
    <row r="903">
      <c r="A903" s="158"/>
    </row>
    <row r="904">
      <c r="A904" s="158"/>
    </row>
    <row r="905">
      <c r="A905" s="158"/>
    </row>
    <row r="906">
      <c r="A906" s="158"/>
    </row>
    <row r="907">
      <c r="A907" s="158"/>
    </row>
    <row r="908">
      <c r="A908" s="158"/>
    </row>
    <row r="909">
      <c r="A909" s="158"/>
    </row>
    <row r="910">
      <c r="A910" s="158"/>
    </row>
    <row r="911">
      <c r="A911" s="158"/>
    </row>
    <row r="912">
      <c r="A912" s="158"/>
    </row>
    <row r="913">
      <c r="A913" s="158"/>
    </row>
    <row r="914">
      <c r="A914" s="158"/>
    </row>
    <row r="915">
      <c r="A915" s="158"/>
    </row>
    <row r="916">
      <c r="A916" s="158"/>
    </row>
    <row r="917">
      <c r="A917" s="158"/>
    </row>
    <row r="918">
      <c r="A918" s="158"/>
    </row>
    <row r="919">
      <c r="A919" s="158"/>
    </row>
    <row r="920">
      <c r="A920" s="158"/>
    </row>
    <row r="921">
      <c r="A921" s="158"/>
    </row>
    <row r="922">
      <c r="A922" s="158"/>
    </row>
    <row r="923">
      <c r="A923" s="158"/>
    </row>
    <row r="924">
      <c r="A924" s="158"/>
    </row>
    <row r="925">
      <c r="A925" s="158"/>
    </row>
    <row r="926">
      <c r="A926" s="158"/>
    </row>
    <row r="927">
      <c r="A927" s="158"/>
    </row>
    <row r="928">
      <c r="A928" s="158"/>
    </row>
    <row r="929">
      <c r="A929" s="158"/>
    </row>
    <row r="930">
      <c r="A930" s="158"/>
    </row>
    <row r="931">
      <c r="A931" s="158"/>
    </row>
    <row r="932">
      <c r="A932" s="158"/>
    </row>
    <row r="933">
      <c r="A933" s="158"/>
    </row>
    <row r="934">
      <c r="A934" s="158"/>
    </row>
    <row r="935">
      <c r="A935" s="158"/>
    </row>
    <row r="936">
      <c r="A936" s="158"/>
    </row>
    <row r="937">
      <c r="A937" s="158"/>
    </row>
    <row r="938">
      <c r="A938" s="158"/>
    </row>
    <row r="939">
      <c r="A939" s="158"/>
    </row>
    <row r="940">
      <c r="A940" s="158"/>
    </row>
    <row r="941">
      <c r="A941" s="158"/>
    </row>
    <row r="942">
      <c r="A942" s="158"/>
    </row>
    <row r="943">
      <c r="A943" s="158"/>
    </row>
    <row r="944">
      <c r="A944" s="158"/>
    </row>
    <row r="945">
      <c r="A945" s="158"/>
    </row>
    <row r="946">
      <c r="A946" s="158"/>
    </row>
    <row r="947">
      <c r="A947" s="158"/>
    </row>
    <row r="948">
      <c r="A948" s="158"/>
    </row>
    <row r="949">
      <c r="A949" s="158"/>
    </row>
    <row r="950">
      <c r="A950" s="158"/>
    </row>
    <row r="951">
      <c r="A951" s="158"/>
    </row>
    <row r="952">
      <c r="A952" s="158"/>
    </row>
    <row r="953">
      <c r="A953" s="158"/>
    </row>
    <row r="954">
      <c r="A954" s="158"/>
    </row>
    <row r="955">
      <c r="A955" s="158"/>
    </row>
    <row r="956">
      <c r="A956" s="158"/>
    </row>
    <row r="957">
      <c r="A957" s="158"/>
    </row>
    <row r="958">
      <c r="A958" s="158"/>
    </row>
    <row r="959">
      <c r="A959" s="158"/>
    </row>
    <row r="960">
      <c r="A960" s="158"/>
    </row>
    <row r="961">
      <c r="A961" s="158"/>
    </row>
    <row r="962">
      <c r="A962" s="158"/>
    </row>
    <row r="963">
      <c r="A963" s="158"/>
    </row>
    <row r="964">
      <c r="A964" s="158"/>
    </row>
    <row r="965">
      <c r="A965" s="158"/>
    </row>
    <row r="966">
      <c r="A966" s="158"/>
    </row>
    <row r="967">
      <c r="A967" s="158"/>
    </row>
    <row r="968">
      <c r="A968" s="158"/>
    </row>
    <row r="969">
      <c r="A969" s="158"/>
    </row>
    <row r="970">
      <c r="A970" s="158"/>
    </row>
    <row r="971">
      <c r="A971" s="158"/>
    </row>
    <row r="972">
      <c r="A972" s="158"/>
    </row>
    <row r="973">
      <c r="A973" s="158"/>
    </row>
    <row r="974">
      <c r="A974" s="158"/>
    </row>
    <row r="975">
      <c r="A975" s="158"/>
    </row>
    <row r="976">
      <c r="A976" s="158"/>
    </row>
    <row r="977">
      <c r="A977" s="158"/>
    </row>
    <row r="978">
      <c r="A978" s="158"/>
    </row>
    <row r="979">
      <c r="A979" s="158"/>
    </row>
    <row r="980">
      <c r="A980" s="158"/>
    </row>
    <row r="981">
      <c r="A981" s="158"/>
    </row>
    <row r="982">
      <c r="A982" s="158"/>
    </row>
    <row r="983">
      <c r="A983" s="158"/>
    </row>
    <row r="984">
      <c r="A984" s="158"/>
    </row>
    <row r="985">
      <c r="A985" s="158"/>
    </row>
    <row r="986">
      <c r="A986" s="158"/>
    </row>
    <row r="987">
      <c r="A987" s="158"/>
    </row>
    <row r="988">
      <c r="A988" s="158"/>
    </row>
    <row r="989">
      <c r="A989" s="158"/>
    </row>
    <row r="990">
      <c r="A990" s="158"/>
    </row>
    <row r="991">
      <c r="A991" s="158"/>
    </row>
    <row r="992">
      <c r="A992" s="158"/>
    </row>
    <row r="993">
      <c r="A993" s="158"/>
    </row>
    <row r="994">
      <c r="A994" s="158"/>
    </row>
    <row r="995">
      <c r="A995" s="158"/>
    </row>
    <row r="996">
      <c r="A996" s="158"/>
    </row>
    <row r="997">
      <c r="A997" s="158"/>
    </row>
    <row r="998">
      <c r="A998" s="158"/>
    </row>
    <row r="999">
      <c r="A999" s="158"/>
    </row>
    <row r="1000">
      <c r="A1000" s="158"/>
    </row>
  </sheetData>
  <conditionalFormatting sqref="B2:D54">
    <cfRule type="containsText" dxfId="67" priority="1" operator="containsText" text="continentis">
      <formula>NOT(ISERROR(SEARCH(("continentis"),(B2))))</formula>
    </cfRule>
  </conditionalFormatting>
  <conditionalFormatting sqref="B2:D54">
    <cfRule type="cellIs" dxfId="63" priority="2" operator="equal">
      <formula>"AD Delhaize Chastre"</formula>
    </cfRule>
  </conditionalFormatting>
  <hyperlinks>
    <hyperlink r:id="rId1" ref="A21"/>
  </hyperlinks>
  <printOptions horizontalCentered="1"/>
  <pageMargins bottom="0.75" footer="0.0" header="0.0" left="0.7" right="0.7" top="0.75"/>
  <pageSetup fitToWidth="0" paperSize="9" orientation="portrait" pageOrder="overThenDown"/>
  <drawing r:id="rId2"/>
</worksheet>
</file>